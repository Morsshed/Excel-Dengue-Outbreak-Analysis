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xml"/>
  <Override PartName="/xl/slicers/slicer1.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E:\"/>
    </mc:Choice>
  </mc:AlternateContent>
  <xr:revisionPtr revIDLastSave="0" documentId="8_{8BBFAB0C-D76A-40D2-87FA-1CB863E23349}" xr6:coauthVersionLast="47" xr6:coauthVersionMax="47" xr10:uidLastSave="{00000000-0000-0000-0000-000000000000}"/>
  <bookViews>
    <workbookView xWindow="-108" yWindow="-108" windowWidth="23256" windowHeight="12456" firstSheet="3" activeTab="6" xr2:uid="{9EF3C96B-0C85-42E6-BFB3-0E8A1304430C}"/>
  </bookViews>
  <sheets>
    <sheet name="1-Original_Data  " sheetId="11" r:id="rId1"/>
    <sheet name="2-Data_Dictonary" sheetId="1" r:id="rId2"/>
    <sheet name="3-Data_Profiling" sheetId="3" r:id="rId3"/>
    <sheet name="4-Duplicate_Data " sheetId="8" r:id="rId4"/>
    <sheet name="5-PowerQ_data" sheetId="12" r:id="rId5"/>
    <sheet name="6-Analysis" sheetId="27" r:id="rId6"/>
    <sheet name="7-Dashboard" sheetId="31" r:id="rId7"/>
  </sheets>
  <definedNames>
    <definedName name="_xlcn.WorksheetConnection_Dengue.xlsx.xlsxDengue1" hidden="1">Dengue[]</definedName>
    <definedName name="_xlcn.WorksheetConnection_Dengue.xlsx.xlsxTable121" hidden="1">Table12</definedName>
    <definedName name="ExternalData_1" localSheetId="4" hidden="1">'5-PowerQ_data'!$A$1:$O$1001</definedName>
    <definedName name="Slicer_Area">#N/A</definedName>
    <definedName name="Slicer_Dengue_Result">#N/A</definedName>
  </definedNames>
  <calcPr calcId="191029"/>
  <pivotCaches>
    <pivotCache cacheId="200" r:id="rId8"/>
    <pivotCache cacheId="201" r:id="rId9"/>
    <pivotCache cacheId="202" r:id="rId10"/>
    <pivotCache cacheId="203" r:id="rId11"/>
    <pivotCache cacheId="207" r:id="rId12"/>
    <pivotCache cacheId="208" r:id="rId13"/>
    <pivotCache cacheId="210" r:id="rId14"/>
    <pivotCache cacheId="211" r:id="rId15"/>
    <pivotCache cacheId="212" r:id="rId16"/>
    <pivotCache cacheId="215" r:id="rId17"/>
    <pivotCache cacheId="218" r:id="rId18"/>
    <pivotCache cacheId="219" r:id="rId19"/>
    <pivotCache cacheId="221" r:id="rId20"/>
    <pivotCache cacheId="222" r:id="rId21"/>
    <pivotCache cacheId="224" r:id="rId22"/>
    <pivotCache cacheId="225" r:id="rId23"/>
    <pivotCache cacheId="236" r:id="rId24"/>
    <pivotCache cacheId="2951" r:id="rId25"/>
    <pivotCache cacheId="2954" r:id="rId26"/>
    <pivotCache cacheId="2957" r:id="rId27"/>
    <pivotCache cacheId="2960" r:id="rId28"/>
    <pivotCache cacheId="2963" r:id="rId29"/>
    <pivotCache cacheId="2966" r:id="rId30"/>
    <pivotCache cacheId="2969" r:id="rId31"/>
    <pivotCache cacheId="2972" r:id="rId32"/>
    <pivotCache cacheId="2975" r:id="rId33"/>
    <pivotCache cacheId="2978" r:id="rId34"/>
    <pivotCache cacheId="2981" r:id="rId35"/>
    <pivotCache cacheId="2984" r:id="rId36"/>
    <pivotCache cacheId="2987" r:id="rId37"/>
  </pivotCaches>
  <fileRecoveryPr repairLoad="1"/>
  <extLst>
    <ext xmlns:x14="http://schemas.microsoft.com/office/spreadsheetml/2009/9/main" uri="{876F7934-8845-4945-9796-88D515C7AA90}">
      <x14:pivotCaches>
        <pivotCache cacheId="28" r:id="rId38"/>
        <pivotCache cacheId="29" r:id="rId39"/>
      </x14:pivotCaches>
    </ext>
    <ext xmlns:x14="http://schemas.microsoft.com/office/spreadsheetml/2009/9/main" uri="{BBE1A952-AA13-448e-AADC-164F8A28A991}">
      <x14:slicerCaches>
        <x14:slicerCache r:id="rId40"/>
        <x14:slicerCache r:id="rId4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2" name="Table12" connection="WorksheetConnection_Dengue.xlsx.xlsx!Table12"/>
          <x15:modelTable id="Dengue" name="Dengue" connection="WorksheetConnection_Dengue.xlsx.xlsx!Dengu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87" i="27" l="1"/>
  <c r="G176" i="27"/>
  <c r="B14" i="27"/>
  <c r="B16" i="2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BD4F04-BF48-4CCC-831C-1BA61DA5E127}" keepAlive="1" name="Query - Dengue" description="Connection to the 'Dengue' query in the workbook." type="5" refreshedVersion="8" background="1" saveData="1">
    <dbPr connection="Provider=Microsoft.Mashup.OleDb.1;Data Source=$Workbook$;Location=Dengue;Extended Properties=&quot;&quot;" command="SELECT * FROM [Dengue]"/>
  </connection>
  <connection id="2" xr16:uid="{7807B5CC-D69E-48B5-9D0A-FD1A5E401A8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30881A19-1C2D-472E-8BDF-37F3CCBBC155}" name="WorksheetConnection_Dengue.xlsx.xlsx!Dengue" type="102" refreshedVersion="8" minRefreshableVersion="5">
    <extLst>
      <ext xmlns:x15="http://schemas.microsoft.com/office/spreadsheetml/2010/11/main" uri="{DE250136-89BD-433C-8126-D09CA5730AF9}">
        <x15:connection id="Dengue">
          <x15:rangePr sourceName="_xlcn.WorksheetConnection_Dengue.xlsx.xlsxDengue1"/>
        </x15:connection>
      </ext>
    </extLst>
  </connection>
  <connection id="4" xr16:uid="{A8B419B7-B6A4-4C2F-80E4-A891530441DA}" name="WorksheetConnection_Dengue.xlsx.xlsx!Table12" type="102" refreshedVersion="8" minRefreshableVersion="5">
    <extLst>
      <ext xmlns:x15="http://schemas.microsoft.com/office/spreadsheetml/2010/11/main" uri="{DE250136-89BD-433C-8126-D09CA5730AF9}">
        <x15:connection id="Table12">
          <x15:rangePr sourceName="_xlcn.WorksheetConnection_Dengue.xlsx.xlsxTable12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Dengue].[Dengue_Result].&amp;[Positive]}"/>
  </metadataStrings>
  <mdxMetadata count="1">
    <mdx n="0" f="s">
      <ms ns="1" c="0"/>
    </mdx>
  </mdxMetadata>
  <valueMetadata count="1">
    <bk>
      <rc t="1" v="0"/>
    </bk>
  </valueMetadata>
</metadata>
</file>

<file path=xl/sharedStrings.xml><?xml version="1.0" encoding="utf-8"?>
<sst xmlns="http://schemas.openxmlformats.org/spreadsheetml/2006/main" count="20409" uniqueCount="186">
  <si>
    <t>Gender</t>
  </si>
  <si>
    <t>Age</t>
  </si>
  <si>
    <t>IgG</t>
  </si>
  <si>
    <t>IgM</t>
  </si>
  <si>
    <t>Area</t>
  </si>
  <si>
    <t>AreaType</t>
  </si>
  <si>
    <t>HouseType</t>
  </si>
  <si>
    <t>District</t>
  </si>
  <si>
    <t>Outcome</t>
  </si>
  <si>
    <t>Female</t>
  </si>
  <si>
    <t>Mirpur</t>
  </si>
  <si>
    <t>Undeveloped</t>
  </si>
  <si>
    <t>Building</t>
  </si>
  <si>
    <t>Dhaka</t>
  </si>
  <si>
    <t>Male</t>
  </si>
  <si>
    <t>Chawkbazar</t>
  </si>
  <si>
    <t>Developed</t>
  </si>
  <si>
    <t>Paltan</t>
  </si>
  <si>
    <t>Other</t>
  </si>
  <si>
    <t>Motijheel</t>
  </si>
  <si>
    <t>Gendaria</t>
  </si>
  <si>
    <t>Dhanmondi</t>
  </si>
  <si>
    <t>New Market</t>
  </si>
  <si>
    <t>Tinshed</t>
  </si>
  <si>
    <t>Sher-e-Bangla Nagar</t>
  </si>
  <si>
    <t>Kafrul</t>
  </si>
  <si>
    <t>Pallabi</t>
  </si>
  <si>
    <t>Mohammadpur</t>
  </si>
  <si>
    <t>Shahbagh</t>
  </si>
  <si>
    <t>Shyampur</t>
  </si>
  <si>
    <t>Kalabagan</t>
  </si>
  <si>
    <t>Bosila</t>
  </si>
  <si>
    <t>Jatrabari</t>
  </si>
  <si>
    <t>Adabor</t>
  </si>
  <si>
    <t>Kamrangirchar</t>
  </si>
  <si>
    <t>Biman Bandar</t>
  </si>
  <si>
    <t>Ramna</t>
  </si>
  <si>
    <t>Badda</t>
  </si>
  <si>
    <t>Bangshal</t>
  </si>
  <si>
    <t>Sabujbagh</t>
  </si>
  <si>
    <t>Hazaribagh</t>
  </si>
  <si>
    <t>Sutrapur</t>
  </si>
  <si>
    <t>Lalbagh</t>
  </si>
  <si>
    <t>Demra</t>
  </si>
  <si>
    <t>Banasree</t>
  </si>
  <si>
    <t>Cantonment</t>
  </si>
  <si>
    <t>Keraniganj</t>
  </si>
  <si>
    <t>Tejgaon</t>
  </si>
  <si>
    <t>Khilkhet</t>
  </si>
  <si>
    <t>Kadamtali</t>
  </si>
  <si>
    <t>Gulshan</t>
  </si>
  <si>
    <t>Rampura</t>
  </si>
  <si>
    <t>Khilgaon</t>
  </si>
  <si>
    <t xml:space="preserve">Age: </t>
  </si>
  <si>
    <t>IgM (Immunoglobulin M):</t>
  </si>
  <si>
    <t>Area:</t>
  </si>
  <si>
    <t xml:space="preserve">Area Type: </t>
  </si>
  <si>
    <t>House Type:</t>
  </si>
  <si>
    <t xml:space="preserve">District: </t>
  </si>
  <si>
    <t>Outcome:</t>
  </si>
  <si>
    <t>Gender: </t>
  </si>
  <si>
    <t>NS1 (Non-Structural Protein 1): </t>
  </si>
  <si>
    <t>Gender of the survey respondent.</t>
  </si>
  <si>
    <t>Age of the survey respondent.</t>
  </si>
  <si>
    <t>NS1 test's data positive as 1 negative as 0.</t>
  </si>
  <si>
    <t>IgM data positive as 1 negative as 0.</t>
  </si>
  <si>
    <t>Classification of the area as "Developed" or "Undeveloped."</t>
  </si>
  <si>
    <t>The area within the Dhaka region where the respondent resides.</t>
  </si>
  <si>
    <t>The type of housing in the area, e.g., "Building," "Tin-Shed," or "Others."</t>
  </si>
  <si>
    <t>The specific district within Dhaka.</t>
  </si>
  <si>
    <t>Outcome variable indicating the presence (1) or absence (0) of Dengue cases reported.</t>
  </si>
  <si>
    <t>Dengue Dataset of Bangladesh
Unraveling Dengue: Analyzing and Mapping Affected Areas in Bangladesh for Target</t>
  </si>
  <si>
    <t>IgG data positive as 1 negative as 0.</t>
  </si>
  <si>
    <t>IgG (Immunoglobulin G):</t>
  </si>
  <si>
    <t>Non_Structural_Protein_1</t>
  </si>
  <si>
    <t>Immunoglobulin_G</t>
  </si>
  <si>
    <t>Immunoglobulin_M</t>
  </si>
  <si>
    <t>Distinct</t>
  </si>
  <si>
    <t>Min</t>
  </si>
  <si>
    <t>Max</t>
  </si>
  <si>
    <t>Average</t>
  </si>
  <si>
    <t>SD</t>
  </si>
  <si>
    <t>Data Type</t>
  </si>
  <si>
    <t>Boolean</t>
  </si>
  <si>
    <t>Values</t>
  </si>
  <si>
    <t>NSP Test Result "1"</t>
  </si>
  <si>
    <t>NSP Test Result "0"</t>
  </si>
  <si>
    <t>IgG Test Result "1"</t>
  </si>
  <si>
    <t>IgG Test Result "0"</t>
  </si>
  <si>
    <t>IgM Test Result "1"</t>
  </si>
  <si>
    <t>IgM Test Result "0"</t>
  </si>
  <si>
    <t>Value</t>
  </si>
  <si>
    <t>Data Profiling</t>
  </si>
  <si>
    <t>Previously not infected</t>
  </si>
  <si>
    <t>Previously Infected</t>
  </si>
  <si>
    <t>Recently Infected</t>
  </si>
  <si>
    <t>Ambiguity in the Dataset</t>
  </si>
  <si>
    <t>NSP 1</t>
  </si>
  <si>
    <t>Insufficient explanation</t>
  </si>
  <si>
    <t>Insufficient explaination</t>
  </si>
  <si>
    <t>Getting confused with NSP Result</t>
  </si>
  <si>
    <t>remarks</t>
  </si>
  <si>
    <t>No data on how population belong to both developed and undeveloped areas of mirpur. Suggestions; patient precise address are recommended to have</t>
  </si>
  <si>
    <t>Age_Group</t>
  </si>
  <si>
    <t>Immunoglobulin_G_Result</t>
  </si>
  <si>
    <t>Dengue_Result</t>
  </si>
  <si>
    <t>Immunoglobulin_M_Result</t>
  </si>
  <si>
    <t>Non_Structural_Protein_Result</t>
  </si>
  <si>
    <t>Middle Aged</t>
  </si>
  <si>
    <t>Not Recently Infected</t>
  </si>
  <si>
    <t>Negative</t>
  </si>
  <si>
    <t>Not Previously Infected</t>
  </si>
  <si>
    <t>Late Stage of Infection</t>
  </si>
  <si>
    <t>Adolescents</t>
  </si>
  <si>
    <t>Adults</t>
  </si>
  <si>
    <t>Positive</t>
  </si>
  <si>
    <t>Early Satge of Infection</t>
  </si>
  <si>
    <t>Young Adolescents</t>
  </si>
  <si>
    <t>Child</t>
  </si>
  <si>
    <t>Elderly</t>
  </si>
  <si>
    <t>Number of Areas Surveyed</t>
  </si>
  <si>
    <t>Total Population Size</t>
  </si>
  <si>
    <t>Grand Total</t>
  </si>
  <si>
    <t>Row Labels</t>
  </si>
  <si>
    <t>Count of Age_Group</t>
  </si>
  <si>
    <t>Count of Dengue_Result</t>
  </si>
  <si>
    <t>first_time dengue</t>
  </si>
  <si>
    <t>second_time dengue</t>
  </si>
  <si>
    <t>Presence of IgG Vs Dengue Positivity</t>
  </si>
  <si>
    <t>Presence of NSP1 Vs Dengue Positivity</t>
  </si>
  <si>
    <t>Presence of IgM vs Dengue Positivity</t>
  </si>
  <si>
    <t>Count of HouseType</t>
  </si>
  <si>
    <t>Count of HouseType2</t>
  </si>
  <si>
    <t>Area Type Wise Dengue Result</t>
  </si>
  <si>
    <t>Gender Wise Dengeu Result</t>
  </si>
  <si>
    <t>All are dengue positive</t>
  </si>
  <si>
    <t>Rarely case, dengue positive</t>
  </si>
  <si>
    <t>Age Ranges</t>
  </si>
  <si>
    <t>Number of Dengue Patients</t>
  </si>
  <si>
    <t>% of Dengue Patients</t>
  </si>
  <si>
    <t>Area Type</t>
  </si>
  <si>
    <t>Age Wise Dengue Result</t>
  </si>
  <si>
    <t>Area type wise First &amp; Second Time infection</t>
  </si>
  <si>
    <t>Age Range wise First &amp; Second Time infection</t>
  </si>
  <si>
    <t>House type wise First &amp; Second Time infection</t>
  </si>
  <si>
    <t>Gender wise First &amp; Second Time infection</t>
  </si>
  <si>
    <t>Count of Non_Structural_Protein_Result</t>
  </si>
  <si>
    <t>KPIs</t>
  </si>
  <si>
    <t>Total Infection</t>
  </si>
  <si>
    <t>First Time Infection</t>
  </si>
  <si>
    <t>Infection Rate</t>
  </si>
  <si>
    <t>Early Vs Late Stage Infection</t>
  </si>
  <si>
    <t>Adults &amp; Middle Aged Drill Down</t>
  </si>
  <si>
    <t>Average Age of Dengue Patients</t>
  </si>
  <si>
    <t>Repeated Infection</t>
  </si>
  <si>
    <t>Area Type Wise Dengue Infection Frequency</t>
  </si>
  <si>
    <t>Area Type Wise Infection Status</t>
  </si>
  <si>
    <t>Number of Infection</t>
  </si>
  <si>
    <t>House Type Wise Dengue Infection</t>
  </si>
  <si>
    <t>% of Dengue Infection</t>
  </si>
  <si>
    <t xml:space="preserve">House Type Wise Dengue Status </t>
  </si>
  <si>
    <t>% of Infection</t>
  </si>
  <si>
    <t>Number Infection</t>
  </si>
  <si>
    <t>Recent Dengue Infection</t>
  </si>
  <si>
    <t>Number of Respondents</t>
  </si>
  <si>
    <t>% of Gender</t>
  </si>
  <si>
    <t>Number of Gender</t>
  </si>
  <si>
    <t>0-13</t>
  </si>
  <si>
    <t>14-18</t>
  </si>
  <si>
    <t>19-24</t>
  </si>
  <si>
    <t>25-44</t>
  </si>
  <si>
    <t>45-64</t>
  </si>
  <si>
    <t>65 obove</t>
  </si>
  <si>
    <t>Young Adults</t>
  </si>
  <si>
    <t>Adocescents</t>
  </si>
  <si>
    <t>Middle-Aged</t>
  </si>
  <si>
    <t>Category</t>
  </si>
  <si>
    <t>Age into Category</t>
  </si>
  <si>
    <t>Early Stage of Infection</t>
  </si>
  <si>
    <t>Insufficient Explanation</t>
  </si>
  <si>
    <t>Count of Dengue_Result2</t>
  </si>
  <si>
    <t>Average of Age</t>
  </si>
  <si>
    <t>average age</t>
  </si>
  <si>
    <t>First Time Vs Second Time Infection</t>
  </si>
  <si>
    <t>Scenerio Analysis</t>
  </si>
  <si>
    <t>Area Wise Infection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</si>
</sst>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7" x14ac:knownFonts="1">
    <font>
      <sz val="11"/>
      <color theme="1"/>
      <name val="Calibri"/>
      <family val="2"/>
      <scheme val="minor"/>
    </font>
    <font>
      <b/>
      <sz val="11"/>
      <color theme="0"/>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sz val="18"/>
      <color theme="1"/>
      <name val="Calibri"/>
      <family val="2"/>
      <scheme val="minor"/>
    </font>
    <font>
      <b/>
      <sz val="14"/>
      <color rgb="FF3C4043"/>
      <name val="Arial"/>
      <family val="2"/>
    </font>
    <font>
      <sz val="12"/>
      <color theme="1"/>
      <name val="Calibri"/>
      <family val="2"/>
      <scheme val="minor"/>
    </font>
    <font>
      <sz val="12"/>
      <color rgb="FF3C4043"/>
      <name val="Calibri"/>
      <family val="2"/>
      <scheme val="minor"/>
    </font>
    <font>
      <sz val="11"/>
      <color theme="1"/>
      <name val="Calibri"/>
      <family val="2"/>
    </font>
    <font>
      <sz val="10"/>
      <color theme="1"/>
      <name val="Arial"/>
      <family val="2"/>
    </font>
    <font>
      <sz val="8"/>
      <name val="Calibri"/>
      <family val="2"/>
      <scheme val="minor"/>
    </font>
    <font>
      <sz val="11"/>
      <color theme="1"/>
      <name val="Calibri"/>
      <family val="2"/>
      <scheme val="minor"/>
    </font>
    <font>
      <sz val="11"/>
      <color theme="0"/>
      <name val="Calibri"/>
      <family val="2"/>
      <scheme val="minor"/>
    </font>
    <font>
      <sz val="10"/>
      <name val="Arial"/>
      <family val="2"/>
    </font>
    <font>
      <sz val="11"/>
      <name val="Calibri"/>
      <family val="2"/>
      <scheme val="minor"/>
    </font>
    <font>
      <sz val="14"/>
      <color theme="1"/>
      <name val="Calibri"/>
      <family val="2"/>
      <scheme val="minor"/>
    </font>
  </fonts>
  <fills count="18">
    <fill>
      <patternFill patternType="none"/>
    </fill>
    <fill>
      <patternFill patternType="gray125"/>
    </fill>
    <fill>
      <patternFill patternType="solid">
        <fgColor theme="9"/>
        <bgColor theme="9"/>
      </patternFill>
    </fill>
    <fill>
      <patternFill patternType="solid">
        <fgColor theme="7" tint="0.79998168889431442"/>
        <bgColor indexed="64"/>
      </patternFill>
    </fill>
    <fill>
      <patternFill patternType="solid">
        <fgColor rgb="FFFFF2CC"/>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3"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7"/>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8"/>
        <bgColor indexed="64"/>
      </patternFill>
    </fill>
    <fill>
      <patternFill patternType="solid">
        <fgColor theme="4"/>
        <bgColor indexed="64"/>
      </patternFill>
    </fill>
    <fill>
      <patternFill patternType="solid">
        <fgColor theme="5"/>
        <bgColor indexed="64"/>
      </patternFill>
    </fill>
  </fills>
  <borders count="19">
    <border>
      <left/>
      <right/>
      <top/>
      <bottom/>
      <diagonal/>
    </border>
    <border>
      <left style="medium">
        <color rgb="FFCCCCCC"/>
      </left>
      <right style="medium">
        <color rgb="FFCCCCCC"/>
      </right>
      <top style="medium">
        <color rgb="FFCCCCCC"/>
      </top>
      <bottom style="medium">
        <color rgb="FFCCCCCC"/>
      </bottom>
      <diagonal/>
    </border>
    <border>
      <left/>
      <right/>
      <top style="medium">
        <color rgb="FFCCCCCC"/>
      </top>
      <bottom/>
      <diagonal/>
    </border>
    <border>
      <left/>
      <right/>
      <top/>
      <bottom style="medium">
        <color rgb="FFCCCCCC"/>
      </bottom>
      <diagonal/>
    </border>
    <border>
      <left/>
      <right/>
      <top style="thin">
        <color theme="9" tint="0.39997558519241921"/>
      </top>
      <bottom style="medium">
        <color rgb="FFCCCCCC"/>
      </bottom>
      <diagonal/>
    </border>
    <border>
      <left/>
      <right/>
      <top style="thin">
        <color theme="9" tint="0.39997558519241921"/>
      </top>
      <bottom/>
      <diagonal/>
    </border>
    <border>
      <left/>
      <right/>
      <top style="medium">
        <color rgb="FFCCCCCC"/>
      </top>
      <bottom style="medium">
        <color rgb="FFCCCCCC"/>
      </bottom>
      <diagonal/>
    </border>
    <border>
      <left style="medium">
        <color rgb="FFCCCCCC"/>
      </left>
      <right style="medium">
        <color rgb="FFCCCCCC"/>
      </right>
      <top/>
      <bottom style="medium">
        <color rgb="FFCCCCCC"/>
      </bottom>
      <diagonal/>
    </border>
    <border>
      <left style="thin">
        <color indexed="64"/>
      </left>
      <right style="thin">
        <color indexed="64"/>
      </right>
      <top style="thin">
        <color indexed="64"/>
      </top>
      <bottom style="thin">
        <color indexed="64"/>
      </bottom>
      <diagonal/>
    </border>
    <border>
      <left style="thin">
        <color theme="9" tint="0.39997558519241921"/>
      </left>
      <right/>
      <top style="thin">
        <color theme="9" tint="0.39997558519241921"/>
      </top>
      <bottom/>
      <diagonal/>
    </border>
    <border>
      <left/>
      <right style="medium">
        <color rgb="FFCCCCCC"/>
      </right>
      <top style="medium">
        <color rgb="FFCCCCCC"/>
      </top>
      <bottom/>
      <diagonal/>
    </border>
    <border>
      <left style="thin">
        <color theme="5"/>
      </left>
      <right style="thin">
        <color theme="5"/>
      </right>
      <top style="thin">
        <color theme="5"/>
      </top>
      <bottom style="thin">
        <color theme="5"/>
      </bottom>
      <diagonal/>
    </border>
    <border>
      <left style="thin">
        <color theme="5"/>
      </left>
      <right/>
      <top style="thin">
        <color theme="5"/>
      </top>
      <bottom/>
      <diagonal/>
    </border>
    <border>
      <left/>
      <right style="thin">
        <color theme="5"/>
      </right>
      <top style="thin">
        <color theme="5"/>
      </top>
      <bottom/>
      <diagonal/>
    </border>
    <border>
      <left style="thin">
        <color theme="5"/>
      </left>
      <right/>
      <top/>
      <bottom/>
      <diagonal/>
    </border>
    <border>
      <left/>
      <right style="thin">
        <color theme="5"/>
      </right>
      <top/>
      <bottom/>
      <diagonal/>
    </border>
    <border>
      <left/>
      <right/>
      <top style="thin">
        <color theme="5"/>
      </top>
      <bottom/>
      <diagonal/>
    </border>
    <border>
      <left style="thin">
        <color theme="5"/>
      </left>
      <right/>
      <top style="thin">
        <color theme="5"/>
      </top>
      <bottom style="thin">
        <color theme="5"/>
      </bottom>
      <diagonal/>
    </border>
    <border>
      <left/>
      <right style="thin">
        <color theme="5"/>
      </right>
      <top style="thin">
        <color theme="5"/>
      </top>
      <bottom style="thin">
        <color theme="5"/>
      </bottom>
      <diagonal/>
    </border>
  </borders>
  <cellStyleXfs count="2">
    <xf numFmtId="0" fontId="0" fillId="0" borderId="0"/>
    <xf numFmtId="9" fontId="12" fillId="0" borderId="0" applyFont="0" applyFill="0" applyBorder="0" applyAlignment="0" applyProtection="0"/>
  </cellStyleXfs>
  <cellXfs count="113">
    <xf numFmtId="0" fontId="0" fillId="0" borderId="0" xfId="0"/>
    <xf numFmtId="0" fontId="6" fillId="0" borderId="0" xfId="0" applyFont="1"/>
    <xf numFmtId="0" fontId="3" fillId="0" borderId="0" xfId="0" applyFont="1"/>
    <xf numFmtId="0" fontId="7" fillId="0" borderId="0" xfId="0" applyFont="1"/>
    <xf numFmtId="0" fontId="8" fillId="0" borderId="0" xfId="0" applyFont="1"/>
    <xf numFmtId="0" fontId="10" fillId="0" borderId="1" xfId="0" applyFont="1" applyBorder="1" applyAlignment="1">
      <alignment wrapText="1"/>
    </xf>
    <xf numFmtId="0" fontId="10" fillId="0" borderId="1" xfId="0" applyFont="1" applyBorder="1" applyAlignment="1">
      <alignment horizontal="right" wrapText="1"/>
    </xf>
    <xf numFmtId="0" fontId="1" fillId="2" borderId="5" xfId="0" applyFont="1" applyFill="1" applyBorder="1"/>
    <xf numFmtId="0" fontId="10" fillId="0" borderId="0" xfId="0" applyFont="1" applyAlignment="1">
      <alignment horizontal="right" wrapText="1"/>
    </xf>
    <xf numFmtId="0" fontId="10" fillId="0" borderId="0" xfId="0" applyFont="1" applyAlignment="1">
      <alignment wrapText="1"/>
    </xf>
    <xf numFmtId="0" fontId="1" fillId="0" borderId="5" xfId="0" applyFont="1" applyBorder="1"/>
    <xf numFmtId="0" fontId="0" fillId="0" borderId="0" xfId="0" applyAlignment="1">
      <alignment horizontal="right"/>
    </xf>
    <xf numFmtId="0" fontId="1" fillId="0" borderId="4" xfId="0" applyFont="1" applyBorder="1" applyAlignment="1">
      <alignment horizontal="center"/>
    </xf>
    <xf numFmtId="0" fontId="1" fillId="0" borderId="5" xfId="0" applyFont="1" applyBorder="1" applyAlignment="1">
      <alignment horizontal="center"/>
    </xf>
    <xf numFmtId="0" fontId="0" fillId="6" borderId="0" xfId="0" applyFill="1"/>
    <xf numFmtId="0" fontId="0" fillId="6" borderId="8" xfId="0" applyFill="1" applyBorder="1"/>
    <xf numFmtId="0" fontId="10" fillId="0" borderId="2" xfId="0" applyFont="1" applyBorder="1" applyAlignment="1">
      <alignment horizontal="right" wrapText="1"/>
    </xf>
    <xf numFmtId="0" fontId="10" fillId="0" borderId="7" xfId="0" applyFont="1" applyBorder="1" applyAlignment="1">
      <alignment wrapText="1"/>
    </xf>
    <xf numFmtId="0" fontId="10" fillId="0" borderId="7" xfId="0" applyFont="1" applyBorder="1" applyAlignment="1">
      <alignment horizontal="right" wrapText="1"/>
    </xf>
    <xf numFmtId="0" fontId="10" fillId="6" borderId="8" xfId="0" applyFont="1" applyFill="1" applyBorder="1" applyAlignment="1">
      <alignment wrapText="1"/>
    </xf>
    <xf numFmtId="0" fontId="10" fillId="6" borderId="8" xfId="0" applyFont="1" applyFill="1" applyBorder="1" applyAlignment="1">
      <alignment horizontal="right" wrapText="1"/>
    </xf>
    <xf numFmtId="0" fontId="10" fillId="6" borderId="8" xfId="0" applyFont="1" applyFill="1" applyBorder="1" applyAlignment="1">
      <alignment vertical="center" wrapText="1"/>
    </xf>
    <xf numFmtId="0" fontId="10" fillId="6" borderId="8" xfId="0" applyFont="1" applyFill="1" applyBorder="1" applyAlignment="1">
      <alignment horizontal="left" wrapText="1"/>
    </xf>
    <xf numFmtId="0" fontId="10" fillId="0" borderId="6" xfId="0" applyFont="1" applyBorder="1" applyAlignment="1">
      <alignment horizontal="right" wrapText="1"/>
    </xf>
    <xf numFmtId="0" fontId="10" fillId="3" borderId="8" xfId="0" applyFont="1" applyFill="1" applyBorder="1" applyAlignment="1">
      <alignment wrapText="1"/>
    </xf>
    <xf numFmtId="0" fontId="10" fillId="3" borderId="8" xfId="0" applyFont="1" applyFill="1" applyBorder="1" applyAlignment="1">
      <alignment horizontal="right" wrapText="1"/>
    </xf>
    <xf numFmtId="0" fontId="0" fillId="3" borderId="8" xfId="0" applyFill="1" applyBorder="1"/>
    <xf numFmtId="0" fontId="10" fillId="3" borderId="8" xfId="0" applyFont="1" applyFill="1" applyBorder="1" applyAlignment="1">
      <alignment vertical="center" wrapText="1"/>
    </xf>
    <xf numFmtId="0" fontId="10" fillId="3" borderId="8" xfId="0" applyFont="1" applyFill="1" applyBorder="1" applyAlignment="1">
      <alignment horizontal="left" vertical="center" wrapText="1"/>
    </xf>
    <xf numFmtId="0" fontId="0" fillId="3" borderId="8" xfId="0" applyFill="1" applyBorder="1" applyAlignment="1">
      <alignment horizontal="right"/>
    </xf>
    <xf numFmtId="0" fontId="1" fillId="2" borderId="9" xfId="0" applyFont="1" applyFill="1" applyBorder="1"/>
    <xf numFmtId="0" fontId="10" fillId="5" borderId="8" xfId="0" applyFont="1" applyFill="1" applyBorder="1" applyAlignment="1">
      <alignment wrapText="1"/>
    </xf>
    <xf numFmtId="0" fontId="10" fillId="5" borderId="8" xfId="0" applyFont="1" applyFill="1" applyBorder="1" applyAlignment="1">
      <alignment horizontal="right" wrapText="1"/>
    </xf>
    <xf numFmtId="0" fontId="0" fillId="5" borderId="8" xfId="0" applyFill="1" applyBorder="1" applyAlignment="1">
      <alignment horizontal="right"/>
    </xf>
    <xf numFmtId="0" fontId="9" fillId="0" borderId="6" xfId="0" applyFont="1" applyBorder="1" applyAlignment="1">
      <alignment horizontal="right" wrapText="1"/>
    </xf>
    <xf numFmtId="0" fontId="9" fillId="0" borderId="2" xfId="0" applyFont="1" applyBorder="1" applyAlignment="1">
      <alignment horizontal="right" wrapText="1"/>
    </xf>
    <xf numFmtId="0" fontId="9" fillId="0" borderId="3" xfId="0" applyFont="1" applyBorder="1" applyAlignment="1">
      <alignment horizontal="right" wrapText="1"/>
    </xf>
    <xf numFmtId="0" fontId="9" fillId="4" borderId="8" xfId="0" applyFont="1" applyFill="1" applyBorder="1" applyAlignment="1">
      <alignment wrapText="1"/>
    </xf>
    <xf numFmtId="0" fontId="9" fillId="4" borderId="8" xfId="0" applyFont="1" applyFill="1" applyBorder="1" applyAlignment="1">
      <alignment horizontal="right" wrapText="1"/>
    </xf>
    <xf numFmtId="0" fontId="2" fillId="0" borderId="0" xfId="0" applyFont="1" applyAlignment="1">
      <alignment horizontal="center" vertical="center" wrapText="1"/>
    </xf>
    <xf numFmtId="0" fontId="0" fillId="0" borderId="0" xfId="0" applyAlignment="1">
      <alignment vertical="center" wrapText="1"/>
    </xf>
    <xf numFmtId="0" fontId="0" fillId="0" borderId="14" xfId="0" applyBorder="1"/>
    <xf numFmtId="0" fontId="0" fillId="0" borderId="15" xfId="0" applyBorder="1"/>
    <xf numFmtId="0" fontId="0" fillId="10" borderId="0" xfId="0" applyFill="1"/>
    <xf numFmtId="0" fontId="0" fillId="11" borderId="0" xfId="0" applyFill="1" applyAlignment="1">
      <alignment horizontal="center"/>
    </xf>
    <xf numFmtId="0" fontId="0" fillId="5" borderId="0" xfId="0" applyFill="1"/>
    <xf numFmtId="0" fontId="0" fillId="5" borderId="0" xfId="0" applyFill="1" applyAlignment="1">
      <alignment horizontal="left"/>
    </xf>
    <xf numFmtId="164" fontId="0" fillId="5" borderId="0" xfId="0" applyNumberFormat="1" applyFill="1"/>
    <xf numFmtId="0" fontId="0" fillId="12" borderId="0" xfId="0" applyFill="1"/>
    <xf numFmtId="0" fontId="0" fillId="12" borderId="0" xfId="0" applyFill="1" applyAlignment="1">
      <alignment horizontal="left"/>
    </xf>
    <xf numFmtId="10" fontId="0" fillId="12" borderId="0" xfId="0" applyNumberFormat="1" applyFill="1"/>
    <xf numFmtId="0" fontId="0" fillId="12" borderId="0" xfId="0" applyFill="1" applyAlignment="1">
      <alignment horizontal="left" indent="1"/>
    </xf>
    <xf numFmtId="0" fontId="0" fillId="8" borderId="0" xfId="0" applyFill="1"/>
    <xf numFmtId="0" fontId="0" fillId="8" borderId="0" xfId="0" applyFill="1" applyAlignment="1">
      <alignment horizontal="left"/>
    </xf>
    <xf numFmtId="0" fontId="0" fillId="13" borderId="0" xfId="0" applyFill="1"/>
    <xf numFmtId="0" fontId="0" fillId="13" borderId="0" xfId="0" applyFill="1" applyAlignment="1">
      <alignment horizontal="left"/>
    </xf>
    <xf numFmtId="0" fontId="0" fillId="13" borderId="0" xfId="0" applyFill="1" applyAlignment="1">
      <alignment horizontal="left" indent="1"/>
    </xf>
    <xf numFmtId="0" fontId="0" fillId="14" borderId="0" xfId="0" applyFill="1"/>
    <xf numFmtId="0" fontId="0" fillId="14" borderId="0" xfId="0" applyFill="1" applyAlignment="1">
      <alignment horizontal="left"/>
    </xf>
    <xf numFmtId="0" fontId="0" fillId="14" borderId="0" xfId="0" applyFill="1" applyAlignment="1">
      <alignment horizontal="left" indent="1"/>
    </xf>
    <xf numFmtId="0" fontId="0" fillId="0" borderId="11" xfId="0" pivotButton="1" applyBorder="1"/>
    <xf numFmtId="0" fontId="0" fillId="0" borderId="11" xfId="0" applyBorder="1" applyAlignment="1">
      <alignment horizontal="left"/>
    </xf>
    <xf numFmtId="9" fontId="0" fillId="0" borderId="0" xfId="1" applyFont="1"/>
    <xf numFmtId="164" fontId="0" fillId="8" borderId="0" xfId="0" applyNumberFormat="1" applyFill="1"/>
    <xf numFmtId="164" fontId="0" fillId="0" borderId="0" xfId="1" applyNumberFormat="1" applyFont="1"/>
    <xf numFmtId="0" fontId="0" fillId="13" borderId="0" xfId="0" applyFill="1" applyAlignment="1">
      <alignment horizontal="center"/>
    </xf>
    <xf numFmtId="0" fontId="0" fillId="11" borderId="0" xfId="0" applyFill="1" applyAlignment="1">
      <alignment horizontal="center"/>
    </xf>
    <xf numFmtId="0" fontId="0" fillId="9" borderId="12" xfId="0" applyFill="1" applyBorder="1" applyAlignment="1">
      <alignment horizontal="center"/>
    </xf>
    <xf numFmtId="0" fontId="0" fillId="9" borderId="13" xfId="0" applyFill="1" applyBorder="1" applyAlignment="1">
      <alignment horizontal="center"/>
    </xf>
    <xf numFmtId="0" fontId="4" fillId="0" borderId="0" xfId="0" applyFont="1" applyAlignment="1">
      <alignment horizontal="center" wrapText="1"/>
    </xf>
    <xf numFmtId="0" fontId="0" fillId="0" borderId="0" xfId="0" applyAlignment="1">
      <alignment horizontal="center"/>
    </xf>
    <xf numFmtId="0" fontId="10" fillId="5" borderId="8" xfId="0" applyFont="1" applyFill="1" applyBorder="1" applyAlignment="1">
      <alignment horizontal="left" vertical="center" wrapText="1"/>
    </xf>
    <xf numFmtId="0" fontId="10" fillId="6" borderId="8" xfId="0" applyFont="1" applyFill="1" applyBorder="1" applyAlignment="1">
      <alignment horizontal="left" vertical="center" wrapText="1"/>
    </xf>
    <xf numFmtId="0" fontId="1" fillId="2" borderId="5" xfId="0" applyFont="1" applyFill="1" applyBorder="1" applyAlignment="1">
      <alignment horizontal="center"/>
    </xf>
    <xf numFmtId="0" fontId="10" fillId="3" borderId="8" xfId="0" applyFont="1" applyFill="1" applyBorder="1" applyAlignment="1">
      <alignment horizontal="left" wrapText="1"/>
    </xf>
    <xf numFmtId="0" fontId="0" fillId="6" borderId="8" xfId="0" applyFill="1" applyBorder="1" applyAlignment="1">
      <alignment horizontal="left" vertical="center"/>
    </xf>
    <xf numFmtId="0" fontId="1" fillId="2" borderId="0" xfId="0" applyFont="1" applyFill="1" applyAlignment="1">
      <alignment horizontal="center"/>
    </xf>
    <xf numFmtId="0" fontId="1" fillId="2" borderId="2" xfId="0" applyFont="1" applyFill="1" applyBorder="1" applyAlignment="1">
      <alignment horizontal="center"/>
    </xf>
    <xf numFmtId="0" fontId="1" fillId="2" borderId="10" xfId="0" applyFont="1" applyFill="1" applyBorder="1" applyAlignment="1">
      <alignment horizontal="center"/>
    </xf>
    <xf numFmtId="0" fontId="5" fillId="7" borderId="0" xfId="0" applyFont="1" applyFill="1" applyAlignment="1">
      <alignment horizontal="center" vertical="center"/>
    </xf>
    <xf numFmtId="0" fontId="0" fillId="7" borderId="0" xfId="0" applyFill="1" applyAlignment="1">
      <alignment horizontal="center" vertical="center"/>
    </xf>
    <xf numFmtId="0" fontId="0" fillId="3" borderId="8" xfId="0" applyFill="1" applyBorder="1" applyAlignment="1">
      <alignment horizontal="left" vertical="center"/>
    </xf>
    <xf numFmtId="0" fontId="0" fillId="14" borderId="0" xfId="0" applyNumberFormat="1" applyFill="1"/>
    <xf numFmtId="0" fontId="0" fillId="5" borderId="0" xfId="0" applyNumberFormat="1" applyFill="1"/>
    <xf numFmtId="0" fontId="0" fillId="16" borderId="0" xfId="0" applyFill="1"/>
    <xf numFmtId="0" fontId="14" fillId="6" borderId="8" xfId="0" applyFont="1" applyFill="1" applyBorder="1" applyAlignment="1">
      <alignment horizontal="right"/>
    </xf>
    <xf numFmtId="0" fontId="14" fillId="6" borderId="8" xfId="0" applyFont="1" applyFill="1" applyBorder="1" applyAlignment="1">
      <alignment horizontal="right" wrapText="1"/>
    </xf>
    <xf numFmtId="0" fontId="0" fillId="0" borderId="0" xfId="0" applyAlignment="1">
      <alignment vertical="top"/>
    </xf>
    <xf numFmtId="0" fontId="10" fillId="6" borderId="8" xfId="0" applyFont="1" applyFill="1" applyBorder="1" applyAlignment="1">
      <alignment horizontal="left" vertical="top" wrapText="1"/>
    </xf>
    <xf numFmtId="0" fontId="10" fillId="6" borderId="8" xfId="0" applyFont="1" applyFill="1" applyBorder="1" applyAlignment="1">
      <alignment vertical="top" wrapText="1"/>
    </xf>
    <xf numFmtId="0" fontId="0" fillId="0" borderId="0" xfId="0" applyAlignment="1">
      <alignment horizontal="left" vertical="center"/>
    </xf>
    <xf numFmtId="0" fontId="0" fillId="12" borderId="0" xfId="0" applyNumberFormat="1" applyFill="1"/>
    <xf numFmtId="0" fontId="0" fillId="8" borderId="0" xfId="0" applyNumberFormat="1" applyFill="1"/>
    <xf numFmtId="10" fontId="0" fillId="8" borderId="0" xfId="0" applyNumberFormat="1" applyFill="1"/>
    <xf numFmtId="0" fontId="0" fillId="0" borderId="16" xfId="0" applyBorder="1"/>
    <xf numFmtId="0" fontId="0" fillId="0" borderId="13" xfId="0" applyBorder="1"/>
    <xf numFmtId="0" fontId="0" fillId="13" borderId="0" xfId="0" applyNumberFormat="1" applyFill="1"/>
    <xf numFmtId="0" fontId="0" fillId="0" borderId="17" xfId="0" applyNumberFormat="1" applyBorder="1"/>
    <xf numFmtId="164" fontId="0" fillId="0" borderId="18" xfId="0" applyNumberFormat="1" applyBorder="1"/>
    <xf numFmtId="0" fontId="0" fillId="0" borderId="0" xfId="0" applyFill="1"/>
    <xf numFmtId="1" fontId="0" fillId="0" borderId="0" xfId="0" applyNumberFormat="1" applyFill="1"/>
    <xf numFmtId="9" fontId="0" fillId="0" borderId="0" xfId="0" applyNumberFormat="1" applyFill="1"/>
    <xf numFmtId="0" fontId="13" fillId="0" borderId="0" xfId="0" applyFont="1"/>
    <xf numFmtId="1" fontId="13" fillId="0" borderId="0" xfId="0" applyNumberFormat="1" applyFont="1"/>
    <xf numFmtId="0" fontId="15" fillId="5" borderId="0" xfId="0" applyFont="1" applyFill="1"/>
    <xf numFmtId="1" fontId="15" fillId="5" borderId="0" xfId="0" applyNumberFormat="1" applyFont="1" applyFill="1"/>
    <xf numFmtId="0" fontId="16" fillId="13" borderId="0" xfId="0" applyFont="1" applyFill="1"/>
    <xf numFmtId="0" fontId="5" fillId="15" borderId="0" xfId="0" applyFont="1" applyFill="1" applyAlignment="1"/>
    <xf numFmtId="0" fontId="5" fillId="15" borderId="0" xfId="0" applyFont="1" applyFill="1" applyAlignment="1">
      <alignment horizontal="center"/>
    </xf>
    <xf numFmtId="0" fontId="5" fillId="16" borderId="0" xfId="0" applyFont="1" applyFill="1" applyAlignment="1">
      <alignment horizontal="center"/>
    </xf>
    <xf numFmtId="0" fontId="5" fillId="16" borderId="0" xfId="0" applyFont="1" applyFill="1"/>
    <xf numFmtId="0" fontId="0" fillId="17" borderId="0" xfId="0" applyFill="1" applyAlignment="1">
      <alignment horizontal="center"/>
    </xf>
    <xf numFmtId="0" fontId="0" fillId="15" borderId="0" xfId="0" applyFill="1"/>
  </cellXfs>
  <cellStyles count="2">
    <cellStyle name="Normal" xfId="0" builtinId="0"/>
    <cellStyle name="Percent" xfId="1" builtinId="5"/>
  </cellStyles>
  <dxfs count="275">
    <dxf>
      <border>
        <left style="thin">
          <color theme="5"/>
        </left>
        <right style="thin">
          <color theme="5"/>
        </right>
        <top style="thin">
          <color theme="5"/>
        </top>
        <bottom style="thin">
          <color theme="5"/>
        </bottom>
      </border>
    </dxf>
    <dxf>
      <border>
        <left style="thin">
          <color theme="5"/>
        </left>
        <right style="thin">
          <color theme="5"/>
        </right>
        <top style="thin">
          <color theme="5"/>
        </top>
        <bottom style="thin">
          <color theme="5"/>
        </bottom>
      </border>
    </dxf>
    <dxf>
      <border>
        <left style="thin">
          <color theme="5"/>
        </left>
        <right style="thin">
          <color theme="5"/>
        </right>
        <top style="thin">
          <color theme="5"/>
        </top>
        <bottom style="thin">
          <color theme="5"/>
        </bottom>
      </border>
    </dxf>
    <dxf>
      <border>
        <left style="thin">
          <color theme="5"/>
        </left>
        <right style="thin">
          <color theme="5"/>
        </right>
        <top style="thin">
          <color theme="5"/>
        </top>
        <bottom style="thin">
          <color theme="5"/>
        </bottom>
      </border>
    </dxf>
    <dxf>
      <border>
        <left style="thin">
          <color theme="5"/>
        </left>
        <right style="thin">
          <color theme="5"/>
        </right>
        <top style="thin">
          <color theme="5"/>
        </top>
        <bottom style="thin">
          <color theme="5"/>
        </bottom>
      </border>
    </dxf>
    <dxf>
      <border>
        <left style="thin">
          <color theme="5"/>
        </left>
        <right style="thin">
          <color theme="5"/>
        </right>
        <top style="thin">
          <color theme="5"/>
        </top>
        <bottom style="thin">
          <color theme="5"/>
        </bottom>
      </border>
    </dxf>
    <dxf>
      <numFmt numFmtId="14" formatCode="0.00%"/>
    </dxf>
    <dxf>
      <numFmt numFmtId="164" formatCode="0.0%"/>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color auto="1"/>
      </font>
    </dxf>
    <dxf>
      <font>
        <color auto="1"/>
      </font>
    </dxf>
    <dxf>
      <font>
        <color auto="1"/>
      </font>
    </dxf>
    <dxf>
      <font>
        <color theme="0"/>
      </font>
    </dxf>
    <dxf>
      <font>
        <color theme="0"/>
      </font>
    </dxf>
    <dxf>
      <font>
        <color theme="0"/>
      </font>
    </dxf>
    <dxf>
      <font>
        <color auto="1"/>
      </font>
    </dxf>
    <dxf>
      <fill>
        <patternFill>
          <bgColor theme="4" tint="0.79998168889431442"/>
        </patternFill>
      </fill>
    </dxf>
    <dxf>
      <fill>
        <patternFill>
          <bgColor theme="4" tint="0.79998168889431442"/>
        </patternFill>
      </fill>
    </dxf>
    <dxf>
      <fill>
        <patternFill>
          <bgColor theme="4" tint="0.79998168889431442"/>
        </patternFill>
      </fill>
    </dxf>
    <dxf>
      <numFmt numFmtId="165" formatCode="0.0"/>
    </dxf>
    <dxf>
      <numFmt numFmtId="1" formatCode="0"/>
    </dxf>
    <dxf>
      <font>
        <color theme="0"/>
      </font>
    </dxf>
    <dxf>
      <font>
        <color theme="0"/>
      </font>
    </dxf>
    <dxf>
      <font>
        <color theme="0"/>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0.0"/>
    </dxf>
    <dxf>
      <numFmt numFmtId="1" formatCode="0"/>
    </dxf>
    <dxf>
      <numFmt numFmtId="164" formatCode="0.0%"/>
    </dxf>
    <dxf>
      <numFmt numFmtId="14" formatCode="0.00%"/>
    </dxf>
    <dxf>
      <numFmt numFmtId="164" formatCode="0.0%"/>
    </dxf>
    <dxf>
      <numFmt numFmtId="14" formatCode="0.00%"/>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4" tint="0.79998168889431442"/>
        </patternFill>
      </fill>
    </dxf>
    <dxf>
      <fill>
        <patternFill>
          <bgColor theme="4" tint="0.79998168889431442"/>
        </patternFill>
      </fill>
    </dxf>
    <dxf>
      <fill>
        <patternFill>
          <bgColor theme="4" tint="0.79998168889431442"/>
        </patternFill>
      </fill>
    </dxf>
    <dxf>
      <numFmt numFmtId="164" formatCode="0.0%"/>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numFmt numFmtId="1" formatCode="0"/>
    </dxf>
    <dxf>
      <fill>
        <patternFill>
          <bgColor theme="5" tint="0.79998168889431442"/>
        </patternFill>
      </fill>
    </dxf>
    <dxf>
      <fill>
        <patternFill>
          <bgColor theme="5" tint="0.79998168889431442"/>
        </patternFill>
      </fill>
    </dxf>
    <dxf>
      <fill>
        <patternFill>
          <bgColor theme="5"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4" formatCode="0.0%"/>
    </dxf>
    <dxf>
      <numFmt numFmtId="14" formatCode="0.00%"/>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style="thin">
          <color theme="5"/>
        </left>
        <right style="thin">
          <color theme="5"/>
        </right>
        <top style="thin">
          <color theme="5"/>
        </top>
        <bottom style="thin">
          <color theme="5"/>
        </bottom>
      </border>
    </dxf>
    <dxf>
      <border>
        <left style="thin">
          <color theme="5"/>
        </left>
        <right style="thin">
          <color theme="5"/>
        </right>
        <top style="thin">
          <color theme="5"/>
        </top>
        <bottom style="thin">
          <color theme="5"/>
        </bottom>
      </border>
    </dxf>
    <dxf>
      <border>
        <left style="thin">
          <color theme="5"/>
        </left>
        <right style="thin">
          <color theme="5"/>
        </right>
        <top style="thin">
          <color theme="5"/>
        </top>
        <bottom style="thin">
          <color theme="5"/>
        </bottom>
      </border>
    </dxf>
    <dxf>
      <border>
        <left style="thin">
          <color theme="5"/>
        </left>
        <right style="thin">
          <color theme="5"/>
        </right>
        <top style="thin">
          <color theme="5"/>
        </top>
        <bottom style="thin">
          <color theme="5"/>
        </bottom>
      </border>
    </dxf>
    <dxf>
      <border>
        <left style="thin">
          <color theme="5"/>
        </left>
        <right style="thin">
          <color theme="5"/>
        </right>
        <top style="thin">
          <color theme="5"/>
        </top>
        <bottom style="thin">
          <color theme="5"/>
        </bottom>
      </border>
    </dxf>
    <dxf>
      <border>
        <left style="thin">
          <color theme="5"/>
        </left>
        <right style="thin">
          <color theme="5"/>
        </right>
        <top style="thin">
          <color theme="5"/>
        </top>
        <bottom style="thin">
          <color theme="5"/>
        </bottom>
      </border>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numFmt numFmtId="164" formatCode="0.0%"/>
    </dxf>
    <dxf>
      <numFmt numFmtId="164" formatCode="0.0%"/>
    </dxf>
    <dxf>
      <numFmt numFmtId="14" formatCode="0.00%"/>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13" formatCode="0%"/>
    </dxf>
    <dxf>
      <fill>
        <patternFill>
          <bgColor theme="5" tint="0.79998168889431442"/>
        </patternFill>
      </fill>
    </dxf>
    <dxf>
      <fill>
        <patternFill>
          <bgColor theme="5" tint="0.79998168889431442"/>
        </patternFill>
      </fill>
    </dxf>
    <dxf>
      <fill>
        <patternFill>
          <bgColor theme="5" tint="0.79998168889431442"/>
        </patternFill>
      </fill>
    </dxf>
    <dxf>
      <numFmt numFmtId="164" formatCode="0.0%"/>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numFmt numFmtId="1" formatCode="0"/>
    </dxf>
    <dxf>
      <fill>
        <patternFill>
          <bgColor theme="5" tint="0.79998168889431442"/>
        </patternFill>
      </fill>
    </dxf>
    <dxf>
      <fill>
        <patternFill>
          <bgColor theme="5" tint="0.79998168889431442"/>
        </patternFill>
      </fill>
    </dxf>
    <dxf>
      <fill>
        <patternFill>
          <bgColor theme="5" tint="0.79998168889431442"/>
        </patternFill>
      </fill>
    </dxf>
    <dxf>
      <numFmt numFmtId="164" formatCode="0.0%"/>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8159446F-78E1-41D5-9994-43EACD0C888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42" Type="http://schemas.openxmlformats.org/officeDocument/2006/relationships/theme" Target="theme/theme1.xml"/><Relationship Id="rId47" Type="http://schemas.openxmlformats.org/officeDocument/2006/relationships/powerPivotData" Target="model/item.data"/><Relationship Id="rId63" Type="http://schemas.openxmlformats.org/officeDocument/2006/relationships/customXml" Target="../customXml/item15.xml"/><Relationship Id="rId68" Type="http://schemas.openxmlformats.org/officeDocument/2006/relationships/customXml" Target="../customXml/item20.xml"/><Relationship Id="rId7" Type="http://schemas.openxmlformats.org/officeDocument/2006/relationships/worksheet" Target="worksheets/sheet7.xml"/><Relationship Id="rId71" Type="http://schemas.openxmlformats.org/officeDocument/2006/relationships/customXml" Target="../customXml/item23.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pivotCacheDefinition" Target="pivotCache/pivotCacheDefinition22.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pivotCacheDefinition" Target="pivotCache/pivotCacheDefinition25.xml"/><Relationship Id="rId37" Type="http://schemas.openxmlformats.org/officeDocument/2006/relationships/pivotCacheDefinition" Target="pivotCache/pivotCacheDefinition30.xml"/><Relationship Id="rId40" Type="http://schemas.microsoft.com/office/2007/relationships/slicerCache" Target="slicerCaches/slicerCache1.xml"/><Relationship Id="rId45" Type="http://schemas.openxmlformats.org/officeDocument/2006/relationships/sharedStrings" Target="sharedStrings.xml"/><Relationship Id="rId53" Type="http://schemas.openxmlformats.org/officeDocument/2006/relationships/customXml" Target="../customXml/item5.xml"/><Relationship Id="rId58" Type="http://schemas.openxmlformats.org/officeDocument/2006/relationships/customXml" Target="../customXml/item10.xml"/><Relationship Id="rId66" Type="http://schemas.openxmlformats.org/officeDocument/2006/relationships/customXml" Target="../customXml/item18.xml"/><Relationship Id="rId5" Type="http://schemas.openxmlformats.org/officeDocument/2006/relationships/worksheet" Target="worksheets/sheet5.xml"/><Relationship Id="rId61" Type="http://schemas.openxmlformats.org/officeDocument/2006/relationships/customXml" Target="../customXml/item13.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openxmlformats.org/officeDocument/2006/relationships/pivotCacheDefinition" Target="pivotCache/pivotCacheDefinition23.xml"/><Relationship Id="rId35" Type="http://schemas.openxmlformats.org/officeDocument/2006/relationships/pivotCacheDefinition" Target="pivotCache/pivotCacheDefinition28.xml"/><Relationship Id="rId43" Type="http://schemas.openxmlformats.org/officeDocument/2006/relationships/connections" Target="connections.xml"/><Relationship Id="rId48" Type="http://schemas.openxmlformats.org/officeDocument/2006/relationships/calcChain" Target="calcChain.xml"/><Relationship Id="rId56" Type="http://schemas.openxmlformats.org/officeDocument/2006/relationships/customXml" Target="../customXml/item8.xml"/><Relationship Id="rId64" Type="http://schemas.openxmlformats.org/officeDocument/2006/relationships/customXml" Target="../customXml/item16.xml"/><Relationship Id="rId69" Type="http://schemas.openxmlformats.org/officeDocument/2006/relationships/customXml" Target="../customXml/item21.xml"/><Relationship Id="rId8" Type="http://schemas.openxmlformats.org/officeDocument/2006/relationships/pivotCacheDefinition" Target="pivotCache/pivotCacheDefinition1.xml"/><Relationship Id="rId51"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pivotCacheDefinition" Target="pivotCache/pivotCacheDefinition26.xml"/><Relationship Id="rId38" Type="http://schemas.openxmlformats.org/officeDocument/2006/relationships/pivotCacheDefinition" Target="pivotCache/pivotCacheDefinition31.xml"/><Relationship Id="rId46" Type="http://schemas.openxmlformats.org/officeDocument/2006/relationships/sheetMetadata" Target="metadata.xml"/><Relationship Id="rId59" Type="http://schemas.openxmlformats.org/officeDocument/2006/relationships/customXml" Target="../customXml/item11.xml"/><Relationship Id="rId67" Type="http://schemas.openxmlformats.org/officeDocument/2006/relationships/customXml" Target="../customXml/item19.xml"/><Relationship Id="rId20" Type="http://schemas.openxmlformats.org/officeDocument/2006/relationships/pivotCacheDefinition" Target="pivotCache/pivotCacheDefinition13.xml"/><Relationship Id="rId41" Type="http://schemas.microsoft.com/office/2007/relationships/slicerCache" Target="slicerCaches/slicerCache2.xml"/><Relationship Id="rId54" Type="http://schemas.openxmlformats.org/officeDocument/2006/relationships/customXml" Target="../customXml/item6.xml"/><Relationship Id="rId62" Type="http://schemas.openxmlformats.org/officeDocument/2006/relationships/customXml" Target="../customXml/item14.xml"/><Relationship Id="rId70"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openxmlformats.org/officeDocument/2006/relationships/pivotCacheDefinition" Target="pivotCache/pivotCacheDefinition29.xml"/><Relationship Id="rId49" Type="http://schemas.openxmlformats.org/officeDocument/2006/relationships/customXml" Target="../customXml/item1.xml"/><Relationship Id="rId57" Type="http://schemas.openxmlformats.org/officeDocument/2006/relationships/customXml" Target="../customXml/item9.xml"/><Relationship Id="rId10" Type="http://schemas.openxmlformats.org/officeDocument/2006/relationships/pivotCacheDefinition" Target="pivotCache/pivotCacheDefinition3.xml"/><Relationship Id="rId31" Type="http://schemas.openxmlformats.org/officeDocument/2006/relationships/pivotCacheDefinition" Target="pivotCache/pivotCacheDefinition24.xml"/><Relationship Id="rId44" Type="http://schemas.openxmlformats.org/officeDocument/2006/relationships/styles" Target="styles.xml"/><Relationship Id="rId52" Type="http://schemas.openxmlformats.org/officeDocument/2006/relationships/customXml" Target="../customXml/item4.xml"/><Relationship Id="rId60" Type="http://schemas.openxmlformats.org/officeDocument/2006/relationships/customXml" Target="../customXml/item12.xml"/><Relationship Id="rId65"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pivotCacheDefinition" Target="pivotCache/pivotCacheDefinition32.xml"/><Relationship Id="rId34" Type="http://schemas.openxmlformats.org/officeDocument/2006/relationships/pivotCacheDefinition" Target="pivotCache/pivotCacheDefinition27.xml"/><Relationship Id="rId50" Type="http://schemas.openxmlformats.org/officeDocument/2006/relationships/customXml" Target="../customXml/item2.xml"/><Relationship Id="rId55" Type="http://schemas.openxmlformats.org/officeDocument/2006/relationships/customXml" Target="../customXml/item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Care Dengue Project.xlsx]6-Analysis!PivotTable13</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'6-Analysis'!$K$7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'6-Analysis'!$J$8:$J$13</c:f>
              <c:multiLvlStrCache>
                <c:ptCount val="4"/>
                <c:lvl>
                  <c:pt idx="0">
                    <c:v>Developed</c:v>
                  </c:pt>
                  <c:pt idx="1">
                    <c:v>Undeveloped</c:v>
                  </c:pt>
                  <c:pt idx="2">
                    <c:v>Developed</c:v>
                  </c:pt>
                  <c:pt idx="3">
                    <c:v>Undeveloped</c:v>
                  </c:pt>
                </c:lvl>
                <c:lvl>
                  <c:pt idx="0">
                    <c:v>Not Previously Infected</c:v>
                  </c:pt>
                  <c:pt idx="2">
                    <c:v>Previously Infected</c:v>
                  </c:pt>
                </c:lvl>
              </c:multiLvlStrCache>
            </c:multiLvlStrRef>
          </c:cat>
          <c:val>
            <c:numRef>
              <c:f>'6-Analysis'!$K$8:$K$13</c:f>
              <c:numCache>
                <c:formatCode>General</c:formatCode>
                <c:ptCount val="4"/>
                <c:pt idx="0">
                  <c:v>132</c:v>
                </c:pt>
                <c:pt idx="1">
                  <c:v>142</c:v>
                </c:pt>
                <c:pt idx="2">
                  <c:v>125</c:v>
                </c:pt>
                <c:pt idx="3">
                  <c:v>134</c:v>
                </c:pt>
              </c:numCache>
            </c:numRef>
          </c:val>
          <c:extLst>
            <c:ext xmlns:c16="http://schemas.microsoft.com/office/drawing/2014/chart" uri="{C3380CC4-5D6E-409C-BE32-E72D297353CC}">
              <c16:uniqueId val="{00000000-705C-4169-8FC2-0FFD715A676B}"/>
            </c:ext>
          </c:extLst>
        </c:ser>
        <c:dLbls>
          <c:dLblPos val="ctr"/>
          <c:showLegendKey val="0"/>
          <c:showVal val="1"/>
          <c:showCatName val="0"/>
          <c:showSerName val="0"/>
          <c:showPercent val="0"/>
          <c:showBubbleSize val="0"/>
        </c:dLbls>
        <c:gapWidth val="150"/>
        <c:overlap val="100"/>
        <c:axId val="1040963552"/>
        <c:axId val="1229923024"/>
      </c:barChart>
      <c:catAx>
        <c:axId val="10409635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29923024"/>
        <c:crosses val="autoZero"/>
        <c:auto val="1"/>
        <c:lblAlgn val="ctr"/>
        <c:lblOffset val="100"/>
        <c:noMultiLvlLbl val="0"/>
      </c:catAx>
      <c:valAx>
        <c:axId val="122992302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409635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Care Dengue Project.xlsx]6-Analysis!PivotTable14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'6-Analysis'!$N$7</c:f>
              <c:strCache>
                <c:ptCount val="1"/>
                <c:pt idx="0">
                  <c:v>Total</c:v>
                </c:pt>
              </c:strCache>
            </c:strRef>
          </c:tx>
          <c:spPr>
            <a:solidFill>
              <a:schemeClr val="accent1"/>
            </a:solidFill>
            <a:ln>
              <a:noFill/>
            </a:ln>
            <a:effectLst/>
          </c:spPr>
          <c:invertIfNegative val="0"/>
          <c:cat>
            <c:multiLvlStrRef>
              <c:f>'6-Analysis'!$M$8:$M$22</c:f>
              <c:multiLvlStrCache>
                <c:ptCount val="12"/>
                <c:lvl>
                  <c:pt idx="0">
                    <c:v>Adolescents</c:v>
                  </c:pt>
                  <c:pt idx="1">
                    <c:v>Adults</c:v>
                  </c:pt>
                  <c:pt idx="2">
                    <c:v>Child</c:v>
                  </c:pt>
                  <c:pt idx="3">
                    <c:v>Elderly</c:v>
                  </c:pt>
                  <c:pt idx="4">
                    <c:v>Middle Aged</c:v>
                  </c:pt>
                  <c:pt idx="5">
                    <c:v>Young Adolescents</c:v>
                  </c:pt>
                  <c:pt idx="6">
                    <c:v>Adolescents</c:v>
                  </c:pt>
                  <c:pt idx="7">
                    <c:v>Adults</c:v>
                  </c:pt>
                  <c:pt idx="8">
                    <c:v>Child</c:v>
                  </c:pt>
                  <c:pt idx="9">
                    <c:v>Elderly</c:v>
                  </c:pt>
                  <c:pt idx="10">
                    <c:v>Middle Aged</c:v>
                  </c:pt>
                  <c:pt idx="11">
                    <c:v>Young Adolescents</c:v>
                  </c:pt>
                </c:lvl>
                <c:lvl>
                  <c:pt idx="0">
                    <c:v>Not Previously Infected</c:v>
                  </c:pt>
                  <c:pt idx="6">
                    <c:v>Previously Infected</c:v>
                  </c:pt>
                </c:lvl>
              </c:multiLvlStrCache>
            </c:multiLvlStrRef>
          </c:cat>
          <c:val>
            <c:numRef>
              <c:f>'6-Analysis'!$N$8:$N$22</c:f>
              <c:numCache>
                <c:formatCode>General</c:formatCode>
                <c:ptCount val="12"/>
                <c:pt idx="0">
                  <c:v>57</c:v>
                </c:pt>
                <c:pt idx="1">
                  <c:v>185</c:v>
                </c:pt>
                <c:pt idx="2">
                  <c:v>58</c:v>
                </c:pt>
                <c:pt idx="3">
                  <c:v>12</c:v>
                </c:pt>
                <c:pt idx="4">
                  <c:v>162</c:v>
                </c:pt>
                <c:pt idx="5">
                  <c:v>51</c:v>
                </c:pt>
                <c:pt idx="6">
                  <c:v>36</c:v>
                </c:pt>
                <c:pt idx="7">
                  <c:v>167</c:v>
                </c:pt>
                <c:pt idx="8">
                  <c:v>50</c:v>
                </c:pt>
                <c:pt idx="9">
                  <c:v>4</c:v>
                </c:pt>
                <c:pt idx="10">
                  <c:v>173</c:v>
                </c:pt>
                <c:pt idx="11">
                  <c:v>45</c:v>
                </c:pt>
              </c:numCache>
            </c:numRef>
          </c:val>
          <c:extLst>
            <c:ext xmlns:c16="http://schemas.microsoft.com/office/drawing/2014/chart" uri="{C3380CC4-5D6E-409C-BE32-E72D297353CC}">
              <c16:uniqueId val="{00000000-54CD-49C5-9780-850AA6326860}"/>
            </c:ext>
          </c:extLst>
        </c:ser>
        <c:dLbls>
          <c:showLegendKey val="0"/>
          <c:showVal val="0"/>
          <c:showCatName val="0"/>
          <c:showSerName val="0"/>
          <c:showPercent val="0"/>
          <c:showBubbleSize val="0"/>
        </c:dLbls>
        <c:gapWidth val="150"/>
        <c:overlap val="100"/>
        <c:axId val="1229922544"/>
        <c:axId val="1229920144"/>
      </c:barChart>
      <c:catAx>
        <c:axId val="122992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920144"/>
        <c:crosses val="autoZero"/>
        <c:auto val="1"/>
        <c:lblAlgn val="ctr"/>
        <c:lblOffset val="100"/>
        <c:noMultiLvlLbl val="0"/>
      </c:catAx>
      <c:valAx>
        <c:axId val="1229920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92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Care Dengue Project.xlsx]6-Analysis!PivotTable19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'6-Analysis'!$K$63</c:f>
              <c:strCache>
                <c:ptCount val="1"/>
                <c:pt idx="0">
                  <c:v>Total</c:v>
                </c:pt>
              </c:strCache>
            </c:strRef>
          </c:tx>
          <c:spPr>
            <a:solidFill>
              <a:schemeClr val="accent1"/>
            </a:solidFill>
            <a:ln>
              <a:noFill/>
            </a:ln>
            <a:effectLst/>
          </c:spPr>
          <c:invertIfNegative val="0"/>
          <c:cat>
            <c:multiLvlStrRef>
              <c:f>'6-Analysis'!$J$64:$J$70</c:f>
              <c:multiLvlStrCache>
                <c:ptCount val="4"/>
                <c:lvl>
                  <c:pt idx="0">
                    <c:v>Developed</c:v>
                  </c:pt>
                  <c:pt idx="1">
                    <c:v>Undeveloped</c:v>
                  </c:pt>
                  <c:pt idx="2">
                    <c:v>Developed</c:v>
                  </c:pt>
                  <c:pt idx="3">
                    <c:v>Undeveloped</c:v>
                  </c:pt>
                </c:lvl>
                <c:lvl>
                  <c:pt idx="0">
                    <c:v>Early Satge of Infection</c:v>
                  </c:pt>
                  <c:pt idx="2">
                    <c:v>Late Stage of Infection</c:v>
                  </c:pt>
                </c:lvl>
              </c:multiLvlStrCache>
            </c:multiLvlStrRef>
          </c:cat>
          <c:val>
            <c:numRef>
              <c:f>'6-Analysis'!$K$64:$K$70</c:f>
              <c:numCache>
                <c:formatCode>General</c:formatCode>
                <c:ptCount val="4"/>
                <c:pt idx="0">
                  <c:v>250</c:v>
                </c:pt>
                <c:pt idx="1">
                  <c:v>269</c:v>
                </c:pt>
                <c:pt idx="2">
                  <c:v>7</c:v>
                </c:pt>
                <c:pt idx="3">
                  <c:v>7</c:v>
                </c:pt>
              </c:numCache>
            </c:numRef>
          </c:val>
          <c:extLst>
            <c:ext xmlns:c16="http://schemas.microsoft.com/office/drawing/2014/chart" uri="{C3380CC4-5D6E-409C-BE32-E72D297353CC}">
              <c16:uniqueId val="{00000000-D3DA-40E4-87B5-597B75567530}"/>
            </c:ext>
          </c:extLst>
        </c:ser>
        <c:dLbls>
          <c:showLegendKey val="0"/>
          <c:showVal val="0"/>
          <c:showCatName val="0"/>
          <c:showSerName val="0"/>
          <c:showPercent val="0"/>
          <c:showBubbleSize val="0"/>
        </c:dLbls>
        <c:gapWidth val="219"/>
        <c:overlap val="-27"/>
        <c:axId val="1166687664"/>
        <c:axId val="1166686224"/>
      </c:barChart>
      <c:catAx>
        <c:axId val="116668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686224"/>
        <c:crosses val="autoZero"/>
        <c:auto val="1"/>
        <c:lblAlgn val="ctr"/>
        <c:lblOffset val="100"/>
        <c:noMultiLvlLbl val="0"/>
      </c:catAx>
      <c:valAx>
        <c:axId val="116668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68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Care Dengue Project.xlsx]6-Analysis!PivotTable20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'6-Analysis'!$N$62</c:f>
              <c:strCache>
                <c:ptCount val="1"/>
                <c:pt idx="0">
                  <c:v>Total</c:v>
                </c:pt>
              </c:strCache>
            </c:strRef>
          </c:tx>
          <c:spPr>
            <a:solidFill>
              <a:schemeClr val="accent1"/>
            </a:solidFill>
            <a:ln>
              <a:noFill/>
            </a:ln>
            <a:effectLst/>
          </c:spPr>
          <c:invertIfNegative val="0"/>
          <c:cat>
            <c:multiLvlStrRef>
              <c:f>'6-Analysis'!$M$63:$M$77</c:f>
              <c:multiLvlStrCache>
                <c:ptCount val="12"/>
                <c:lvl>
                  <c:pt idx="0">
                    <c:v>Adolescents</c:v>
                  </c:pt>
                  <c:pt idx="1">
                    <c:v>Adults</c:v>
                  </c:pt>
                  <c:pt idx="2">
                    <c:v>Child</c:v>
                  </c:pt>
                  <c:pt idx="3">
                    <c:v>Elderly</c:v>
                  </c:pt>
                  <c:pt idx="4">
                    <c:v>Middle Aged</c:v>
                  </c:pt>
                  <c:pt idx="5">
                    <c:v>Young Adolescents</c:v>
                  </c:pt>
                  <c:pt idx="6">
                    <c:v>Adolescents</c:v>
                  </c:pt>
                  <c:pt idx="7">
                    <c:v>Adults</c:v>
                  </c:pt>
                  <c:pt idx="8">
                    <c:v>Child</c:v>
                  </c:pt>
                  <c:pt idx="9">
                    <c:v>Elderly</c:v>
                  </c:pt>
                  <c:pt idx="10">
                    <c:v>Middle Aged</c:v>
                  </c:pt>
                  <c:pt idx="11">
                    <c:v>Young Adolescents</c:v>
                  </c:pt>
                </c:lvl>
                <c:lvl>
                  <c:pt idx="0">
                    <c:v>Early Satge of Infection</c:v>
                  </c:pt>
                  <c:pt idx="6">
                    <c:v>Late Stage of Infection</c:v>
                  </c:pt>
                </c:lvl>
              </c:multiLvlStrCache>
            </c:multiLvlStrRef>
          </c:cat>
          <c:val>
            <c:numRef>
              <c:f>'6-Analysis'!$N$63:$N$77</c:f>
              <c:numCache>
                <c:formatCode>General</c:formatCode>
                <c:ptCount val="12"/>
                <c:pt idx="0">
                  <c:v>49</c:v>
                </c:pt>
                <c:pt idx="1">
                  <c:v>183</c:v>
                </c:pt>
                <c:pt idx="2">
                  <c:v>60</c:v>
                </c:pt>
                <c:pt idx="3">
                  <c:v>9</c:v>
                </c:pt>
                <c:pt idx="4">
                  <c:v>171</c:v>
                </c:pt>
                <c:pt idx="5">
                  <c:v>47</c:v>
                </c:pt>
                <c:pt idx="6">
                  <c:v>44</c:v>
                </c:pt>
                <c:pt idx="7">
                  <c:v>169</c:v>
                </c:pt>
                <c:pt idx="8">
                  <c:v>48</c:v>
                </c:pt>
                <c:pt idx="9">
                  <c:v>7</c:v>
                </c:pt>
                <c:pt idx="10">
                  <c:v>164</c:v>
                </c:pt>
                <c:pt idx="11">
                  <c:v>49</c:v>
                </c:pt>
              </c:numCache>
            </c:numRef>
          </c:val>
          <c:extLst>
            <c:ext xmlns:c16="http://schemas.microsoft.com/office/drawing/2014/chart" uri="{C3380CC4-5D6E-409C-BE32-E72D297353CC}">
              <c16:uniqueId val="{00000000-5175-424D-920C-63DC6B81119B}"/>
            </c:ext>
          </c:extLst>
        </c:ser>
        <c:dLbls>
          <c:showLegendKey val="0"/>
          <c:showVal val="0"/>
          <c:showCatName val="0"/>
          <c:showSerName val="0"/>
          <c:showPercent val="0"/>
          <c:showBubbleSize val="0"/>
        </c:dLbls>
        <c:gapWidth val="150"/>
        <c:overlap val="100"/>
        <c:axId val="1173353024"/>
        <c:axId val="1173348224"/>
      </c:barChart>
      <c:catAx>
        <c:axId val="117335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348224"/>
        <c:crosses val="autoZero"/>
        <c:auto val="1"/>
        <c:lblAlgn val="ctr"/>
        <c:lblOffset val="100"/>
        <c:noMultiLvlLbl val="0"/>
      </c:catAx>
      <c:valAx>
        <c:axId val="1173348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35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Care Dengue Project.xlsx]6-Analysis!PivotTable11</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Gender Wise Infection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algn="tl" rotWithShape="0">
                <a:schemeClr val="accent2">
                  <a:alpha val="36000"/>
                </a:scheme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dLbl>
          <c:idx val="0"/>
          <c:layout>
            <c:manualLayout>
              <c:x val="9.166666666666666E-2"/>
              <c:y val="-0.2685185185185184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algn="tl" rotWithShape="0">
                <a:schemeClr val="accent2">
                  <a:alpha val="36000"/>
                </a:scheme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3"/>
        <c:spPr>
          <a:solidFill>
            <a:schemeClr val="accent6"/>
          </a:solidFill>
          <a:ln>
            <a:noFill/>
          </a:ln>
          <a:effectLst>
            <a:outerShdw blurRad="254000" sx="102000" sy="102000" algn="ctr" rotWithShape="0">
              <a:prstClr val="black">
                <a:alpha val="20000"/>
              </a:prstClr>
            </a:outerShdw>
          </a:effectLst>
        </c:spPr>
        <c:dLbl>
          <c:idx val="0"/>
          <c:layout>
            <c:manualLayout>
              <c:x val="0.05"/>
              <c:y val="1.851851851851843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outerShdw blurRad="254000" sx="102000" sy="102000" algn="ctr" rotWithShape="0">
              <a:prstClr val="black">
                <a:alpha val="20000"/>
              </a:prstClr>
            </a:outerShdw>
          </a:effectLst>
        </c:spPr>
        <c:dLbl>
          <c:idx val="0"/>
          <c:layout>
            <c:manualLayout>
              <c:x val="-0.12500000000000003"/>
              <c:y val="0.1759259259259260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algn="tl" rotWithShape="0">
                <a:schemeClr val="accent2">
                  <a:alpha val="36000"/>
                </a:scheme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accent6"/>
          </a:solidFill>
          <a:ln>
            <a:noFill/>
          </a:ln>
          <a:effectLst>
            <a:outerShdw blurRad="254000" sx="102000" sy="102000" algn="ctr" rotWithShape="0">
              <a:prstClr val="black">
                <a:alpha val="20000"/>
              </a:prstClr>
            </a:outerShdw>
          </a:effectLst>
        </c:spPr>
        <c:dLbl>
          <c:idx val="0"/>
          <c:layout>
            <c:manualLayout>
              <c:x val="-5.555555555555558E-2"/>
              <c:y val="-0.1157407407407407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'6-Analysis'!$C$99</c:f>
              <c:strCache>
                <c:ptCount val="1"/>
                <c:pt idx="0">
                  <c:v>% of Gender</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576-4EB0-9C94-7C53B710DF68}"/>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576-4EB0-9C94-7C53B710DF68}"/>
              </c:ext>
            </c:extLst>
          </c:dPt>
          <c:dLbls>
            <c:dLbl>
              <c:idx val="0"/>
              <c:layout>
                <c:manualLayout>
                  <c:x val="9.166666666666666E-2"/>
                  <c:y val="-0.26851851851851849"/>
                </c:manualLayout>
              </c:layout>
              <c:showLegendKey val="1"/>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5576-4EB0-9C94-7C53B710DF68}"/>
                </c:ext>
              </c:extLst>
            </c:dLbl>
            <c:dLbl>
              <c:idx val="1"/>
              <c:layout>
                <c:manualLayout>
                  <c:x val="-0.12500000000000003"/>
                  <c:y val="0.17592592592592601"/>
                </c:manualLayout>
              </c:layout>
              <c:showLegendKey val="1"/>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5576-4EB0-9C94-7C53B710DF6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algn="tl" rotWithShape="0">
                  <a:schemeClr val="accent2">
                    <a:alpha val="36000"/>
                  </a:scheme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0"/>
            <c:showSerName val="0"/>
            <c:showPercent val="0"/>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'6-Analysis'!$B$100:$B$101</c:f>
              <c:strCache>
                <c:ptCount val="2"/>
                <c:pt idx="0">
                  <c:v>Female</c:v>
                </c:pt>
                <c:pt idx="1">
                  <c:v>Male</c:v>
                </c:pt>
              </c:strCache>
            </c:strRef>
          </c:cat>
          <c:val>
            <c:numRef>
              <c:f>'6-Analysis'!$C$100:$C$101</c:f>
              <c:numCache>
                <c:formatCode>0.0%</c:formatCode>
                <c:ptCount val="2"/>
                <c:pt idx="0">
                  <c:v>0.5272045028142589</c:v>
                </c:pt>
                <c:pt idx="1">
                  <c:v>0.4727954971857411</c:v>
                </c:pt>
              </c:numCache>
            </c:numRef>
          </c:val>
          <c:extLst>
            <c:ext xmlns:c16="http://schemas.microsoft.com/office/drawing/2014/chart" uri="{C3380CC4-5D6E-409C-BE32-E72D297353CC}">
              <c16:uniqueId val="{00000000-5576-4EB0-9C94-7C53B710DF68}"/>
            </c:ext>
          </c:extLst>
        </c:ser>
        <c:ser>
          <c:idx val="1"/>
          <c:order val="1"/>
          <c:tx>
            <c:strRef>
              <c:f>'6-Analysis'!$D$99</c:f>
              <c:strCache>
                <c:ptCount val="1"/>
                <c:pt idx="0">
                  <c:v>Number of Gender</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5576-4EB0-9C94-7C53B710DF68}"/>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5576-4EB0-9C94-7C53B710DF68}"/>
              </c:ext>
            </c:extLst>
          </c:dPt>
          <c:dLbls>
            <c:dLbl>
              <c:idx val="0"/>
              <c:layout>
                <c:manualLayout>
                  <c:x val="0.05"/>
                  <c:y val="1.85185185185184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576-4EB0-9C94-7C53B710DF68}"/>
                </c:ext>
              </c:extLst>
            </c:dLbl>
            <c:dLbl>
              <c:idx val="1"/>
              <c:layout>
                <c:manualLayout>
                  <c:x val="-5.555555555555558E-2"/>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576-4EB0-9C94-7C53B710DF6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'6-Analysis'!$B$100:$B$101</c:f>
              <c:strCache>
                <c:ptCount val="2"/>
                <c:pt idx="0">
                  <c:v>Female</c:v>
                </c:pt>
                <c:pt idx="1">
                  <c:v>Male</c:v>
                </c:pt>
              </c:strCache>
            </c:strRef>
          </c:cat>
          <c:val>
            <c:numRef>
              <c:f>'6-Analysis'!$D$100:$D$101</c:f>
              <c:numCache>
                <c:formatCode>General</c:formatCode>
                <c:ptCount val="2"/>
                <c:pt idx="0">
                  <c:v>281</c:v>
                </c:pt>
                <c:pt idx="1">
                  <c:v>252</c:v>
                </c:pt>
              </c:numCache>
            </c:numRef>
          </c:val>
          <c:extLst>
            <c:ext xmlns:c16="http://schemas.microsoft.com/office/drawing/2014/chart" uri="{C3380CC4-5D6E-409C-BE32-E72D297353CC}">
              <c16:uniqueId val="{00000001-5576-4EB0-9C94-7C53B710DF6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Care Dengue Project.xlsx]6-Analysis!PivotTable12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House</a:t>
            </a:r>
            <a:r>
              <a:rPr lang="en-GB" baseline="0"/>
              <a:t> Type Wise Infection</a:t>
            </a:r>
            <a:endParaRPr lang="en-GB"/>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GB"/>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11111111111111101"/>
              <c:y val="0.1620370370370370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2.5000000000000026E-2"/>
              <c:y val="-0.138888888888888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6.6666666666666569E-2"/>
              <c:y val="-0.2129629629629629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8.0555555555555561E-2"/>
              <c:y val="-6.481481481481485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0.15833333333333333"/>
              <c:y val="6.018518518518509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'6-Analysis'!$C$135</c:f>
              <c:strCache>
                <c:ptCount val="1"/>
                <c:pt idx="0">
                  <c:v>Count of HouseType2</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3F5-4169-BB5D-E372567E1A4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3F5-4169-BB5D-E372567E1A4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3F5-4169-BB5D-E372567E1A43}"/>
              </c:ext>
            </c:extLst>
          </c:dPt>
          <c:dLbls>
            <c:dLbl>
              <c:idx val="0"/>
              <c:layout>
                <c:manualLayout>
                  <c:x val="6.6666666666666569E-2"/>
                  <c:y val="-0.212962962962962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F5-4169-BB5D-E372567E1A43}"/>
                </c:ext>
              </c:extLst>
            </c:dLbl>
            <c:dLbl>
              <c:idx val="1"/>
              <c:layout>
                <c:manualLayout>
                  <c:x val="0.11111111111111101"/>
                  <c:y val="0.16203703703703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F5-4169-BB5D-E372567E1A43}"/>
                </c:ext>
              </c:extLst>
            </c:dLbl>
            <c:dLbl>
              <c:idx val="2"/>
              <c:layout>
                <c:manualLayout>
                  <c:x val="-0.15833333333333333"/>
                  <c:y val="6.01851851851850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F5-4169-BB5D-E372567E1A4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'6-Analysis'!$B$136:$B$138</c:f>
              <c:strCache>
                <c:ptCount val="3"/>
                <c:pt idx="0">
                  <c:v>Building</c:v>
                </c:pt>
                <c:pt idx="1">
                  <c:v>Other</c:v>
                </c:pt>
                <c:pt idx="2">
                  <c:v>Tinshed</c:v>
                </c:pt>
              </c:strCache>
            </c:strRef>
          </c:cat>
          <c:val>
            <c:numRef>
              <c:f>'6-Analysis'!$C$136:$C$138</c:f>
              <c:numCache>
                <c:formatCode>0.0%</c:formatCode>
                <c:ptCount val="3"/>
                <c:pt idx="0">
                  <c:v>0.35834896810506567</c:v>
                </c:pt>
                <c:pt idx="1">
                  <c:v>0.31707317073170732</c:v>
                </c:pt>
                <c:pt idx="2">
                  <c:v>0.32457786116322701</c:v>
                </c:pt>
              </c:numCache>
            </c:numRef>
          </c:val>
          <c:extLst>
            <c:ext xmlns:c16="http://schemas.microsoft.com/office/drawing/2014/chart" uri="{C3380CC4-5D6E-409C-BE32-E72D297353CC}">
              <c16:uniqueId val="{00000000-63F5-4169-BB5D-E372567E1A43}"/>
            </c:ext>
          </c:extLst>
        </c:ser>
        <c:ser>
          <c:idx val="1"/>
          <c:order val="1"/>
          <c:tx>
            <c:strRef>
              <c:f>'6-Analysis'!$D$135</c:f>
              <c:strCache>
                <c:ptCount val="1"/>
                <c:pt idx="0">
                  <c:v>Count of HouseType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63F5-4169-BB5D-E372567E1A4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D5E-4436-9B7F-28E3A5B2A1F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63F5-4169-BB5D-E372567E1A43}"/>
              </c:ext>
            </c:extLst>
          </c:dPt>
          <c:dLbls>
            <c:dLbl>
              <c:idx val="0"/>
              <c:layout>
                <c:manualLayout>
                  <c:x val="8.0555555555555561E-2"/>
                  <c:y val="-6.48148148148148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F5-4169-BB5D-E372567E1A43}"/>
                </c:ext>
              </c:extLst>
            </c:dLbl>
            <c:dLbl>
              <c:idx val="2"/>
              <c:layout>
                <c:manualLayout>
                  <c:x val="-2.5000000000000026E-2"/>
                  <c:y val="-0.13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F5-4169-BB5D-E372567E1A4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'6-Analysis'!$B$136:$B$138</c:f>
              <c:strCache>
                <c:ptCount val="3"/>
                <c:pt idx="0">
                  <c:v>Building</c:v>
                </c:pt>
                <c:pt idx="1">
                  <c:v>Other</c:v>
                </c:pt>
                <c:pt idx="2">
                  <c:v>Tinshed</c:v>
                </c:pt>
              </c:strCache>
            </c:strRef>
          </c:cat>
          <c:val>
            <c:numRef>
              <c:f>'6-Analysis'!$D$136:$D$138</c:f>
              <c:numCache>
                <c:formatCode>General</c:formatCode>
                <c:ptCount val="3"/>
                <c:pt idx="0">
                  <c:v>191</c:v>
                </c:pt>
                <c:pt idx="1">
                  <c:v>169</c:v>
                </c:pt>
                <c:pt idx="2">
                  <c:v>173</c:v>
                </c:pt>
              </c:numCache>
            </c:numRef>
          </c:val>
          <c:extLst>
            <c:ext xmlns:c16="http://schemas.microsoft.com/office/drawing/2014/chart" uri="{C3380CC4-5D6E-409C-BE32-E72D297353CC}">
              <c16:uniqueId val="{00000001-63F5-4169-BB5D-E372567E1A4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Care Dengue Project.xlsx]6-Analysis!PivotTable7</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Area</a:t>
            </a:r>
            <a:r>
              <a:rPr lang="en-GB" baseline="0"/>
              <a:t> Type Wise Infection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7.3386373768358382E-2"/>
              <c:y val="-0.1481481481481481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14677274753671701"/>
              <c:y val="0.1712962962962963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6.2378417703104767E-2"/>
              <c:y val="-0.1435185185185185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0.13576479147146325"/>
              <c:y val="0.1666666666666666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'6-Analysis'!$C$64</c:f>
              <c:strCache>
                <c:ptCount val="1"/>
                <c:pt idx="0">
                  <c:v>% of Dengue Patients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D4F3-4112-830C-F701F8BC375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D4F3-4112-830C-F701F8BC3758}"/>
              </c:ext>
            </c:extLst>
          </c:dPt>
          <c:dLbls>
            <c:dLbl>
              <c:idx val="0"/>
              <c:layout>
                <c:manualLayout>
                  <c:x val="0.14677274753671701"/>
                  <c:y val="0.171296296296296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4F3-4112-830C-F701F8BC3758}"/>
                </c:ext>
              </c:extLst>
            </c:dLbl>
            <c:dLbl>
              <c:idx val="1"/>
              <c:layout>
                <c:manualLayout>
                  <c:x val="-0.13576479147146325"/>
                  <c:y val="0.166666666666666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4F3-4112-830C-F701F8BC375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'6-Analysis'!$B$65:$B$66</c:f>
              <c:strCache>
                <c:ptCount val="2"/>
                <c:pt idx="0">
                  <c:v>Developed</c:v>
                </c:pt>
                <c:pt idx="1">
                  <c:v>Undeveloped</c:v>
                </c:pt>
              </c:strCache>
            </c:strRef>
          </c:cat>
          <c:val>
            <c:numRef>
              <c:f>'6-Analysis'!$C$65:$C$66</c:f>
              <c:numCache>
                <c:formatCode>0.0%</c:formatCode>
                <c:ptCount val="2"/>
                <c:pt idx="0">
                  <c:v>0.48217636022514071</c:v>
                </c:pt>
                <c:pt idx="1">
                  <c:v>0.51782363977485923</c:v>
                </c:pt>
              </c:numCache>
            </c:numRef>
          </c:val>
          <c:extLst>
            <c:ext xmlns:c16="http://schemas.microsoft.com/office/drawing/2014/chart" uri="{C3380CC4-5D6E-409C-BE32-E72D297353CC}">
              <c16:uniqueId val="{00000000-D4F3-4112-830C-F701F8BC3758}"/>
            </c:ext>
          </c:extLst>
        </c:ser>
        <c:ser>
          <c:idx val="1"/>
          <c:order val="1"/>
          <c:tx>
            <c:strRef>
              <c:f>'6-Analysis'!$D$64</c:f>
              <c:strCache>
                <c:ptCount val="1"/>
                <c:pt idx="0">
                  <c:v>Number of Infection</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4F3-4112-830C-F701F8BC375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4F3-4112-830C-F701F8BC3758}"/>
              </c:ext>
            </c:extLst>
          </c:dPt>
          <c:dLbls>
            <c:dLbl>
              <c:idx val="0"/>
              <c:layout>
                <c:manualLayout>
                  <c:x val="7.3386373768358382E-2"/>
                  <c:y val="-0.1481481481481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4F3-4112-830C-F701F8BC3758}"/>
                </c:ext>
              </c:extLst>
            </c:dLbl>
            <c:dLbl>
              <c:idx val="1"/>
              <c:layout>
                <c:manualLayout>
                  <c:x val="-6.2378417703104767E-2"/>
                  <c:y val="-0.14351851851851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4F3-4112-830C-F701F8BC375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'6-Analysis'!$B$65:$B$66</c:f>
              <c:strCache>
                <c:ptCount val="2"/>
                <c:pt idx="0">
                  <c:v>Developed</c:v>
                </c:pt>
                <c:pt idx="1">
                  <c:v>Undeveloped</c:v>
                </c:pt>
              </c:strCache>
            </c:strRef>
          </c:cat>
          <c:val>
            <c:numRef>
              <c:f>'6-Analysis'!$D$65:$D$66</c:f>
              <c:numCache>
                <c:formatCode>General</c:formatCode>
                <c:ptCount val="2"/>
                <c:pt idx="0">
                  <c:v>257</c:v>
                </c:pt>
                <c:pt idx="1">
                  <c:v>276</c:v>
                </c:pt>
              </c:numCache>
            </c:numRef>
          </c:val>
          <c:extLst>
            <c:ext xmlns:c16="http://schemas.microsoft.com/office/drawing/2014/chart" uri="{C3380CC4-5D6E-409C-BE32-E72D297353CC}">
              <c16:uniqueId val="{00000001-D4F3-4112-830C-F701F8BC375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Care Dengue Project.xlsx]6-Analysis!PivotTable18</c:name>
    <c:fmtId val="6"/>
  </c:pivotSource>
  <c:chart>
    <c:title>
      <c:tx>
        <c:rich>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r>
              <a:rPr lang="en-GB"/>
              <a:t>Early</a:t>
            </a:r>
            <a:r>
              <a:rPr lang="en-GB" baseline="0"/>
              <a:t> VS Late Stage of Infection</a:t>
            </a:r>
            <a:endParaRPr lang="en-GB"/>
          </a:p>
        </c:rich>
      </c:tx>
      <c:overlay val="0"/>
      <c:spPr>
        <a:noFill/>
        <a:ln>
          <a:noFill/>
        </a:ln>
        <a:effectLst/>
      </c:spPr>
      <c:txPr>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endParaRPr lang="en-GB"/>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3.3333333333333229E-2"/>
              <c:y val="0.2037037037037036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1"/>
              <c:y val="-0.185185185185185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4.1666666666666678E-2"/>
              <c:y val="-0.1990740740740740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0.1111111111111111"/>
              <c:y val="0.1944444444444444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'6-Analysis'!$G$66</c:f>
              <c:strCache>
                <c:ptCount val="1"/>
                <c:pt idx="0">
                  <c:v>% of Dengue Infection</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9EA3-4603-A155-627387580C4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9EA3-4603-A155-627387580C41}"/>
              </c:ext>
            </c:extLst>
          </c:dPt>
          <c:dLbls>
            <c:dLbl>
              <c:idx val="0"/>
              <c:layout>
                <c:manualLayout>
                  <c:x val="0.1"/>
                  <c:y val="-0.185185185185185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EA3-4603-A155-627387580C41}"/>
                </c:ext>
              </c:extLst>
            </c:dLbl>
            <c:dLbl>
              <c:idx val="1"/>
              <c:layout>
                <c:manualLayout>
                  <c:x val="-0.1111111111111111"/>
                  <c:y val="0.194444444444444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EA3-4603-A155-627387580C41}"/>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'6-Analysis'!$F$67:$F$68</c:f>
              <c:strCache>
                <c:ptCount val="2"/>
                <c:pt idx="0">
                  <c:v>Early Satge of Infection</c:v>
                </c:pt>
                <c:pt idx="1">
                  <c:v>Late Stage of Infection</c:v>
                </c:pt>
              </c:strCache>
            </c:strRef>
          </c:cat>
          <c:val>
            <c:numRef>
              <c:f>'6-Analysis'!$G$67:$G$68</c:f>
              <c:numCache>
                <c:formatCode>0.0%</c:formatCode>
                <c:ptCount val="2"/>
                <c:pt idx="0">
                  <c:v>0.97373358348968109</c:v>
                </c:pt>
                <c:pt idx="1">
                  <c:v>2.6266416510318951E-2</c:v>
                </c:pt>
              </c:numCache>
            </c:numRef>
          </c:val>
          <c:extLst>
            <c:ext xmlns:c16="http://schemas.microsoft.com/office/drawing/2014/chart" uri="{C3380CC4-5D6E-409C-BE32-E72D297353CC}">
              <c16:uniqueId val="{00000000-9EA3-4603-A155-627387580C41}"/>
            </c:ext>
          </c:extLst>
        </c:ser>
        <c:ser>
          <c:idx val="1"/>
          <c:order val="1"/>
          <c:tx>
            <c:strRef>
              <c:f>'6-Analysis'!$H$66</c:f>
              <c:strCache>
                <c:ptCount val="1"/>
                <c:pt idx="0">
                  <c:v>Count of Non_Structural_Protein_Result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EA3-4603-A155-627387580C4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EA3-4603-A155-627387580C41}"/>
              </c:ext>
            </c:extLst>
          </c:dPt>
          <c:dLbls>
            <c:dLbl>
              <c:idx val="0"/>
              <c:layout>
                <c:manualLayout>
                  <c:x val="3.3333333333333229E-2"/>
                  <c:y val="0.203703703703703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A3-4603-A155-627387580C41}"/>
                </c:ext>
              </c:extLst>
            </c:dLbl>
            <c:dLbl>
              <c:idx val="1"/>
              <c:layout>
                <c:manualLayout>
                  <c:x val="-4.1666666666666678E-2"/>
                  <c:y val="-0.199074074074074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EA3-4603-A155-627387580C41}"/>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'6-Analysis'!$F$67:$F$68</c:f>
              <c:strCache>
                <c:ptCount val="2"/>
                <c:pt idx="0">
                  <c:v>Early Satge of Infection</c:v>
                </c:pt>
                <c:pt idx="1">
                  <c:v>Late Stage of Infection</c:v>
                </c:pt>
              </c:strCache>
            </c:strRef>
          </c:cat>
          <c:val>
            <c:numRef>
              <c:f>'6-Analysis'!$H$67:$H$68</c:f>
              <c:numCache>
                <c:formatCode>General</c:formatCode>
                <c:ptCount val="2"/>
                <c:pt idx="0">
                  <c:v>519</c:v>
                </c:pt>
                <c:pt idx="1">
                  <c:v>14</c:v>
                </c:pt>
              </c:numCache>
            </c:numRef>
          </c:val>
          <c:extLst>
            <c:ext xmlns:c16="http://schemas.microsoft.com/office/drawing/2014/chart" uri="{C3380CC4-5D6E-409C-BE32-E72D297353CC}">
              <c16:uniqueId val="{00000001-9EA3-4603-A155-627387580C4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Care Dengue Project.xlsx]6-Analysis!PivotTable35</c:name>
    <c:fmtId val="3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'6-Analysis'!$C$163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'6-Analysis'!$B$164:$B$199</c:f>
              <c:strCache>
                <c:ptCount val="36"/>
                <c:pt idx="0">
                  <c:v>Adabor</c:v>
                </c:pt>
                <c:pt idx="1">
                  <c:v>Badda</c:v>
                </c:pt>
                <c:pt idx="2">
                  <c:v>Banasree</c:v>
                </c:pt>
                <c:pt idx="3">
                  <c:v>Bangshal</c:v>
                </c:pt>
                <c:pt idx="4">
                  <c:v>Biman Bandar</c:v>
                </c:pt>
                <c:pt idx="5">
                  <c:v>Bosila</c:v>
                </c:pt>
                <c:pt idx="6">
                  <c:v>Cantonment</c:v>
                </c:pt>
                <c:pt idx="7">
                  <c:v>Chawkbazar</c:v>
                </c:pt>
                <c:pt idx="8">
                  <c:v>Demra</c:v>
                </c:pt>
                <c:pt idx="9">
                  <c:v>Dhanmondi</c:v>
                </c:pt>
                <c:pt idx="10">
                  <c:v>Gendaria</c:v>
                </c:pt>
                <c:pt idx="11">
                  <c:v>Gulshan</c:v>
                </c:pt>
                <c:pt idx="12">
                  <c:v>Hazaribagh</c:v>
                </c:pt>
                <c:pt idx="13">
                  <c:v>Jatrabari</c:v>
                </c:pt>
                <c:pt idx="14">
                  <c:v>Kadamtali</c:v>
                </c:pt>
                <c:pt idx="15">
                  <c:v>Kafrul</c:v>
                </c:pt>
                <c:pt idx="16">
                  <c:v>Kalabagan</c:v>
                </c:pt>
                <c:pt idx="17">
                  <c:v>Kamrangirchar</c:v>
                </c:pt>
                <c:pt idx="18">
                  <c:v>Keraniganj</c:v>
                </c:pt>
                <c:pt idx="19">
                  <c:v>Khilgaon</c:v>
                </c:pt>
                <c:pt idx="20">
                  <c:v>Khilkhet</c:v>
                </c:pt>
                <c:pt idx="21">
                  <c:v>Lalbagh</c:v>
                </c:pt>
                <c:pt idx="22">
                  <c:v>Mirpur</c:v>
                </c:pt>
                <c:pt idx="23">
                  <c:v>Mohammadpur</c:v>
                </c:pt>
                <c:pt idx="24">
                  <c:v>Motijheel</c:v>
                </c:pt>
                <c:pt idx="25">
                  <c:v>New Market</c:v>
                </c:pt>
                <c:pt idx="26">
                  <c:v>Pallabi</c:v>
                </c:pt>
                <c:pt idx="27">
                  <c:v>Paltan</c:v>
                </c:pt>
                <c:pt idx="28">
                  <c:v>Ramna</c:v>
                </c:pt>
                <c:pt idx="29">
                  <c:v>Rampura</c:v>
                </c:pt>
                <c:pt idx="30">
                  <c:v>Sabujbagh</c:v>
                </c:pt>
                <c:pt idx="31">
                  <c:v>Shahbagh</c:v>
                </c:pt>
                <c:pt idx="32">
                  <c:v>Sher-e-Bangla Nagar</c:v>
                </c:pt>
                <c:pt idx="33">
                  <c:v>Shyampur</c:v>
                </c:pt>
                <c:pt idx="34">
                  <c:v>Sutrapur</c:v>
                </c:pt>
                <c:pt idx="35">
                  <c:v>Tejgaon</c:v>
                </c:pt>
              </c:strCache>
            </c:strRef>
          </c:cat>
          <c:val>
            <c:numRef>
              <c:f>'6-Analysis'!$C$164:$C$199</c:f>
              <c:numCache>
                <c:formatCode>General</c:formatCode>
                <c:ptCount val="36"/>
                <c:pt idx="0">
                  <c:v>14</c:v>
                </c:pt>
                <c:pt idx="1">
                  <c:v>17</c:v>
                </c:pt>
                <c:pt idx="2">
                  <c:v>10</c:v>
                </c:pt>
                <c:pt idx="3">
                  <c:v>24</c:v>
                </c:pt>
                <c:pt idx="4">
                  <c:v>12</c:v>
                </c:pt>
                <c:pt idx="5">
                  <c:v>11</c:v>
                </c:pt>
                <c:pt idx="6">
                  <c:v>12</c:v>
                </c:pt>
                <c:pt idx="7">
                  <c:v>11</c:v>
                </c:pt>
                <c:pt idx="8">
                  <c:v>26</c:v>
                </c:pt>
                <c:pt idx="9">
                  <c:v>17</c:v>
                </c:pt>
                <c:pt idx="10">
                  <c:v>9</c:v>
                </c:pt>
                <c:pt idx="11">
                  <c:v>14</c:v>
                </c:pt>
                <c:pt idx="12">
                  <c:v>12</c:v>
                </c:pt>
                <c:pt idx="13">
                  <c:v>31</c:v>
                </c:pt>
                <c:pt idx="14">
                  <c:v>19</c:v>
                </c:pt>
                <c:pt idx="15">
                  <c:v>17</c:v>
                </c:pt>
                <c:pt idx="16">
                  <c:v>15</c:v>
                </c:pt>
                <c:pt idx="17">
                  <c:v>10</c:v>
                </c:pt>
                <c:pt idx="18">
                  <c:v>14</c:v>
                </c:pt>
                <c:pt idx="19">
                  <c:v>14</c:v>
                </c:pt>
                <c:pt idx="20">
                  <c:v>16</c:v>
                </c:pt>
                <c:pt idx="21">
                  <c:v>10</c:v>
                </c:pt>
                <c:pt idx="22">
                  <c:v>19</c:v>
                </c:pt>
                <c:pt idx="23">
                  <c:v>20</c:v>
                </c:pt>
                <c:pt idx="24">
                  <c:v>15</c:v>
                </c:pt>
                <c:pt idx="25">
                  <c:v>14</c:v>
                </c:pt>
                <c:pt idx="26">
                  <c:v>14</c:v>
                </c:pt>
                <c:pt idx="27">
                  <c:v>14</c:v>
                </c:pt>
                <c:pt idx="28">
                  <c:v>10</c:v>
                </c:pt>
                <c:pt idx="29">
                  <c:v>14</c:v>
                </c:pt>
                <c:pt idx="30">
                  <c:v>15</c:v>
                </c:pt>
                <c:pt idx="31">
                  <c:v>11</c:v>
                </c:pt>
                <c:pt idx="32">
                  <c:v>9</c:v>
                </c:pt>
                <c:pt idx="33">
                  <c:v>9</c:v>
                </c:pt>
                <c:pt idx="34">
                  <c:v>10</c:v>
                </c:pt>
                <c:pt idx="35">
                  <c:v>24</c:v>
                </c:pt>
              </c:numCache>
            </c:numRef>
          </c:val>
          <c:extLst>
            <c:ext xmlns:c16="http://schemas.microsoft.com/office/drawing/2014/chart" uri="{C3380CC4-5D6E-409C-BE32-E72D297353CC}">
              <c16:uniqueId val="{00000000-A0CF-4EC0-981C-F6828C7218F4}"/>
            </c:ext>
          </c:extLst>
        </c:ser>
        <c:dLbls>
          <c:dLblPos val="outEnd"/>
          <c:showLegendKey val="0"/>
          <c:showVal val="1"/>
          <c:showCatName val="0"/>
          <c:showSerName val="0"/>
          <c:showPercent val="0"/>
          <c:showBubbleSize val="0"/>
        </c:dLbls>
        <c:gapWidth val="219"/>
        <c:overlap val="-27"/>
        <c:axId val="263594783"/>
        <c:axId val="263591903"/>
      </c:barChart>
      <c:catAx>
        <c:axId val="26359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591903"/>
        <c:crosses val="autoZero"/>
        <c:auto val="1"/>
        <c:lblAlgn val="ctr"/>
        <c:lblOffset val="100"/>
        <c:noMultiLvlLbl val="0"/>
      </c:catAx>
      <c:valAx>
        <c:axId val="26359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59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Care Dengue Project.xlsx]6-Analysis!PivotTable1</c:name>
    <c:fmtId val="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'6-Analysis'!$K$162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'6-Analysis'!$J$163:$J$170</c:f>
              <c:multiLvlStrCache>
                <c:ptCount val="6"/>
                <c:lvl>
                  <c:pt idx="0">
                    <c:v>Building</c:v>
                  </c:pt>
                  <c:pt idx="1">
                    <c:v>Other</c:v>
                  </c:pt>
                  <c:pt idx="2">
                    <c:v>Tinshed</c:v>
                  </c:pt>
                  <c:pt idx="3">
                    <c:v>Building</c:v>
                  </c:pt>
                  <c:pt idx="4">
                    <c:v>Other</c:v>
                  </c:pt>
                  <c:pt idx="5">
                    <c:v>Tinshed</c:v>
                  </c:pt>
                </c:lvl>
                <c:lvl>
                  <c:pt idx="0">
                    <c:v>Developed</c:v>
                  </c:pt>
                  <c:pt idx="3">
                    <c:v>Undeveloped</c:v>
                  </c:pt>
                </c:lvl>
              </c:multiLvlStrCache>
            </c:multiLvlStrRef>
          </c:cat>
          <c:val>
            <c:numRef>
              <c:f>'6-Analysis'!$K$163:$K$170</c:f>
              <c:numCache>
                <c:formatCode>General</c:formatCode>
                <c:ptCount val="6"/>
                <c:pt idx="0">
                  <c:v>95</c:v>
                </c:pt>
                <c:pt idx="1">
                  <c:v>80</c:v>
                </c:pt>
                <c:pt idx="2">
                  <c:v>82</c:v>
                </c:pt>
                <c:pt idx="3">
                  <c:v>96</c:v>
                </c:pt>
                <c:pt idx="4">
                  <c:v>89</c:v>
                </c:pt>
                <c:pt idx="5">
                  <c:v>91</c:v>
                </c:pt>
              </c:numCache>
            </c:numRef>
          </c:val>
          <c:extLst>
            <c:ext xmlns:c16="http://schemas.microsoft.com/office/drawing/2014/chart" uri="{C3380CC4-5D6E-409C-BE32-E72D297353CC}">
              <c16:uniqueId val="{00000000-0454-45F1-B972-53B9573B73AA}"/>
            </c:ext>
          </c:extLst>
        </c:ser>
        <c:dLbls>
          <c:dLblPos val="inEnd"/>
          <c:showLegendKey val="0"/>
          <c:showVal val="1"/>
          <c:showCatName val="0"/>
          <c:showSerName val="0"/>
          <c:showPercent val="0"/>
          <c:showBubbleSize val="0"/>
        </c:dLbls>
        <c:gapWidth val="65"/>
        <c:axId val="7016559"/>
        <c:axId val="7017519"/>
      </c:barChart>
      <c:catAx>
        <c:axId val="70165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017519"/>
        <c:crosses val="autoZero"/>
        <c:auto val="1"/>
        <c:lblAlgn val="ctr"/>
        <c:lblOffset val="100"/>
        <c:noMultiLvlLbl val="0"/>
      </c:catAx>
      <c:valAx>
        <c:axId val="701751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0165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Care Dengue Project.xlsx]6-Analysis!PivotTable8</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Patients'</a:t>
            </a:r>
            <a:r>
              <a:rPr lang="en-GB" baseline="0"/>
              <a:t> Infection History</a:t>
            </a:r>
            <a:endParaRPr lang="en-GB"/>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5.2777777777777674E-2"/>
              <c:y val="0.1898148148148148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10833333333333334"/>
              <c:y val="-0.2175925925925926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254000" sx="102000" sy="102000" algn="ctr" rotWithShape="0">
              <a:prstClr val="black">
                <a:alpha val="20000"/>
              </a:prstClr>
            </a:outerShdw>
          </a:effectLst>
        </c:spPr>
        <c:dLbl>
          <c:idx val="0"/>
          <c:layout>
            <c:manualLayout>
              <c:x val="-2.2222222222222233E-2"/>
              <c:y val="-0.263888888888888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c:spPr>
        <c:dLbl>
          <c:idx val="0"/>
          <c:layout>
            <c:manualLayout>
              <c:x val="-0.10000000000000002"/>
              <c:y val="0.2592592592592592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'6-Analysis'!$G$5</c:f>
              <c:strCache>
                <c:ptCount val="1"/>
                <c:pt idx="0">
                  <c:v>Count of Dengue_Result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EDDE-438A-B240-094453CDB44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EDDE-438A-B240-094453CDB449}"/>
              </c:ext>
            </c:extLst>
          </c:dPt>
          <c:dLbls>
            <c:dLbl>
              <c:idx val="0"/>
              <c:layout>
                <c:manualLayout>
                  <c:x val="0.10833333333333334"/>
                  <c:y val="-0.217592592592592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DDE-438A-B240-094453CDB449}"/>
                </c:ext>
              </c:extLst>
            </c:dLbl>
            <c:dLbl>
              <c:idx val="1"/>
              <c:layout>
                <c:manualLayout>
                  <c:x val="-0.10000000000000002"/>
                  <c:y val="0.259259259259259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DDE-438A-B240-094453CDB44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'6-Analysis'!$F$6:$F$8</c:f>
              <c:strCache>
                <c:ptCount val="2"/>
                <c:pt idx="0">
                  <c:v>Not Previously Infected</c:v>
                </c:pt>
                <c:pt idx="1">
                  <c:v>Previously Infected</c:v>
                </c:pt>
              </c:strCache>
            </c:strRef>
          </c:cat>
          <c:val>
            <c:numRef>
              <c:f>'6-Analysis'!$G$6:$G$8</c:f>
              <c:numCache>
                <c:formatCode>General</c:formatCode>
                <c:ptCount val="2"/>
                <c:pt idx="0">
                  <c:v>274</c:v>
                </c:pt>
                <c:pt idx="1">
                  <c:v>259</c:v>
                </c:pt>
              </c:numCache>
            </c:numRef>
          </c:val>
          <c:extLst>
            <c:ext xmlns:c16="http://schemas.microsoft.com/office/drawing/2014/chart" uri="{C3380CC4-5D6E-409C-BE32-E72D297353CC}">
              <c16:uniqueId val="{00000000-EDDE-438A-B240-094453CDB449}"/>
            </c:ext>
          </c:extLst>
        </c:ser>
        <c:ser>
          <c:idx val="1"/>
          <c:order val="1"/>
          <c:tx>
            <c:strRef>
              <c:f>'6-Analysis'!$H$5</c:f>
              <c:strCache>
                <c:ptCount val="1"/>
                <c:pt idx="0">
                  <c:v>Count of Dengue_Result2</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DDE-438A-B240-094453CDB44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DDE-438A-B240-094453CDB449}"/>
              </c:ext>
            </c:extLst>
          </c:dPt>
          <c:dLbls>
            <c:dLbl>
              <c:idx val="0"/>
              <c:layout>
                <c:manualLayout>
                  <c:x val="5.2777777777777674E-2"/>
                  <c:y val="0.189814814814814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DE-438A-B240-094453CDB449}"/>
                </c:ext>
              </c:extLst>
            </c:dLbl>
            <c:dLbl>
              <c:idx val="1"/>
              <c:layout>
                <c:manualLayout>
                  <c:x val="-2.2222222222222233E-2"/>
                  <c:y val="-0.263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DDE-438A-B240-094453CDB44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'6-Analysis'!$F$6:$F$8</c:f>
              <c:strCache>
                <c:ptCount val="2"/>
                <c:pt idx="0">
                  <c:v>Not Previously Infected</c:v>
                </c:pt>
                <c:pt idx="1">
                  <c:v>Previously Infected</c:v>
                </c:pt>
              </c:strCache>
            </c:strRef>
          </c:cat>
          <c:val>
            <c:numRef>
              <c:f>'6-Analysis'!$H$6:$H$8</c:f>
              <c:numCache>
                <c:formatCode>0.0%</c:formatCode>
                <c:ptCount val="2"/>
                <c:pt idx="0">
                  <c:v>0.51407129455909939</c:v>
                </c:pt>
                <c:pt idx="1">
                  <c:v>0.48592870544090055</c:v>
                </c:pt>
              </c:numCache>
            </c:numRef>
          </c:val>
          <c:extLst>
            <c:ext xmlns:c16="http://schemas.microsoft.com/office/drawing/2014/chart" uri="{C3380CC4-5D6E-409C-BE32-E72D297353CC}">
              <c16:uniqueId val="{00000001-EDDE-438A-B240-094453CDB44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Care Dengue Project.xlsx]6-Analysis!PivotTable9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Current</a:t>
            </a:r>
            <a:r>
              <a:rPr lang="en-GB" baseline="0"/>
              <a:t> Infection Status</a:t>
            </a:r>
            <a:endParaRPr lang="en-GB"/>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7.7777777777777779E-2"/>
              <c:y val="0.185185185185185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
              <c:y val="-0.1944444444444444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5555555555555566E-2"/>
              <c:y val="-0.2777777777777778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2222222222222222"/>
              <c:y val="0.1574074074074074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'6-Analysis'!$K$192</c:f>
              <c:strCache>
                <c:ptCount val="1"/>
                <c:pt idx="0">
                  <c:v>Number of Respondents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0CC-4AE3-91D3-57338345DE8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'6-Analysis'!$J$193</c:f>
              <c:strCache>
                <c:ptCount val="1"/>
                <c:pt idx="0">
                  <c:v>Recently Infected</c:v>
                </c:pt>
              </c:strCache>
            </c:strRef>
          </c:cat>
          <c:val>
            <c:numRef>
              <c:f>'6-Analysis'!$K$193</c:f>
              <c:numCache>
                <c:formatCode>General</c:formatCode>
                <c:ptCount val="1"/>
                <c:pt idx="0">
                  <c:v>533</c:v>
                </c:pt>
              </c:numCache>
            </c:numRef>
          </c:val>
          <c:extLst>
            <c:ext xmlns:c16="http://schemas.microsoft.com/office/drawing/2014/chart" uri="{C3380CC4-5D6E-409C-BE32-E72D297353CC}">
              <c16:uniqueId val="{00000000-B0CC-4AE3-91D3-57338345DE8F}"/>
            </c:ext>
          </c:extLst>
        </c:ser>
        <c:ser>
          <c:idx val="1"/>
          <c:order val="1"/>
          <c:tx>
            <c:strRef>
              <c:f>'6-Analysis'!$L$192</c:f>
              <c:strCache>
                <c:ptCount val="1"/>
                <c:pt idx="0">
                  <c:v>Count of Dengue_Result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B0CC-4AE3-91D3-57338345DE8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'6-Analysis'!$J$193</c:f>
              <c:strCache>
                <c:ptCount val="1"/>
                <c:pt idx="0">
                  <c:v>Recently Infected</c:v>
                </c:pt>
              </c:strCache>
            </c:strRef>
          </c:cat>
          <c:val>
            <c:numRef>
              <c:f>'6-Analysis'!$L$193</c:f>
              <c:numCache>
                <c:formatCode>0.0%</c:formatCode>
                <c:ptCount val="1"/>
                <c:pt idx="0">
                  <c:v>1</c:v>
                </c:pt>
              </c:numCache>
            </c:numRef>
          </c:val>
          <c:extLst>
            <c:ext xmlns:c16="http://schemas.microsoft.com/office/drawing/2014/chart" uri="{C3380CC4-5D6E-409C-BE32-E72D297353CC}">
              <c16:uniqueId val="{00000001-B0CC-4AE3-91D3-57338345DE8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Care Dengue Project.xlsx]6-Analysis!PivotTable6</c:name>
    <c:fmtId val="5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Age</a:t>
            </a:r>
            <a:r>
              <a:rPr lang="en-GB" baseline="0"/>
              <a:t> Wise Infection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'6-Analysis'!$C$27</c:f>
              <c:strCache>
                <c:ptCount val="1"/>
                <c:pt idx="0">
                  <c:v>Number of Dengue Patients</c:v>
                </c:pt>
              </c:strCache>
            </c:strRef>
          </c:tx>
          <c:spPr>
            <a:solidFill>
              <a:schemeClr val="accent1"/>
            </a:solidFill>
            <a:ln>
              <a:noFill/>
            </a:ln>
            <a:effectLst/>
          </c:spPr>
          <c:invertIfNegative val="0"/>
          <c:cat>
            <c:strRef>
              <c:f>'6-Analysis'!$B$28:$B$34</c:f>
              <c:strCache>
                <c:ptCount val="6"/>
                <c:pt idx="0">
                  <c:v>Child</c:v>
                </c:pt>
                <c:pt idx="1">
                  <c:v>Adolescents</c:v>
                </c:pt>
                <c:pt idx="2">
                  <c:v>Young Adolescents</c:v>
                </c:pt>
                <c:pt idx="3">
                  <c:v>Adults</c:v>
                </c:pt>
                <c:pt idx="4">
                  <c:v>Middle Aged</c:v>
                </c:pt>
                <c:pt idx="5">
                  <c:v>Elderly</c:v>
                </c:pt>
              </c:strCache>
            </c:strRef>
          </c:cat>
          <c:val>
            <c:numRef>
              <c:f>'6-Analysis'!$C$28:$C$34</c:f>
              <c:numCache>
                <c:formatCode>General</c:formatCode>
                <c:ptCount val="6"/>
                <c:pt idx="0">
                  <c:v>62</c:v>
                </c:pt>
                <c:pt idx="1">
                  <c:v>50</c:v>
                </c:pt>
                <c:pt idx="2">
                  <c:v>48</c:v>
                </c:pt>
                <c:pt idx="3">
                  <c:v>189</c:v>
                </c:pt>
                <c:pt idx="4">
                  <c:v>175</c:v>
                </c:pt>
                <c:pt idx="5">
                  <c:v>9</c:v>
                </c:pt>
              </c:numCache>
            </c:numRef>
          </c:val>
          <c:extLst>
            <c:ext xmlns:c16="http://schemas.microsoft.com/office/drawing/2014/chart" uri="{C3380CC4-5D6E-409C-BE32-E72D297353CC}">
              <c16:uniqueId val="{00000000-ACAD-4E5B-8DAC-6736FD171FFF}"/>
            </c:ext>
          </c:extLst>
        </c:ser>
        <c:dLbls>
          <c:showLegendKey val="0"/>
          <c:showVal val="0"/>
          <c:showCatName val="0"/>
          <c:showSerName val="0"/>
          <c:showPercent val="0"/>
          <c:showBubbleSize val="0"/>
        </c:dLbls>
        <c:gapWidth val="269"/>
        <c:overlap val="-27"/>
        <c:axId val="261733087"/>
        <c:axId val="261737407"/>
      </c:barChart>
      <c:lineChart>
        <c:grouping val="standard"/>
        <c:varyColors val="0"/>
        <c:ser>
          <c:idx val="1"/>
          <c:order val="1"/>
          <c:tx>
            <c:strRef>
              <c:f>'6-Analysis'!$D$27</c:f>
              <c:strCache>
                <c:ptCount val="1"/>
                <c:pt idx="0">
                  <c:v>% of Dengue Patients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'6-Analysis'!$B$28:$B$34</c:f>
              <c:strCache>
                <c:ptCount val="6"/>
                <c:pt idx="0">
                  <c:v>Child</c:v>
                </c:pt>
                <c:pt idx="1">
                  <c:v>Adolescents</c:v>
                </c:pt>
                <c:pt idx="2">
                  <c:v>Young Adolescents</c:v>
                </c:pt>
                <c:pt idx="3">
                  <c:v>Adults</c:v>
                </c:pt>
                <c:pt idx="4">
                  <c:v>Middle Aged</c:v>
                </c:pt>
                <c:pt idx="5">
                  <c:v>Elderly</c:v>
                </c:pt>
              </c:strCache>
            </c:strRef>
          </c:cat>
          <c:val>
            <c:numRef>
              <c:f>'6-Analysis'!$D$28:$D$34</c:f>
              <c:numCache>
                <c:formatCode>0.0%</c:formatCode>
                <c:ptCount val="6"/>
                <c:pt idx="0">
                  <c:v>0.11632270168855535</c:v>
                </c:pt>
                <c:pt idx="1">
                  <c:v>9.3808630393996242E-2</c:v>
                </c:pt>
                <c:pt idx="2">
                  <c:v>9.0056285178236398E-2</c:v>
                </c:pt>
                <c:pt idx="3">
                  <c:v>0.35459662288930582</c:v>
                </c:pt>
                <c:pt idx="4">
                  <c:v>0.32833020637898686</c:v>
                </c:pt>
                <c:pt idx="5">
                  <c:v>1.6885553470919325E-2</c:v>
                </c:pt>
              </c:numCache>
            </c:numRef>
          </c:val>
          <c:smooth val="0"/>
          <c:extLst>
            <c:ext xmlns:c16="http://schemas.microsoft.com/office/drawing/2014/chart" uri="{C3380CC4-5D6E-409C-BE32-E72D297353CC}">
              <c16:uniqueId val="{00000001-ACAD-4E5B-8DAC-6736FD171FFF}"/>
            </c:ext>
          </c:extLst>
        </c:ser>
        <c:dLbls>
          <c:showLegendKey val="0"/>
          <c:showVal val="0"/>
          <c:showCatName val="0"/>
          <c:showSerName val="0"/>
          <c:showPercent val="0"/>
          <c:showBubbleSize val="0"/>
        </c:dLbls>
        <c:marker val="1"/>
        <c:smooth val="0"/>
        <c:axId val="4939583"/>
        <c:axId val="4941983"/>
      </c:lineChart>
      <c:catAx>
        <c:axId val="26173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737407"/>
        <c:crosses val="autoZero"/>
        <c:auto val="1"/>
        <c:lblAlgn val="ctr"/>
        <c:lblOffset val="100"/>
        <c:noMultiLvlLbl val="0"/>
      </c:catAx>
      <c:valAx>
        <c:axId val="261737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733087"/>
        <c:crosses val="autoZero"/>
        <c:crossBetween val="between"/>
      </c:valAx>
      <c:valAx>
        <c:axId val="4941983"/>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9583"/>
        <c:crosses val="max"/>
        <c:crossBetween val="between"/>
      </c:valAx>
      <c:catAx>
        <c:axId val="4939583"/>
        <c:scaling>
          <c:orientation val="minMax"/>
        </c:scaling>
        <c:delete val="1"/>
        <c:axPos val="b"/>
        <c:numFmt formatCode="General" sourceLinked="1"/>
        <c:majorTickMark val="none"/>
        <c:minorTickMark val="none"/>
        <c:tickLblPos val="nextTo"/>
        <c:crossAx val="4941983"/>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Care Dengue Project.xlsx]6-Analysis!PivotTable11</c:name>
    <c:fmtId val="1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Gender Wise Infection</a:t>
            </a:r>
          </a:p>
        </c:rich>
      </c:tx>
      <c:layout>
        <c:manualLayout>
          <c:xMode val="edge"/>
          <c:yMode val="edge"/>
          <c:x val="0.19959241406535649"/>
          <c:y val="5.045365752045050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algn="tl" rotWithShape="0">
                <a:schemeClr val="accent2">
                  <a:alpha val="36000"/>
                </a:scheme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dLbl>
          <c:idx val="0"/>
          <c:layout>
            <c:manualLayout>
              <c:x val="9.166666666666666E-2"/>
              <c:y val="-0.2685185185185184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algn="tl" rotWithShape="0">
                <a:schemeClr val="accent2">
                  <a:alpha val="36000"/>
                </a:scheme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3"/>
        <c:spPr>
          <a:solidFill>
            <a:schemeClr val="accent6"/>
          </a:solidFill>
          <a:ln>
            <a:noFill/>
          </a:ln>
          <a:effectLst>
            <a:outerShdw blurRad="254000" sx="102000" sy="102000" algn="ctr" rotWithShape="0">
              <a:prstClr val="black">
                <a:alpha val="20000"/>
              </a:prstClr>
            </a:outerShdw>
          </a:effectLst>
        </c:spPr>
        <c:dLbl>
          <c:idx val="0"/>
          <c:layout>
            <c:manualLayout>
              <c:x val="0.05"/>
              <c:y val="1.851851851851843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outerShdw blurRad="254000" sx="102000" sy="102000" algn="ctr" rotWithShape="0">
              <a:prstClr val="black">
                <a:alpha val="20000"/>
              </a:prstClr>
            </a:outerShdw>
          </a:effectLst>
        </c:spPr>
        <c:dLbl>
          <c:idx val="0"/>
          <c:layout>
            <c:manualLayout>
              <c:x val="-0.12500000000000003"/>
              <c:y val="0.1759259259259260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algn="tl" rotWithShape="0">
                <a:schemeClr val="accent2">
                  <a:alpha val="36000"/>
                </a:scheme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accent5"/>
          </a:solidFill>
          <a:ln>
            <a:noFill/>
          </a:ln>
          <a:effectLst>
            <a:outerShdw blurRad="254000" sx="102000" sy="102000" algn="ctr" rotWithShape="0">
              <a:prstClr val="black">
                <a:alpha val="20000"/>
              </a:prstClr>
            </a:outerShdw>
          </a:effectLst>
        </c:spPr>
        <c:dLbl>
          <c:idx val="0"/>
          <c:layout>
            <c:manualLayout>
              <c:x val="-5.555555555555558E-2"/>
              <c:y val="-0.1157407407407407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algn="tl" rotWithShape="0">
                <a:schemeClr val="accent2">
                  <a:alpha val="36000"/>
                </a:scheme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accent6"/>
          </a:solidFill>
          <a:ln>
            <a:noFill/>
          </a:ln>
          <a:effectLst>
            <a:outerShdw blurRad="254000" sx="102000" sy="102000" algn="ctr" rotWithShape="0">
              <a:prstClr val="black">
                <a:alpha val="20000"/>
              </a:prstClr>
            </a:outerShdw>
          </a:effectLst>
        </c:spPr>
        <c:dLbl>
          <c:idx val="0"/>
          <c:layout>
            <c:manualLayout>
              <c:x val="9.166666666666666E-2"/>
              <c:y val="-0.2685185185185184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algn="tl" rotWithShape="0">
                <a:schemeClr val="accent2">
                  <a:alpha val="36000"/>
                </a:scheme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6"/>
          </a:solidFill>
          <a:ln>
            <a:noFill/>
          </a:ln>
          <a:effectLst>
            <a:outerShdw blurRad="254000" sx="102000" sy="102000" algn="ctr" rotWithShape="0">
              <a:prstClr val="black">
                <a:alpha val="20000"/>
              </a:prstClr>
            </a:outerShdw>
          </a:effectLst>
        </c:spPr>
        <c:dLbl>
          <c:idx val="0"/>
          <c:layout>
            <c:manualLayout>
              <c:x val="-0.12500000000000003"/>
              <c:y val="0.1759259259259260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algn="tl" rotWithShape="0">
                <a:schemeClr val="accent2">
                  <a:alpha val="36000"/>
                </a:scheme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9"/>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outerShdw blurRad="254000" sx="102000" sy="102000" algn="ctr" rotWithShape="0">
              <a:prstClr val="black">
                <a:alpha val="20000"/>
              </a:prstClr>
            </a:outerShdw>
          </a:effectLst>
        </c:spPr>
        <c:dLbl>
          <c:idx val="0"/>
          <c:layout>
            <c:manualLayout>
              <c:x val="0.05"/>
              <c:y val="1.851851851851843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outerShdw blurRad="254000" sx="102000" sy="102000" algn="ctr" rotWithShape="0">
              <a:prstClr val="black">
                <a:alpha val="20000"/>
              </a:prstClr>
            </a:outerShdw>
          </a:effectLst>
        </c:spPr>
        <c:dLbl>
          <c:idx val="0"/>
          <c:layout>
            <c:manualLayout>
              <c:x val="-5.555555555555558E-2"/>
              <c:y val="-0.1157407407407407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algn="tl" rotWithShape="0">
                <a:schemeClr val="accent2">
                  <a:alpha val="36000"/>
                </a:scheme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13"/>
        <c:spPr>
          <a:solidFill>
            <a:schemeClr val="accent6"/>
          </a:solidFill>
          <a:ln>
            <a:noFill/>
          </a:ln>
          <a:effectLst>
            <a:outerShdw blurRad="254000" sx="102000" sy="102000" algn="ctr" rotWithShape="0">
              <a:prstClr val="black">
                <a:alpha val="20000"/>
              </a:prstClr>
            </a:outerShdw>
          </a:effectLst>
        </c:spPr>
        <c:dLbl>
          <c:idx val="0"/>
          <c:layout>
            <c:manualLayout>
              <c:x val="9.166666666666666E-2"/>
              <c:y val="-0.2685185185185184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algn="tl" rotWithShape="0">
                <a:schemeClr val="accent2">
                  <a:alpha val="36000"/>
                </a:scheme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14"/>
        <c:spPr>
          <a:solidFill>
            <a:schemeClr val="accent6"/>
          </a:solidFill>
          <a:ln>
            <a:noFill/>
          </a:ln>
          <a:effectLst>
            <a:outerShdw blurRad="254000" sx="102000" sy="102000" algn="ctr" rotWithShape="0">
              <a:prstClr val="black">
                <a:alpha val="20000"/>
              </a:prstClr>
            </a:outerShdw>
          </a:effectLst>
        </c:spPr>
        <c:dLbl>
          <c:idx val="0"/>
          <c:layout>
            <c:manualLayout>
              <c:x val="-0.12500000000000003"/>
              <c:y val="0.1759259259259260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algn="tl" rotWithShape="0">
                <a:schemeClr val="accent2">
                  <a:alpha val="36000"/>
                </a:scheme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1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a:outerShdw blurRad="254000" sx="102000" sy="102000" algn="ctr" rotWithShape="0">
              <a:prstClr val="black">
                <a:alpha val="20000"/>
              </a:prstClr>
            </a:outerShdw>
          </a:effectLst>
        </c:spPr>
        <c:dLbl>
          <c:idx val="0"/>
          <c:layout>
            <c:manualLayout>
              <c:x val="0.05"/>
              <c:y val="1.851851851851843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a:outerShdw blurRad="254000" sx="102000" sy="102000" algn="ctr" rotWithShape="0">
              <a:prstClr val="black">
                <a:alpha val="20000"/>
              </a:prstClr>
            </a:outerShdw>
          </a:effectLst>
        </c:spPr>
        <c:dLbl>
          <c:idx val="0"/>
          <c:layout>
            <c:manualLayout>
              <c:x val="-5.555555555555558E-2"/>
              <c:y val="-0.1157407407407407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algn="tl" rotWithShape="0">
                <a:schemeClr val="accent2">
                  <a:alpha val="36000"/>
                </a:scheme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19"/>
        <c:spPr>
          <a:solidFill>
            <a:schemeClr val="accent6"/>
          </a:solidFill>
          <a:ln>
            <a:noFill/>
          </a:ln>
          <a:effectLst>
            <a:outerShdw blurRad="254000" sx="102000" sy="102000" algn="ctr" rotWithShape="0">
              <a:prstClr val="black">
                <a:alpha val="20000"/>
              </a:prstClr>
            </a:outerShdw>
          </a:effectLst>
        </c:spPr>
        <c:dLbl>
          <c:idx val="0"/>
          <c:layout>
            <c:manualLayout>
              <c:x val="9.166666666666666E-2"/>
              <c:y val="-0.2685185185185184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algn="tl" rotWithShape="0">
                <a:schemeClr val="accent2">
                  <a:alpha val="36000"/>
                </a:scheme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20"/>
        <c:spPr>
          <a:solidFill>
            <a:schemeClr val="accent6"/>
          </a:solidFill>
          <a:ln>
            <a:noFill/>
          </a:ln>
          <a:effectLst>
            <a:outerShdw blurRad="254000" sx="102000" sy="102000" algn="ctr" rotWithShape="0">
              <a:prstClr val="black">
                <a:alpha val="20000"/>
              </a:prstClr>
            </a:outerShdw>
          </a:effectLst>
        </c:spPr>
        <c:dLbl>
          <c:idx val="0"/>
          <c:layout>
            <c:manualLayout>
              <c:x val="-0.16084584999202642"/>
              <c:y val="0.2772487202287269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algn="tl" rotWithShape="0">
                <a:schemeClr val="accent2">
                  <a:alpha val="36000"/>
                </a:scheme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2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a:outerShdw blurRad="254000" sx="102000" sy="102000" algn="ctr" rotWithShape="0">
              <a:prstClr val="black">
                <a:alpha val="20000"/>
              </a:prstClr>
            </a:outerShdw>
          </a:effectLst>
        </c:spPr>
        <c:dLbl>
          <c:idx val="0"/>
          <c:layout>
            <c:manualLayout>
              <c:x val="5.7169106491915624E-2"/>
              <c:y val="0.2027416624479060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a:outerShdw blurRad="254000" sx="102000" sy="102000" algn="ctr" rotWithShape="0">
              <a:prstClr val="black">
                <a:alpha val="20000"/>
              </a:prstClr>
            </a:outerShdw>
          </a:effectLst>
        </c:spPr>
        <c:dLbl>
          <c:idx val="0"/>
          <c:layout>
            <c:manualLayout>
              <c:x val="-9.4985950953232409E-2"/>
              <c:y val="-0.2124579876729993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'6-Analysis'!$C$99</c:f>
              <c:strCache>
                <c:ptCount val="1"/>
                <c:pt idx="0">
                  <c:v>% of Gender</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407-42C0-A159-C74B0AE0AA42}"/>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407-42C0-A159-C74B0AE0AA42}"/>
              </c:ext>
            </c:extLst>
          </c:dPt>
          <c:dLbls>
            <c:dLbl>
              <c:idx val="0"/>
              <c:layout>
                <c:manualLayout>
                  <c:x val="9.166666666666666E-2"/>
                  <c:y val="-0.26851851851851849"/>
                </c:manualLayout>
              </c:layout>
              <c:showLegendKey val="1"/>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4407-42C0-A159-C74B0AE0AA42}"/>
                </c:ext>
              </c:extLst>
            </c:dLbl>
            <c:dLbl>
              <c:idx val="1"/>
              <c:layout>
                <c:manualLayout>
                  <c:x val="-0.16084584999202642"/>
                  <c:y val="0.27724872022872693"/>
                </c:manualLayout>
              </c:layout>
              <c:showLegendKey val="1"/>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4407-42C0-A159-C74B0AE0AA42}"/>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algn="tl" rotWithShape="0">
                  <a:schemeClr val="accent2">
                    <a:alpha val="36000"/>
                  </a:scheme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0"/>
            <c:showSerName val="0"/>
            <c:showPercent val="0"/>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'6-Analysis'!$B$100:$B$101</c:f>
              <c:strCache>
                <c:ptCount val="2"/>
                <c:pt idx="0">
                  <c:v>Female</c:v>
                </c:pt>
                <c:pt idx="1">
                  <c:v>Male</c:v>
                </c:pt>
              </c:strCache>
            </c:strRef>
          </c:cat>
          <c:val>
            <c:numRef>
              <c:f>'6-Analysis'!$C$100:$C$101</c:f>
              <c:numCache>
                <c:formatCode>0.0%</c:formatCode>
                <c:ptCount val="2"/>
                <c:pt idx="0">
                  <c:v>0.5272045028142589</c:v>
                </c:pt>
                <c:pt idx="1">
                  <c:v>0.4727954971857411</c:v>
                </c:pt>
              </c:numCache>
            </c:numRef>
          </c:val>
          <c:extLst>
            <c:ext xmlns:c16="http://schemas.microsoft.com/office/drawing/2014/chart" uri="{C3380CC4-5D6E-409C-BE32-E72D297353CC}">
              <c16:uniqueId val="{00000004-4407-42C0-A159-C74B0AE0AA42}"/>
            </c:ext>
          </c:extLst>
        </c:ser>
        <c:ser>
          <c:idx val="1"/>
          <c:order val="1"/>
          <c:tx>
            <c:strRef>
              <c:f>'6-Analysis'!$D$99</c:f>
              <c:strCache>
                <c:ptCount val="1"/>
                <c:pt idx="0">
                  <c:v>Number of Gender</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4407-42C0-A159-C74B0AE0AA42}"/>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4407-42C0-A159-C74B0AE0AA42}"/>
              </c:ext>
            </c:extLst>
          </c:dPt>
          <c:dLbls>
            <c:dLbl>
              <c:idx val="0"/>
              <c:layout>
                <c:manualLayout>
                  <c:x val="5.7169106491915624E-2"/>
                  <c:y val="0.202741662447906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407-42C0-A159-C74B0AE0AA42}"/>
                </c:ext>
              </c:extLst>
            </c:dLbl>
            <c:dLbl>
              <c:idx val="1"/>
              <c:layout>
                <c:manualLayout>
                  <c:x val="-9.4985950953232409E-2"/>
                  <c:y val="-0.212457987672999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407-42C0-A159-C74B0AE0AA42}"/>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'6-Analysis'!$B$100:$B$101</c:f>
              <c:strCache>
                <c:ptCount val="2"/>
                <c:pt idx="0">
                  <c:v>Female</c:v>
                </c:pt>
                <c:pt idx="1">
                  <c:v>Male</c:v>
                </c:pt>
              </c:strCache>
            </c:strRef>
          </c:cat>
          <c:val>
            <c:numRef>
              <c:f>'6-Analysis'!$D$100:$D$101</c:f>
              <c:numCache>
                <c:formatCode>General</c:formatCode>
                <c:ptCount val="2"/>
                <c:pt idx="0">
                  <c:v>281</c:v>
                </c:pt>
                <c:pt idx="1">
                  <c:v>252</c:v>
                </c:pt>
              </c:numCache>
            </c:numRef>
          </c:val>
          <c:extLst>
            <c:ext xmlns:c16="http://schemas.microsoft.com/office/drawing/2014/chart" uri="{C3380CC4-5D6E-409C-BE32-E72D297353CC}">
              <c16:uniqueId val="{00000009-4407-42C0-A159-C74B0AE0AA4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Care Dengue Project.xlsx]6-Analysis!PivotTable18</c:name>
    <c:fmtId val="10"/>
  </c:pivotSource>
  <c:chart>
    <c:title>
      <c:tx>
        <c:rich>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r>
              <a:rPr lang="en-GB"/>
              <a:t>Early</a:t>
            </a:r>
            <a:r>
              <a:rPr lang="en-GB" baseline="0"/>
              <a:t> VS Late Stage of Infection</a:t>
            </a:r>
            <a:endParaRPr lang="en-GB"/>
          </a:p>
        </c:rich>
      </c:tx>
      <c:overlay val="0"/>
      <c:spPr>
        <a:noFill/>
        <a:ln>
          <a:noFill/>
        </a:ln>
        <a:effectLst/>
      </c:spPr>
      <c:txPr>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endParaRPr lang="en-GB"/>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3.3333333333333229E-2"/>
              <c:y val="0.2037037037037036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1"/>
              <c:y val="-0.185185185185185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254000" sx="102000" sy="102000" algn="ctr" rotWithShape="0">
              <a:prstClr val="black">
                <a:alpha val="20000"/>
              </a:prstClr>
            </a:outerShdw>
          </a:effectLst>
        </c:spPr>
        <c:dLbl>
          <c:idx val="0"/>
          <c:layout>
            <c:manualLayout>
              <c:x val="-4.1666666666666678E-2"/>
              <c:y val="-0.1990740740740740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c:spPr>
        <c:dLbl>
          <c:idx val="0"/>
          <c:layout>
            <c:manualLayout>
              <c:x val="-0.1111111111111111"/>
              <c:y val="0.1944444444444444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1"/>
              <c:y val="-0.185185185185185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111111111111111"/>
              <c:y val="0.1944444444444444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3.3333333333333229E-2"/>
              <c:y val="0.2037037037037036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4.1666666666666678E-2"/>
              <c:y val="-0.1990740740740740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0.1"/>
              <c:y val="-0.185185185185185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0.1111111111111111"/>
              <c:y val="0.1944444444444444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3.3333333333333229E-2"/>
              <c:y val="0.2037037037037036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4.1666666666666678E-2"/>
              <c:y val="-0.1990740740740740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'6-Analysis'!$G$66</c:f>
              <c:strCache>
                <c:ptCount val="1"/>
                <c:pt idx="0">
                  <c:v>% of Dengue Infection</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FF7-405A-83C5-57383F5292D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FF7-405A-83C5-57383F5292D5}"/>
              </c:ext>
            </c:extLst>
          </c:dPt>
          <c:dLbls>
            <c:dLbl>
              <c:idx val="0"/>
              <c:layout>
                <c:manualLayout>
                  <c:x val="0.1"/>
                  <c:y val="-0.185185185185185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F7-405A-83C5-57383F5292D5}"/>
                </c:ext>
              </c:extLst>
            </c:dLbl>
            <c:dLbl>
              <c:idx val="1"/>
              <c:layout>
                <c:manualLayout>
                  <c:x val="-0.1111111111111111"/>
                  <c:y val="0.194444444444444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F7-405A-83C5-57383F5292D5}"/>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'6-Analysis'!$F$67:$F$68</c:f>
              <c:strCache>
                <c:ptCount val="2"/>
                <c:pt idx="0">
                  <c:v>Early Satge of Infection</c:v>
                </c:pt>
                <c:pt idx="1">
                  <c:v>Late Stage of Infection</c:v>
                </c:pt>
              </c:strCache>
            </c:strRef>
          </c:cat>
          <c:val>
            <c:numRef>
              <c:f>'6-Analysis'!$G$67:$G$68</c:f>
              <c:numCache>
                <c:formatCode>0.0%</c:formatCode>
                <c:ptCount val="2"/>
                <c:pt idx="0">
                  <c:v>0.97373358348968109</c:v>
                </c:pt>
                <c:pt idx="1">
                  <c:v>2.6266416510318951E-2</c:v>
                </c:pt>
              </c:numCache>
            </c:numRef>
          </c:val>
          <c:extLst>
            <c:ext xmlns:c16="http://schemas.microsoft.com/office/drawing/2014/chart" uri="{C3380CC4-5D6E-409C-BE32-E72D297353CC}">
              <c16:uniqueId val="{00000004-1FF7-405A-83C5-57383F5292D5}"/>
            </c:ext>
          </c:extLst>
        </c:ser>
        <c:ser>
          <c:idx val="1"/>
          <c:order val="1"/>
          <c:tx>
            <c:strRef>
              <c:f>'6-Analysis'!$H$66</c:f>
              <c:strCache>
                <c:ptCount val="1"/>
                <c:pt idx="0">
                  <c:v>Count of Non_Structural_Protein_Result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1FF7-405A-83C5-57383F5292D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1FF7-405A-83C5-57383F5292D5}"/>
              </c:ext>
            </c:extLst>
          </c:dPt>
          <c:dLbls>
            <c:dLbl>
              <c:idx val="0"/>
              <c:layout>
                <c:manualLayout>
                  <c:x val="3.3333333333333229E-2"/>
                  <c:y val="0.203703703703703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FF7-405A-83C5-57383F5292D5}"/>
                </c:ext>
              </c:extLst>
            </c:dLbl>
            <c:dLbl>
              <c:idx val="1"/>
              <c:layout>
                <c:manualLayout>
                  <c:x val="-4.1666666666666678E-2"/>
                  <c:y val="-0.199074074074074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FF7-405A-83C5-57383F5292D5}"/>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'6-Analysis'!$F$67:$F$68</c:f>
              <c:strCache>
                <c:ptCount val="2"/>
                <c:pt idx="0">
                  <c:v>Early Satge of Infection</c:v>
                </c:pt>
                <c:pt idx="1">
                  <c:v>Late Stage of Infection</c:v>
                </c:pt>
              </c:strCache>
            </c:strRef>
          </c:cat>
          <c:val>
            <c:numRef>
              <c:f>'6-Analysis'!$H$67:$H$68</c:f>
              <c:numCache>
                <c:formatCode>General</c:formatCode>
                <c:ptCount val="2"/>
                <c:pt idx="0">
                  <c:v>519</c:v>
                </c:pt>
                <c:pt idx="1">
                  <c:v>14</c:v>
                </c:pt>
              </c:numCache>
            </c:numRef>
          </c:val>
          <c:extLst>
            <c:ext xmlns:c16="http://schemas.microsoft.com/office/drawing/2014/chart" uri="{C3380CC4-5D6E-409C-BE32-E72D297353CC}">
              <c16:uniqueId val="{00000009-1FF7-405A-83C5-57383F5292D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Care Dengue Project.xlsx]6-Analysis!PivotTable35</c:name>
    <c:fmtId val="46"/>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Infected Areas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'6-Analysis'!$C$163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'6-Analysis'!$B$164:$B$199</c:f>
              <c:strCache>
                <c:ptCount val="36"/>
                <c:pt idx="0">
                  <c:v>Adabor</c:v>
                </c:pt>
                <c:pt idx="1">
                  <c:v>Badda</c:v>
                </c:pt>
                <c:pt idx="2">
                  <c:v>Banasree</c:v>
                </c:pt>
                <c:pt idx="3">
                  <c:v>Bangshal</c:v>
                </c:pt>
                <c:pt idx="4">
                  <c:v>Biman Bandar</c:v>
                </c:pt>
                <c:pt idx="5">
                  <c:v>Bosila</c:v>
                </c:pt>
                <c:pt idx="6">
                  <c:v>Cantonment</c:v>
                </c:pt>
                <c:pt idx="7">
                  <c:v>Chawkbazar</c:v>
                </c:pt>
                <c:pt idx="8">
                  <c:v>Demra</c:v>
                </c:pt>
                <c:pt idx="9">
                  <c:v>Dhanmondi</c:v>
                </c:pt>
                <c:pt idx="10">
                  <c:v>Gendaria</c:v>
                </c:pt>
                <c:pt idx="11">
                  <c:v>Gulshan</c:v>
                </c:pt>
                <c:pt idx="12">
                  <c:v>Hazaribagh</c:v>
                </c:pt>
                <c:pt idx="13">
                  <c:v>Jatrabari</c:v>
                </c:pt>
                <c:pt idx="14">
                  <c:v>Kadamtali</c:v>
                </c:pt>
                <c:pt idx="15">
                  <c:v>Kafrul</c:v>
                </c:pt>
                <c:pt idx="16">
                  <c:v>Kalabagan</c:v>
                </c:pt>
                <c:pt idx="17">
                  <c:v>Kamrangirchar</c:v>
                </c:pt>
                <c:pt idx="18">
                  <c:v>Keraniganj</c:v>
                </c:pt>
                <c:pt idx="19">
                  <c:v>Khilgaon</c:v>
                </c:pt>
                <c:pt idx="20">
                  <c:v>Khilkhet</c:v>
                </c:pt>
                <c:pt idx="21">
                  <c:v>Lalbagh</c:v>
                </c:pt>
                <c:pt idx="22">
                  <c:v>Mirpur</c:v>
                </c:pt>
                <c:pt idx="23">
                  <c:v>Mohammadpur</c:v>
                </c:pt>
                <c:pt idx="24">
                  <c:v>Motijheel</c:v>
                </c:pt>
                <c:pt idx="25">
                  <c:v>New Market</c:v>
                </c:pt>
                <c:pt idx="26">
                  <c:v>Pallabi</c:v>
                </c:pt>
                <c:pt idx="27">
                  <c:v>Paltan</c:v>
                </c:pt>
                <c:pt idx="28">
                  <c:v>Ramna</c:v>
                </c:pt>
                <c:pt idx="29">
                  <c:v>Rampura</c:v>
                </c:pt>
                <c:pt idx="30">
                  <c:v>Sabujbagh</c:v>
                </c:pt>
                <c:pt idx="31">
                  <c:v>Shahbagh</c:v>
                </c:pt>
                <c:pt idx="32">
                  <c:v>Sher-e-Bangla Nagar</c:v>
                </c:pt>
                <c:pt idx="33">
                  <c:v>Shyampur</c:v>
                </c:pt>
                <c:pt idx="34">
                  <c:v>Sutrapur</c:v>
                </c:pt>
                <c:pt idx="35">
                  <c:v>Tejgaon</c:v>
                </c:pt>
              </c:strCache>
            </c:strRef>
          </c:cat>
          <c:val>
            <c:numRef>
              <c:f>'6-Analysis'!$C$164:$C$199</c:f>
              <c:numCache>
                <c:formatCode>General</c:formatCode>
                <c:ptCount val="36"/>
                <c:pt idx="0">
                  <c:v>14</c:v>
                </c:pt>
                <c:pt idx="1">
                  <c:v>17</c:v>
                </c:pt>
                <c:pt idx="2">
                  <c:v>10</c:v>
                </c:pt>
                <c:pt idx="3">
                  <c:v>24</c:v>
                </c:pt>
                <c:pt idx="4">
                  <c:v>12</c:v>
                </c:pt>
                <c:pt idx="5">
                  <c:v>11</c:v>
                </c:pt>
                <c:pt idx="6">
                  <c:v>12</c:v>
                </c:pt>
                <c:pt idx="7">
                  <c:v>11</c:v>
                </c:pt>
                <c:pt idx="8">
                  <c:v>26</c:v>
                </c:pt>
                <c:pt idx="9">
                  <c:v>17</c:v>
                </c:pt>
                <c:pt idx="10">
                  <c:v>9</c:v>
                </c:pt>
                <c:pt idx="11">
                  <c:v>14</c:v>
                </c:pt>
                <c:pt idx="12">
                  <c:v>12</c:v>
                </c:pt>
                <c:pt idx="13">
                  <c:v>31</c:v>
                </c:pt>
                <c:pt idx="14">
                  <c:v>19</c:v>
                </c:pt>
                <c:pt idx="15">
                  <c:v>17</c:v>
                </c:pt>
                <c:pt idx="16">
                  <c:v>15</c:v>
                </c:pt>
                <c:pt idx="17">
                  <c:v>10</c:v>
                </c:pt>
                <c:pt idx="18">
                  <c:v>14</c:v>
                </c:pt>
                <c:pt idx="19">
                  <c:v>14</c:v>
                </c:pt>
                <c:pt idx="20">
                  <c:v>16</c:v>
                </c:pt>
                <c:pt idx="21">
                  <c:v>10</c:v>
                </c:pt>
                <c:pt idx="22">
                  <c:v>19</c:v>
                </c:pt>
                <c:pt idx="23">
                  <c:v>20</c:v>
                </c:pt>
                <c:pt idx="24">
                  <c:v>15</c:v>
                </c:pt>
                <c:pt idx="25">
                  <c:v>14</c:v>
                </c:pt>
                <c:pt idx="26">
                  <c:v>14</c:v>
                </c:pt>
                <c:pt idx="27">
                  <c:v>14</c:v>
                </c:pt>
                <c:pt idx="28">
                  <c:v>10</c:v>
                </c:pt>
                <c:pt idx="29">
                  <c:v>14</c:v>
                </c:pt>
                <c:pt idx="30">
                  <c:v>15</c:v>
                </c:pt>
                <c:pt idx="31">
                  <c:v>11</c:v>
                </c:pt>
                <c:pt idx="32">
                  <c:v>9</c:v>
                </c:pt>
                <c:pt idx="33">
                  <c:v>9</c:v>
                </c:pt>
                <c:pt idx="34">
                  <c:v>10</c:v>
                </c:pt>
                <c:pt idx="35">
                  <c:v>24</c:v>
                </c:pt>
              </c:numCache>
            </c:numRef>
          </c:val>
          <c:extLst>
            <c:ext xmlns:c16="http://schemas.microsoft.com/office/drawing/2014/chart" uri="{C3380CC4-5D6E-409C-BE32-E72D297353CC}">
              <c16:uniqueId val="{00000000-F45A-46D5-91FC-A95CE9CC8F1F}"/>
            </c:ext>
          </c:extLst>
        </c:ser>
        <c:dLbls>
          <c:dLblPos val="inEnd"/>
          <c:showLegendKey val="0"/>
          <c:showVal val="1"/>
          <c:showCatName val="0"/>
          <c:showSerName val="0"/>
          <c:showPercent val="0"/>
          <c:showBubbleSize val="0"/>
        </c:dLbls>
        <c:gapWidth val="219"/>
        <c:overlap val="-27"/>
        <c:axId val="263594783"/>
        <c:axId val="263591903"/>
      </c:barChart>
      <c:catAx>
        <c:axId val="26359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591903"/>
        <c:crosses val="autoZero"/>
        <c:auto val="1"/>
        <c:lblAlgn val="ctr"/>
        <c:lblOffset val="100"/>
        <c:noMultiLvlLbl val="0"/>
      </c:catAx>
      <c:valAx>
        <c:axId val="263591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594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Care Dengue Project.xlsx]6-Analysis!PivotTable1</c:name>
    <c:fmtId val="1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GB" sz="1800" b="1"/>
              <a:t>Area and House Wise Infection</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'6-Analysis'!$K$162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'6-Analysis'!$J$163:$J$170</c:f>
              <c:multiLvlStrCache>
                <c:ptCount val="6"/>
                <c:lvl>
                  <c:pt idx="0">
                    <c:v>Building</c:v>
                  </c:pt>
                  <c:pt idx="1">
                    <c:v>Other</c:v>
                  </c:pt>
                  <c:pt idx="2">
                    <c:v>Tinshed</c:v>
                  </c:pt>
                  <c:pt idx="3">
                    <c:v>Building</c:v>
                  </c:pt>
                  <c:pt idx="4">
                    <c:v>Other</c:v>
                  </c:pt>
                  <c:pt idx="5">
                    <c:v>Tinshed</c:v>
                  </c:pt>
                </c:lvl>
                <c:lvl>
                  <c:pt idx="0">
                    <c:v>Developed</c:v>
                  </c:pt>
                  <c:pt idx="3">
                    <c:v>Undeveloped</c:v>
                  </c:pt>
                </c:lvl>
              </c:multiLvlStrCache>
            </c:multiLvlStrRef>
          </c:cat>
          <c:val>
            <c:numRef>
              <c:f>'6-Analysis'!$K$163:$K$170</c:f>
              <c:numCache>
                <c:formatCode>General</c:formatCode>
                <c:ptCount val="6"/>
                <c:pt idx="0">
                  <c:v>95</c:v>
                </c:pt>
                <c:pt idx="1">
                  <c:v>80</c:v>
                </c:pt>
                <c:pt idx="2">
                  <c:v>82</c:v>
                </c:pt>
                <c:pt idx="3">
                  <c:v>96</c:v>
                </c:pt>
                <c:pt idx="4">
                  <c:v>89</c:v>
                </c:pt>
                <c:pt idx="5">
                  <c:v>91</c:v>
                </c:pt>
              </c:numCache>
            </c:numRef>
          </c:val>
          <c:extLst>
            <c:ext xmlns:c16="http://schemas.microsoft.com/office/drawing/2014/chart" uri="{C3380CC4-5D6E-409C-BE32-E72D297353CC}">
              <c16:uniqueId val="{00000000-A449-476B-84A8-846E0227E0EF}"/>
            </c:ext>
          </c:extLst>
        </c:ser>
        <c:dLbls>
          <c:dLblPos val="inEnd"/>
          <c:showLegendKey val="0"/>
          <c:showVal val="1"/>
          <c:showCatName val="0"/>
          <c:showSerName val="0"/>
          <c:showPercent val="0"/>
          <c:showBubbleSize val="0"/>
        </c:dLbls>
        <c:gapWidth val="219"/>
        <c:overlap val="-27"/>
        <c:axId val="7016559"/>
        <c:axId val="7017519"/>
      </c:barChart>
      <c:catAx>
        <c:axId val="701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519"/>
        <c:crosses val="autoZero"/>
        <c:auto val="1"/>
        <c:lblAlgn val="ctr"/>
        <c:lblOffset val="100"/>
        <c:noMultiLvlLbl val="0"/>
      </c:catAx>
      <c:valAx>
        <c:axId val="7017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6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Care Dengue Project.xlsx]6-Analysis!PivotTable8</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Patients'</a:t>
            </a:r>
            <a:r>
              <a:rPr lang="en-GB" baseline="0"/>
              <a:t> Infection History</a:t>
            </a:r>
            <a:endParaRPr lang="en-GB"/>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GB"/>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5.2777777777777674E-2"/>
              <c:y val="0.1898148148148148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10833333333333334"/>
              <c:y val="-0.2175925925925926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254000" sx="102000" sy="102000" algn="ctr" rotWithShape="0">
              <a:prstClr val="black">
                <a:alpha val="20000"/>
              </a:prstClr>
            </a:outerShdw>
          </a:effectLst>
        </c:spPr>
        <c:dLbl>
          <c:idx val="0"/>
          <c:layout>
            <c:manualLayout>
              <c:x val="-2.2222222222222233E-2"/>
              <c:y val="-0.263888888888888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c:spPr>
        <c:dLbl>
          <c:idx val="0"/>
          <c:layout>
            <c:manualLayout>
              <c:x val="-0.10000000000000002"/>
              <c:y val="0.2592592592592592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10833333333333334"/>
              <c:y val="-0.2175925925925926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0000000000000002"/>
              <c:y val="0.2592592592592592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5.2777777777777674E-2"/>
              <c:y val="0.1898148148148148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2.2222222222222233E-2"/>
              <c:y val="-0.263888888888888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0.10833333333333334"/>
              <c:y val="-0.2175925925925926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0.10000000000000002"/>
              <c:y val="0.2592592592592592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5.2777777777777674E-2"/>
              <c:y val="0.1898148148148148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2.2222222222222233E-2"/>
              <c:y val="-0.263888888888888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'6-Analysis'!$G$5</c:f>
              <c:strCache>
                <c:ptCount val="1"/>
                <c:pt idx="0">
                  <c:v>Count of Dengue_Result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B4F-41CC-9B67-9C3BD809D5F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B4F-41CC-9B67-9C3BD809D5F4}"/>
              </c:ext>
            </c:extLst>
          </c:dPt>
          <c:dLbls>
            <c:dLbl>
              <c:idx val="0"/>
              <c:layout>
                <c:manualLayout>
                  <c:x val="0.10833333333333334"/>
                  <c:y val="-0.217592592592592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4F-41CC-9B67-9C3BD809D5F4}"/>
                </c:ext>
              </c:extLst>
            </c:dLbl>
            <c:dLbl>
              <c:idx val="1"/>
              <c:layout>
                <c:manualLayout>
                  <c:x val="-0.10000000000000002"/>
                  <c:y val="0.259259259259259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4F-41CC-9B67-9C3BD809D5F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'6-Analysis'!$F$6:$F$8</c:f>
              <c:strCache>
                <c:ptCount val="2"/>
                <c:pt idx="0">
                  <c:v>Not Previously Infected</c:v>
                </c:pt>
                <c:pt idx="1">
                  <c:v>Previously Infected</c:v>
                </c:pt>
              </c:strCache>
            </c:strRef>
          </c:cat>
          <c:val>
            <c:numRef>
              <c:f>'6-Analysis'!$G$6:$G$8</c:f>
              <c:numCache>
                <c:formatCode>General</c:formatCode>
                <c:ptCount val="2"/>
                <c:pt idx="0">
                  <c:v>274</c:v>
                </c:pt>
                <c:pt idx="1">
                  <c:v>259</c:v>
                </c:pt>
              </c:numCache>
            </c:numRef>
          </c:val>
          <c:extLst>
            <c:ext xmlns:c16="http://schemas.microsoft.com/office/drawing/2014/chart" uri="{C3380CC4-5D6E-409C-BE32-E72D297353CC}">
              <c16:uniqueId val="{00000004-AB4F-41CC-9B67-9C3BD809D5F4}"/>
            </c:ext>
          </c:extLst>
        </c:ser>
        <c:ser>
          <c:idx val="1"/>
          <c:order val="1"/>
          <c:tx>
            <c:strRef>
              <c:f>'6-Analysis'!$H$5</c:f>
              <c:strCache>
                <c:ptCount val="1"/>
                <c:pt idx="0">
                  <c:v>Count of Dengue_Result2</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AB4F-41CC-9B67-9C3BD809D5F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AB4F-41CC-9B67-9C3BD809D5F4}"/>
              </c:ext>
            </c:extLst>
          </c:dPt>
          <c:dLbls>
            <c:dLbl>
              <c:idx val="0"/>
              <c:layout>
                <c:manualLayout>
                  <c:x val="5.2777777777777674E-2"/>
                  <c:y val="0.189814814814814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B4F-41CC-9B67-9C3BD809D5F4}"/>
                </c:ext>
              </c:extLst>
            </c:dLbl>
            <c:dLbl>
              <c:idx val="1"/>
              <c:layout>
                <c:manualLayout>
                  <c:x val="-2.2222222222222233E-2"/>
                  <c:y val="-0.263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B4F-41CC-9B67-9C3BD809D5F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'6-Analysis'!$F$6:$F$8</c:f>
              <c:strCache>
                <c:ptCount val="2"/>
                <c:pt idx="0">
                  <c:v>Not Previously Infected</c:v>
                </c:pt>
                <c:pt idx="1">
                  <c:v>Previously Infected</c:v>
                </c:pt>
              </c:strCache>
            </c:strRef>
          </c:cat>
          <c:val>
            <c:numRef>
              <c:f>'6-Analysis'!$H$6:$H$8</c:f>
              <c:numCache>
                <c:formatCode>0.0%</c:formatCode>
                <c:ptCount val="2"/>
                <c:pt idx="0">
                  <c:v>0.51407129455909939</c:v>
                </c:pt>
                <c:pt idx="1">
                  <c:v>0.48592870544090055</c:v>
                </c:pt>
              </c:numCache>
            </c:numRef>
          </c:val>
          <c:extLst>
            <c:ext xmlns:c16="http://schemas.microsoft.com/office/drawing/2014/chart" uri="{C3380CC4-5D6E-409C-BE32-E72D297353CC}">
              <c16:uniqueId val="{00000009-AB4F-41CC-9B67-9C3BD809D5F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Care Dengue Project.xlsx]6-Analysis!PivotTable9</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Current</a:t>
            </a:r>
            <a:r>
              <a:rPr lang="en-GB" baseline="0"/>
              <a:t> Infection Status</a:t>
            </a:r>
            <a:endParaRPr lang="en-GB"/>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GB"/>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7.7777777777777779E-2"/>
              <c:y val="0.185185185185185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1"/>
              <c:y val="-0.1944444444444444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254000" sx="102000" sy="102000" algn="ctr" rotWithShape="0">
              <a:prstClr val="black">
                <a:alpha val="20000"/>
              </a:prstClr>
            </a:outerShdw>
          </a:effectLst>
        </c:spPr>
        <c:dLbl>
          <c:idx val="0"/>
          <c:layout>
            <c:manualLayout>
              <c:x val="-5.5555555555555566E-2"/>
              <c:y val="-0.2777777777777778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c:spPr>
        <c:dLbl>
          <c:idx val="0"/>
          <c:layout>
            <c:manualLayout>
              <c:x val="-0.12222222222222222"/>
              <c:y val="0.1574074074074074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1"/>
              <c:y val="-0.1944444444444444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2222222222222222"/>
              <c:y val="0.1574074074074074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7.7777777777777779E-2"/>
              <c:y val="0.185185185185185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5.5555555555555566E-2"/>
              <c:y val="-0.2777777777777778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0.1"/>
              <c:y val="-0.1944444444444444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0.12222222222222222"/>
              <c:y val="0.1574074074074074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7.7777777777777779E-2"/>
              <c:y val="0.185185185185185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5.5555555555555566E-2"/>
              <c:y val="-0.2777777777777778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'6-Analysis'!$K$192</c:f>
              <c:strCache>
                <c:ptCount val="1"/>
                <c:pt idx="0">
                  <c:v>Number of Respondents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54B-45BF-801E-D319A135EC5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54B-45BF-801E-D319A135EC5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'6-Analysis'!$J$193</c:f>
              <c:strCache>
                <c:ptCount val="1"/>
                <c:pt idx="0">
                  <c:v>Recently Infected</c:v>
                </c:pt>
              </c:strCache>
            </c:strRef>
          </c:cat>
          <c:val>
            <c:numRef>
              <c:f>'6-Analysis'!$K$193</c:f>
              <c:numCache>
                <c:formatCode>General</c:formatCode>
                <c:ptCount val="1"/>
                <c:pt idx="0">
                  <c:v>533</c:v>
                </c:pt>
              </c:numCache>
            </c:numRef>
          </c:val>
          <c:extLst>
            <c:ext xmlns:c16="http://schemas.microsoft.com/office/drawing/2014/chart" uri="{C3380CC4-5D6E-409C-BE32-E72D297353CC}">
              <c16:uniqueId val="{00000004-954B-45BF-801E-D319A135EC53}"/>
            </c:ext>
          </c:extLst>
        </c:ser>
        <c:ser>
          <c:idx val="1"/>
          <c:order val="1"/>
          <c:tx>
            <c:strRef>
              <c:f>'6-Analysis'!$L$192</c:f>
              <c:strCache>
                <c:ptCount val="1"/>
                <c:pt idx="0">
                  <c:v>Count of Dengue_Result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954B-45BF-801E-D319A135EC5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954B-45BF-801E-D319A135EC5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'6-Analysis'!$J$193</c:f>
              <c:strCache>
                <c:ptCount val="1"/>
                <c:pt idx="0">
                  <c:v>Recently Infected</c:v>
                </c:pt>
              </c:strCache>
            </c:strRef>
          </c:cat>
          <c:val>
            <c:numRef>
              <c:f>'6-Analysis'!$L$193</c:f>
              <c:numCache>
                <c:formatCode>0.0%</c:formatCode>
                <c:ptCount val="1"/>
                <c:pt idx="0">
                  <c:v>1</c:v>
                </c:pt>
              </c:numCache>
            </c:numRef>
          </c:val>
          <c:extLst>
            <c:ext xmlns:c16="http://schemas.microsoft.com/office/drawing/2014/chart" uri="{C3380CC4-5D6E-409C-BE32-E72D297353CC}">
              <c16:uniqueId val="{00000009-954B-45BF-801E-D319A135EC5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Care Dengue Project.xlsx]6-Analysis!PivotTable6</c:name>
    <c:fmtId val="60"/>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GB" sz="1800" b="1"/>
              <a:t>Age Wise Infection</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'6-Analysis'!$C$27</c:f>
              <c:strCache>
                <c:ptCount val="1"/>
                <c:pt idx="0">
                  <c:v>Number of Dengue Patients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'6-Analysis'!$B$28:$B$34</c:f>
              <c:strCache>
                <c:ptCount val="6"/>
                <c:pt idx="0">
                  <c:v>Child</c:v>
                </c:pt>
                <c:pt idx="1">
                  <c:v>Adolescents</c:v>
                </c:pt>
                <c:pt idx="2">
                  <c:v>Young Adolescents</c:v>
                </c:pt>
                <c:pt idx="3">
                  <c:v>Adults</c:v>
                </c:pt>
                <c:pt idx="4">
                  <c:v>Middle Aged</c:v>
                </c:pt>
                <c:pt idx="5">
                  <c:v>Elderly</c:v>
                </c:pt>
              </c:strCache>
            </c:strRef>
          </c:cat>
          <c:val>
            <c:numRef>
              <c:f>'6-Analysis'!$C$28:$C$34</c:f>
              <c:numCache>
                <c:formatCode>General</c:formatCode>
                <c:ptCount val="6"/>
                <c:pt idx="0">
                  <c:v>62</c:v>
                </c:pt>
                <c:pt idx="1">
                  <c:v>50</c:v>
                </c:pt>
                <c:pt idx="2">
                  <c:v>48</c:v>
                </c:pt>
                <c:pt idx="3">
                  <c:v>189</c:v>
                </c:pt>
                <c:pt idx="4">
                  <c:v>175</c:v>
                </c:pt>
                <c:pt idx="5">
                  <c:v>9</c:v>
                </c:pt>
              </c:numCache>
            </c:numRef>
          </c:val>
          <c:extLst>
            <c:ext xmlns:c16="http://schemas.microsoft.com/office/drawing/2014/chart" uri="{C3380CC4-5D6E-409C-BE32-E72D297353CC}">
              <c16:uniqueId val="{00000000-B971-48C5-88D0-32F73523F819}"/>
            </c:ext>
          </c:extLst>
        </c:ser>
        <c:dLbls>
          <c:showLegendKey val="0"/>
          <c:showVal val="1"/>
          <c:showCatName val="0"/>
          <c:showSerName val="0"/>
          <c:showPercent val="0"/>
          <c:showBubbleSize val="0"/>
        </c:dLbls>
        <c:gapWidth val="269"/>
        <c:overlap val="-27"/>
        <c:axId val="261733087"/>
        <c:axId val="261737407"/>
      </c:barChart>
      <c:lineChart>
        <c:grouping val="standard"/>
        <c:varyColors val="0"/>
        <c:ser>
          <c:idx val="1"/>
          <c:order val="1"/>
          <c:tx>
            <c:strRef>
              <c:f>'6-Analysis'!$D$27</c:f>
              <c:strCache>
                <c:ptCount val="1"/>
                <c:pt idx="0">
                  <c:v>% of Dengue Patients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'6-Analysis'!$B$28:$B$34</c:f>
              <c:strCache>
                <c:ptCount val="6"/>
                <c:pt idx="0">
                  <c:v>Child</c:v>
                </c:pt>
                <c:pt idx="1">
                  <c:v>Adolescents</c:v>
                </c:pt>
                <c:pt idx="2">
                  <c:v>Young Adolescents</c:v>
                </c:pt>
                <c:pt idx="3">
                  <c:v>Adults</c:v>
                </c:pt>
                <c:pt idx="4">
                  <c:v>Middle Aged</c:v>
                </c:pt>
                <c:pt idx="5">
                  <c:v>Elderly</c:v>
                </c:pt>
              </c:strCache>
            </c:strRef>
          </c:cat>
          <c:val>
            <c:numRef>
              <c:f>'6-Analysis'!$D$28:$D$34</c:f>
              <c:numCache>
                <c:formatCode>0.0%</c:formatCode>
                <c:ptCount val="6"/>
                <c:pt idx="0">
                  <c:v>0.11632270168855535</c:v>
                </c:pt>
                <c:pt idx="1">
                  <c:v>9.3808630393996242E-2</c:v>
                </c:pt>
                <c:pt idx="2">
                  <c:v>9.0056285178236398E-2</c:v>
                </c:pt>
                <c:pt idx="3">
                  <c:v>0.35459662288930582</c:v>
                </c:pt>
                <c:pt idx="4">
                  <c:v>0.32833020637898686</c:v>
                </c:pt>
                <c:pt idx="5">
                  <c:v>1.6885553470919325E-2</c:v>
                </c:pt>
              </c:numCache>
            </c:numRef>
          </c:val>
          <c:smooth val="0"/>
          <c:extLst>
            <c:ext xmlns:c16="http://schemas.microsoft.com/office/drawing/2014/chart" uri="{C3380CC4-5D6E-409C-BE32-E72D297353CC}">
              <c16:uniqueId val="{00000001-B971-48C5-88D0-32F73523F819}"/>
            </c:ext>
          </c:extLst>
        </c:ser>
        <c:dLbls>
          <c:showLegendKey val="0"/>
          <c:showVal val="1"/>
          <c:showCatName val="0"/>
          <c:showSerName val="0"/>
          <c:showPercent val="0"/>
          <c:showBubbleSize val="0"/>
        </c:dLbls>
        <c:marker val="1"/>
        <c:smooth val="0"/>
        <c:axId val="1339420623"/>
        <c:axId val="1339419183"/>
      </c:lineChart>
      <c:catAx>
        <c:axId val="26173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737407"/>
        <c:crosses val="autoZero"/>
        <c:auto val="1"/>
        <c:lblAlgn val="ctr"/>
        <c:lblOffset val="100"/>
        <c:noMultiLvlLbl val="0"/>
      </c:catAx>
      <c:valAx>
        <c:axId val="261737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733087"/>
        <c:crosses val="autoZero"/>
        <c:crossBetween val="between"/>
      </c:valAx>
      <c:valAx>
        <c:axId val="1339419183"/>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420623"/>
        <c:crosses val="max"/>
        <c:crossBetween val="between"/>
      </c:valAx>
      <c:catAx>
        <c:axId val="1339420623"/>
        <c:scaling>
          <c:orientation val="minMax"/>
        </c:scaling>
        <c:delete val="1"/>
        <c:axPos val="b"/>
        <c:numFmt formatCode="General" sourceLinked="1"/>
        <c:majorTickMark val="out"/>
        <c:minorTickMark val="none"/>
        <c:tickLblPos val="nextTo"/>
        <c:crossAx val="1339419183"/>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6.xml"/><Relationship Id="rId7" Type="http://schemas.openxmlformats.org/officeDocument/2006/relationships/image" Target="../media/image1.jpeg"/><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9</xdr:col>
      <xdr:colOff>67973</xdr:colOff>
      <xdr:row>25</xdr:row>
      <xdr:rowOff>60414</xdr:rowOff>
    </xdr:from>
    <xdr:to>
      <xdr:col>11</xdr:col>
      <xdr:colOff>591524</xdr:colOff>
      <xdr:row>40</xdr:row>
      <xdr:rowOff>82184</xdr:rowOff>
    </xdr:to>
    <xdr:graphicFrame macro="">
      <xdr:nvGraphicFramePr>
        <xdr:cNvPr id="9" name="Chart 8">
          <a:extLst>
            <a:ext uri="{FF2B5EF4-FFF2-40B4-BE49-F238E27FC236}">
              <a16:creationId xmlns:a16="http://schemas.microsoft.com/office/drawing/2014/main" id="{83D08390-003D-1B6E-206F-6D3720A97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2113787</xdr:colOff>
      <xdr:row>24</xdr:row>
      <xdr:rowOff>171407</xdr:rowOff>
    </xdr:from>
    <xdr:to>
      <xdr:col>15</xdr:col>
      <xdr:colOff>149463</xdr:colOff>
      <xdr:row>40</xdr:row>
      <xdr:rowOff>9733</xdr:rowOff>
    </xdr:to>
    <xdr:graphicFrame macro="">
      <xdr:nvGraphicFramePr>
        <xdr:cNvPr id="11" name="Chart 10">
          <a:extLst>
            <a:ext uri="{FF2B5EF4-FFF2-40B4-BE49-F238E27FC236}">
              <a16:creationId xmlns:a16="http://schemas.microsoft.com/office/drawing/2014/main" id="{ACB50C87-EBD6-B7D8-64B3-537159245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167344</xdr:colOff>
      <xdr:row>78</xdr:row>
      <xdr:rowOff>108819</xdr:rowOff>
    </xdr:from>
    <xdr:to>
      <xdr:col>11</xdr:col>
      <xdr:colOff>675344</xdr:colOff>
      <xdr:row>93</xdr:row>
      <xdr:rowOff>130590</xdr:rowOff>
    </xdr:to>
    <xdr:graphicFrame macro="">
      <xdr:nvGraphicFramePr>
        <xdr:cNvPr id="16" name="Chart 15">
          <a:extLst>
            <a:ext uri="{FF2B5EF4-FFF2-40B4-BE49-F238E27FC236}">
              <a16:creationId xmlns:a16="http://schemas.microsoft.com/office/drawing/2014/main" id="{588C42FA-B81C-51FA-2026-50A488135D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1868714</xdr:colOff>
      <xdr:row>78</xdr:row>
      <xdr:rowOff>163285</xdr:rowOff>
    </xdr:from>
    <xdr:to>
      <xdr:col>14</xdr:col>
      <xdr:colOff>859971</xdr:colOff>
      <xdr:row>94</xdr:row>
      <xdr:rowOff>3628</xdr:rowOff>
    </xdr:to>
    <xdr:graphicFrame macro="">
      <xdr:nvGraphicFramePr>
        <xdr:cNvPr id="17" name="Chart 16">
          <a:extLst>
            <a:ext uri="{FF2B5EF4-FFF2-40B4-BE49-F238E27FC236}">
              <a16:creationId xmlns:a16="http://schemas.microsoft.com/office/drawing/2014/main" id="{50F3ECDE-9F43-DDCF-B0B4-87BA476B4F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505046</xdr:colOff>
      <xdr:row>102</xdr:row>
      <xdr:rowOff>127122</xdr:rowOff>
    </xdr:from>
    <xdr:to>
      <xdr:col>4</xdr:col>
      <xdr:colOff>212651</xdr:colOff>
      <xdr:row>117</xdr:row>
      <xdr:rowOff>165672</xdr:rowOff>
    </xdr:to>
    <xdr:graphicFrame macro="">
      <xdr:nvGraphicFramePr>
        <xdr:cNvPr id="19" name="Chart 18">
          <a:extLst>
            <a:ext uri="{FF2B5EF4-FFF2-40B4-BE49-F238E27FC236}">
              <a16:creationId xmlns:a16="http://schemas.microsoft.com/office/drawing/2014/main" id="{31124816-B034-797C-ABB3-FDA53D9017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523942</xdr:colOff>
      <xdr:row>139</xdr:row>
      <xdr:rowOff>175137</xdr:rowOff>
    </xdr:from>
    <xdr:to>
      <xdr:col>4</xdr:col>
      <xdr:colOff>106326</xdr:colOff>
      <xdr:row>154</xdr:row>
      <xdr:rowOff>164122</xdr:rowOff>
    </xdr:to>
    <xdr:graphicFrame macro="">
      <xdr:nvGraphicFramePr>
        <xdr:cNvPr id="21" name="Chart 20">
          <a:extLst>
            <a:ext uri="{FF2B5EF4-FFF2-40B4-BE49-F238E27FC236}">
              <a16:creationId xmlns:a16="http://schemas.microsoft.com/office/drawing/2014/main" id="{F42B0E7B-FE43-4B8E-78E0-20C7041C4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596639</xdr:colOff>
      <xdr:row>67</xdr:row>
      <xdr:rowOff>100197</xdr:rowOff>
    </xdr:from>
    <xdr:to>
      <xdr:col>4</xdr:col>
      <xdr:colOff>40352</xdr:colOff>
      <xdr:row>82</xdr:row>
      <xdr:rowOff>89180</xdr:rowOff>
    </xdr:to>
    <xdr:graphicFrame macro="">
      <xdr:nvGraphicFramePr>
        <xdr:cNvPr id="22" name="Chart 21">
          <a:extLst>
            <a:ext uri="{FF2B5EF4-FFF2-40B4-BE49-F238E27FC236}">
              <a16:creationId xmlns:a16="http://schemas.microsoft.com/office/drawing/2014/main" id="{9E128CB8-1633-D38A-F36B-1B15598F78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325555</xdr:colOff>
      <xdr:row>75</xdr:row>
      <xdr:rowOff>137899</xdr:rowOff>
    </xdr:from>
    <xdr:to>
      <xdr:col>7</xdr:col>
      <xdr:colOff>747657</xdr:colOff>
      <xdr:row>90</xdr:row>
      <xdr:rowOff>108848</xdr:rowOff>
    </xdr:to>
    <xdr:graphicFrame macro="">
      <xdr:nvGraphicFramePr>
        <xdr:cNvPr id="23" name="Chart 22">
          <a:extLst>
            <a:ext uri="{FF2B5EF4-FFF2-40B4-BE49-F238E27FC236}">
              <a16:creationId xmlns:a16="http://schemas.microsoft.com/office/drawing/2014/main" id="{E91C6AB2-DDEC-3104-5688-CC7C7DA817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274674</xdr:colOff>
      <xdr:row>199</xdr:row>
      <xdr:rowOff>133882</xdr:rowOff>
    </xdr:from>
    <xdr:to>
      <xdr:col>3</xdr:col>
      <xdr:colOff>1179871</xdr:colOff>
      <xdr:row>214</xdr:row>
      <xdr:rowOff>133884</xdr:rowOff>
    </xdr:to>
    <xdr:graphicFrame macro="">
      <xdr:nvGraphicFramePr>
        <xdr:cNvPr id="25" name="Chart 24">
          <a:extLst>
            <a:ext uri="{FF2B5EF4-FFF2-40B4-BE49-F238E27FC236}">
              <a16:creationId xmlns:a16="http://schemas.microsoft.com/office/drawing/2014/main" id="{A8916FB2-B11B-8544-BC2C-9B0531388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259499</xdr:colOff>
      <xdr:row>159</xdr:row>
      <xdr:rowOff>158769</xdr:rowOff>
    </xdr:from>
    <xdr:to>
      <xdr:col>13</xdr:col>
      <xdr:colOff>615802</xdr:colOff>
      <xdr:row>171</xdr:row>
      <xdr:rowOff>11987</xdr:rowOff>
    </xdr:to>
    <xdr:graphicFrame macro="">
      <xdr:nvGraphicFramePr>
        <xdr:cNvPr id="3" name="Chart 2">
          <a:extLst>
            <a:ext uri="{FF2B5EF4-FFF2-40B4-BE49-F238E27FC236}">
              <a16:creationId xmlns:a16="http://schemas.microsoft.com/office/drawing/2014/main" id="{52520854-15E3-BA54-CD74-16EDC35857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524565</xdr:colOff>
      <xdr:row>9</xdr:row>
      <xdr:rowOff>93971</xdr:rowOff>
    </xdr:from>
    <xdr:to>
      <xdr:col>7</xdr:col>
      <xdr:colOff>812850</xdr:colOff>
      <xdr:row>24</xdr:row>
      <xdr:rowOff>22755</xdr:rowOff>
    </xdr:to>
    <xdr:graphicFrame macro="">
      <xdr:nvGraphicFramePr>
        <xdr:cNvPr id="4" name="Chart 3">
          <a:extLst>
            <a:ext uri="{FF2B5EF4-FFF2-40B4-BE49-F238E27FC236}">
              <a16:creationId xmlns:a16="http://schemas.microsoft.com/office/drawing/2014/main" id="{39ECF119-F7F9-DEB4-09A7-8EA3DAAFA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174316</xdr:colOff>
      <xdr:row>178</xdr:row>
      <xdr:rowOff>149480</xdr:rowOff>
    </xdr:from>
    <xdr:to>
      <xdr:col>14</xdr:col>
      <xdr:colOff>365483</xdr:colOff>
      <xdr:row>193</xdr:row>
      <xdr:rowOff>78263</xdr:rowOff>
    </xdr:to>
    <xdr:graphicFrame macro="">
      <xdr:nvGraphicFramePr>
        <xdr:cNvPr id="5" name="Chart 4">
          <a:extLst>
            <a:ext uri="{FF2B5EF4-FFF2-40B4-BE49-F238E27FC236}">
              <a16:creationId xmlns:a16="http://schemas.microsoft.com/office/drawing/2014/main" id="{4B9DC460-78D7-42D1-8E4B-8779D20EE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207259</xdr:colOff>
      <xdr:row>34</xdr:row>
      <xdr:rowOff>142640</xdr:rowOff>
    </xdr:from>
    <xdr:to>
      <xdr:col>4</xdr:col>
      <xdr:colOff>580297</xdr:colOff>
      <xdr:row>49</xdr:row>
      <xdr:rowOff>69753</xdr:rowOff>
    </xdr:to>
    <xdr:graphicFrame macro="">
      <xdr:nvGraphicFramePr>
        <xdr:cNvPr id="7" name="Chart 6">
          <a:extLst>
            <a:ext uri="{FF2B5EF4-FFF2-40B4-BE49-F238E27FC236}">
              <a16:creationId xmlns:a16="http://schemas.microsoft.com/office/drawing/2014/main" id="{2C0D3D7F-3143-EC11-DE91-FACB0A769B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53341</xdr:rowOff>
    </xdr:from>
    <xdr:to>
      <xdr:col>26</xdr:col>
      <xdr:colOff>493059</xdr:colOff>
      <xdr:row>45</xdr:row>
      <xdr:rowOff>29883</xdr:rowOff>
    </xdr:to>
    <xdr:sp macro="" textlink="">
      <xdr:nvSpPr>
        <xdr:cNvPr id="2" name="Rectangle 1">
          <a:extLst>
            <a:ext uri="{FF2B5EF4-FFF2-40B4-BE49-F238E27FC236}">
              <a16:creationId xmlns:a16="http://schemas.microsoft.com/office/drawing/2014/main" id="{5BF790A1-DD9D-CF4A-4758-69B7233581E0}"/>
            </a:ext>
          </a:extLst>
        </xdr:cNvPr>
        <xdr:cNvSpPr/>
      </xdr:nvSpPr>
      <xdr:spPr>
        <a:xfrm>
          <a:off x="38100" y="53341"/>
          <a:ext cx="16382253" cy="8044777"/>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54430</xdr:colOff>
      <xdr:row>4</xdr:row>
      <xdr:rowOff>180576</xdr:rowOff>
    </xdr:from>
    <xdr:to>
      <xdr:col>10</xdr:col>
      <xdr:colOff>199573</xdr:colOff>
      <xdr:row>10</xdr:row>
      <xdr:rowOff>27214</xdr:rowOff>
    </xdr:to>
    <xdr:sp macro="" textlink="">
      <xdr:nvSpPr>
        <xdr:cNvPr id="3" name="Rectangle: Rounded Corners 2">
          <a:extLst>
            <a:ext uri="{FF2B5EF4-FFF2-40B4-BE49-F238E27FC236}">
              <a16:creationId xmlns:a16="http://schemas.microsoft.com/office/drawing/2014/main" id="{F20001D1-34B9-A28D-0FA7-AC6C0A56524F}"/>
            </a:ext>
          </a:extLst>
        </xdr:cNvPr>
        <xdr:cNvSpPr/>
      </xdr:nvSpPr>
      <xdr:spPr>
        <a:xfrm>
          <a:off x="4916716" y="906290"/>
          <a:ext cx="1360714" cy="9352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t>Total</a:t>
          </a:r>
          <a:r>
            <a:rPr lang="en-GB" sz="1400" b="1" baseline="0"/>
            <a:t> Infection</a:t>
          </a:r>
          <a:endParaRPr lang="en-GB" sz="1400" b="1"/>
        </a:p>
      </xdr:txBody>
    </xdr:sp>
    <xdr:clientData/>
  </xdr:twoCellAnchor>
  <xdr:twoCellAnchor>
    <xdr:from>
      <xdr:col>10</xdr:col>
      <xdr:colOff>308428</xdr:colOff>
      <xdr:row>5</xdr:row>
      <xdr:rowOff>3201</xdr:rowOff>
    </xdr:from>
    <xdr:to>
      <xdr:col>12</xdr:col>
      <xdr:colOff>407055</xdr:colOff>
      <xdr:row>10</xdr:row>
      <xdr:rowOff>18143</xdr:rowOff>
    </xdr:to>
    <xdr:sp macro="" textlink="">
      <xdr:nvSpPr>
        <xdr:cNvPr id="4" name="Rectangle: Rounded Corners 3">
          <a:extLst>
            <a:ext uri="{FF2B5EF4-FFF2-40B4-BE49-F238E27FC236}">
              <a16:creationId xmlns:a16="http://schemas.microsoft.com/office/drawing/2014/main" id="{40879A2B-5BAF-42E2-83E0-52AB24D9AA24}"/>
            </a:ext>
          </a:extLst>
        </xdr:cNvPr>
        <xdr:cNvSpPr/>
      </xdr:nvSpPr>
      <xdr:spPr>
        <a:xfrm>
          <a:off x="6386285" y="910344"/>
          <a:ext cx="1314199" cy="9220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lt1"/>
              </a:solidFill>
              <a:latin typeface="+mn-lt"/>
              <a:ea typeface="+mn-ea"/>
              <a:cs typeface="+mn-cs"/>
            </a:rPr>
            <a:t>Infection</a:t>
          </a:r>
          <a:r>
            <a:rPr lang="en-GB" sz="1100"/>
            <a:t> </a:t>
          </a:r>
          <a:r>
            <a:rPr lang="en-GB" sz="1400" b="1">
              <a:solidFill>
                <a:schemeClr val="lt1"/>
              </a:solidFill>
              <a:latin typeface="+mn-lt"/>
              <a:ea typeface="+mn-ea"/>
              <a:cs typeface="+mn-cs"/>
            </a:rPr>
            <a:t>Rate</a:t>
          </a:r>
        </a:p>
      </xdr:txBody>
    </xdr:sp>
    <xdr:clientData/>
  </xdr:twoCellAnchor>
  <xdr:twoCellAnchor>
    <xdr:from>
      <xdr:col>12</xdr:col>
      <xdr:colOff>489856</xdr:colOff>
      <xdr:row>4</xdr:row>
      <xdr:rowOff>172358</xdr:rowOff>
    </xdr:from>
    <xdr:to>
      <xdr:col>14</xdr:col>
      <xdr:colOff>511892</xdr:colOff>
      <xdr:row>10</xdr:row>
      <xdr:rowOff>0</xdr:rowOff>
    </xdr:to>
    <xdr:sp macro="" textlink="">
      <xdr:nvSpPr>
        <xdr:cNvPr id="5" name="Rectangle: Rounded Corners 4">
          <a:extLst>
            <a:ext uri="{FF2B5EF4-FFF2-40B4-BE49-F238E27FC236}">
              <a16:creationId xmlns:a16="http://schemas.microsoft.com/office/drawing/2014/main" id="{7A687DFB-CE5C-44DA-9192-6FD889B61B57}"/>
            </a:ext>
          </a:extLst>
        </xdr:cNvPr>
        <xdr:cNvSpPr/>
      </xdr:nvSpPr>
      <xdr:spPr>
        <a:xfrm>
          <a:off x="7783285" y="898072"/>
          <a:ext cx="1237607" cy="9162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a:t>Average Age</a:t>
          </a:r>
        </a:p>
      </xdr:txBody>
    </xdr:sp>
    <xdr:clientData/>
  </xdr:twoCellAnchor>
  <xdr:twoCellAnchor>
    <xdr:from>
      <xdr:col>14</xdr:col>
      <xdr:colOff>598716</xdr:colOff>
      <xdr:row>4</xdr:row>
      <xdr:rowOff>163285</xdr:rowOff>
    </xdr:from>
    <xdr:to>
      <xdr:col>16</xdr:col>
      <xdr:colOff>462199</xdr:colOff>
      <xdr:row>9</xdr:row>
      <xdr:rowOff>165992</xdr:rowOff>
    </xdr:to>
    <xdr:sp macro="" textlink="">
      <xdr:nvSpPr>
        <xdr:cNvPr id="6" name="Rectangle: Rounded Corners 5">
          <a:extLst>
            <a:ext uri="{FF2B5EF4-FFF2-40B4-BE49-F238E27FC236}">
              <a16:creationId xmlns:a16="http://schemas.microsoft.com/office/drawing/2014/main" id="{175334A3-DD5F-4688-BC87-50B6467E4181}"/>
            </a:ext>
          </a:extLst>
        </xdr:cNvPr>
        <xdr:cNvSpPr/>
      </xdr:nvSpPr>
      <xdr:spPr>
        <a:xfrm>
          <a:off x="9107716" y="888999"/>
          <a:ext cx="1079054" cy="909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a:t>Repated Infection</a:t>
          </a:r>
        </a:p>
      </xdr:txBody>
    </xdr:sp>
    <xdr:clientData/>
  </xdr:twoCellAnchor>
  <xdr:twoCellAnchor>
    <xdr:from>
      <xdr:col>3</xdr:col>
      <xdr:colOff>381000</xdr:colOff>
      <xdr:row>4</xdr:row>
      <xdr:rowOff>163819</xdr:rowOff>
    </xdr:from>
    <xdr:to>
      <xdr:col>5</xdr:col>
      <xdr:colOff>382614</xdr:colOff>
      <xdr:row>10</xdr:row>
      <xdr:rowOff>36285</xdr:rowOff>
    </xdr:to>
    <xdr:sp macro="" textlink="">
      <xdr:nvSpPr>
        <xdr:cNvPr id="8" name="Rectangle: Rounded Corners 7">
          <a:extLst>
            <a:ext uri="{FF2B5EF4-FFF2-40B4-BE49-F238E27FC236}">
              <a16:creationId xmlns:a16="http://schemas.microsoft.com/office/drawing/2014/main" id="{8E3B26A7-C62A-4877-93A9-B4365DB3E9F8}"/>
            </a:ext>
          </a:extLst>
        </xdr:cNvPr>
        <xdr:cNvSpPr/>
      </xdr:nvSpPr>
      <xdr:spPr>
        <a:xfrm>
          <a:off x="2204357" y="889533"/>
          <a:ext cx="1217186" cy="96103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a:t>Total</a:t>
          </a:r>
          <a:r>
            <a:rPr lang="en-GB" sz="1400" b="1" baseline="0"/>
            <a:t> Population</a:t>
          </a:r>
          <a:endParaRPr lang="en-GB" sz="1400" b="1"/>
        </a:p>
      </xdr:txBody>
    </xdr:sp>
    <xdr:clientData/>
  </xdr:twoCellAnchor>
  <xdr:twoCellAnchor>
    <xdr:from>
      <xdr:col>5</xdr:col>
      <xdr:colOff>462642</xdr:colOff>
      <xdr:row>4</xdr:row>
      <xdr:rowOff>157414</xdr:rowOff>
    </xdr:from>
    <xdr:to>
      <xdr:col>7</xdr:col>
      <xdr:colOff>592644</xdr:colOff>
      <xdr:row>10</xdr:row>
      <xdr:rowOff>27214</xdr:rowOff>
    </xdr:to>
    <xdr:sp macro="" textlink="">
      <xdr:nvSpPr>
        <xdr:cNvPr id="9" name="Rectangle: Rounded Corners 8">
          <a:extLst>
            <a:ext uri="{FF2B5EF4-FFF2-40B4-BE49-F238E27FC236}">
              <a16:creationId xmlns:a16="http://schemas.microsoft.com/office/drawing/2014/main" id="{C7C3676B-A210-4B21-9A08-E8D0EDC07FB6}"/>
            </a:ext>
          </a:extLst>
        </xdr:cNvPr>
        <xdr:cNvSpPr/>
      </xdr:nvSpPr>
      <xdr:spPr>
        <a:xfrm>
          <a:off x="3501571" y="883128"/>
          <a:ext cx="1345573" cy="9583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baseline="0"/>
            <a:t>Infected Areas</a:t>
          </a:r>
          <a:endParaRPr lang="en-GB" sz="1400" b="1"/>
        </a:p>
      </xdr:txBody>
    </xdr:sp>
    <xdr:clientData/>
  </xdr:twoCellAnchor>
  <xdr:oneCellAnchor>
    <xdr:from>
      <xdr:col>6</xdr:col>
      <xdr:colOff>317417</xdr:colOff>
      <xdr:row>7</xdr:row>
      <xdr:rowOff>26960</xdr:rowOff>
    </xdr:from>
    <xdr:ext cx="418704" cy="374141"/>
    <xdr:sp macro="" textlink="'6-Analysis'!B18">
      <xdr:nvSpPr>
        <xdr:cNvPr id="10" name="TextBox 9">
          <a:extLst>
            <a:ext uri="{FF2B5EF4-FFF2-40B4-BE49-F238E27FC236}">
              <a16:creationId xmlns:a16="http://schemas.microsoft.com/office/drawing/2014/main" id="{FC8245CE-1A88-188A-E9A8-5C579BEBDD33}"/>
            </a:ext>
          </a:extLst>
        </xdr:cNvPr>
        <xdr:cNvSpPr txBox="1"/>
      </xdr:nvSpPr>
      <xdr:spPr>
        <a:xfrm>
          <a:off x="3964131" y="1296960"/>
          <a:ext cx="41870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7690B00-4472-4233-8BF1-7F032AA5A933}" type="TxLink">
            <a:rPr lang="en-US" sz="1800" b="1" i="0" u="none" strike="noStrike">
              <a:solidFill>
                <a:srgbClr val="000000"/>
              </a:solidFill>
              <a:latin typeface="Calibri"/>
              <a:ea typeface="Calibri"/>
              <a:cs typeface="Calibri"/>
            </a:rPr>
            <a:pPr/>
            <a:t>36</a:t>
          </a:fld>
          <a:endParaRPr lang="en-GB" sz="1800" b="1"/>
        </a:p>
      </xdr:txBody>
    </xdr:sp>
    <xdr:clientData/>
  </xdr:oneCellAnchor>
  <xdr:twoCellAnchor editAs="oneCell">
    <xdr:from>
      <xdr:col>16</xdr:col>
      <xdr:colOff>531982</xdr:colOff>
      <xdr:row>4</xdr:row>
      <xdr:rowOff>135842</xdr:rowOff>
    </xdr:from>
    <xdr:to>
      <xdr:col>19</xdr:col>
      <xdr:colOff>230191</xdr:colOff>
      <xdr:row>9</xdr:row>
      <xdr:rowOff>125522</xdr:rowOff>
    </xdr:to>
    <mc:AlternateContent xmlns:mc="http://schemas.openxmlformats.org/markup-compatibility/2006">
      <mc:Choice xmlns:a14="http://schemas.microsoft.com/office/drawing/2010/main" Requires="a14">
        <xdr:graphicFrame macro="">
          <xdr:nvGraphicFramePr>
            <xdr:cNvPr id="12" name="Dengue_Result">
              <a:extLst>
                <a:ext uri="{FF2B5EF4-FFF2-40B4-BE49-F238E27FC236}">
                  <a16:creationId xmlns:a16="http://schemas.microsoft.com/office/drawing/2014/main" id="{D2BF27D9-A058-C546-F1F3-2950F824D0B4}"/>
                </a:ext>
              </a:extLst>
            </xdr:cNvPr>
            <xdr:cNvGraphicFramePr/>
          </xdr:nvGraphicFramePr>
          <xdr:xfrm>
            <a:off x="0" y="0"/>
            <a:ext cx="0" cy="0"/>
          </xdr:xfrm>
          <a:graphic>
            <a:graphicData uri="http://schemas.microsoft.com/office/drawing/2010/slicer">
              <sle:slicer xmlns:sle="http://schemas.microsoft.com/office/drawing/2010/slicer" name="Dengue_Result"/>
            </a:graphicData>
          </a:graphic>
        </xdr:graphicFrame>
      </mc:Choice>
      <mc:Fallback>
        <xdr:sp macro="" textlink="">
          <xdr:nvSpPr>
            <xdr:cNvPr id="0" name=""/>
            <xdr:cNvSpPr>
              <a:spLocks noTextEdit="1"/>
            </xdr:cNvSpPr>
          </xdr:nvSpPr>
          <xdr:spPr>
            <a:xfrm>
              <a:off x="10285582" y="856278"/>
              <a:ext cx="1527009" cy="8902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19</xdr:col>
      <xdr:colOff>344714</xdr:colOff>
      <xdr:row>6</xdr:row>
      <xdr:rowOff>99787</xdr:rowOff>
    </xdr:from>
    <xdr:ext cx="216534" cy="264560"/>
    <xdr:sp macro="" textlink="">
      <xdr:nvSpPr>
        <xdr:cNvPr id="15" name="TextBox 14">
          <a:extLst>
            <a:ext uri="{FF2B5EF4-FFF2-40B4-BE49-F238E27FC236}">
              <a16:creationId xmlns:a16="http://schemas.microsoft.com/office/drawing/2014/main" id="{00727724-80DB-199C-A814-6B2B31A08611}"/>
            </a:ext>
          </a:extLst>
        </xdr:cNvPr>
        <xdr:cNvSpPr txBox="1"/>
      </xdr:nvSpPr>
      <xdr:spPr>
        <a:xfrm>
          <a:off x="11892643" y="1188358"/>
          <a:ext cx="2165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 </a:t>
          </a:r>
        </a:p>
      </xdr:txBody>
    </xdr:sp>
    <xdr:clientData/>
  </xdr:oneCellAnchor>
  <xdr:oneCellAnchor>
    <xdr:from>
      <xdr:col>4</xdr:col>
      <xdr:colOff>47490</xdr:colOff>
      <xdr:row>7</xdr:row>
      <xdr:rowOff>148345</xdr:rowOff>
    </xdr:from>
    <xdr:ext cx="652743" cy="374141"/>
    <xdr:sp macro="" textlink="'6-Analysis'!B8">
      <xdr:nvSpPr>
        <xdr:cNvPr id="16" name="TextBox 15">
          <a:extLst>
            <a:ext uri="{FF2B5EF4-FFF2-40B4-BE49-F238E27FC236}">
              <a16:creationId xmlns:a16="http://schemas.microsoft.com/office/drawing/2014/main" id="{9C72F4A8-D61C-0E4B-DD6B-52B71A178B02}"/>
            </a:ext>
          </a:extLst>
        </xdr:cNvPr>
        <xdr:cNvSpPr txBox="1"/>
      </xdr:nvSpPr>
      <xdr:spPr>
        <a:xfrm>
          <a:off x="2478633" y="1418345"/>
          <a:ext cx="65274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F2F82A9-62D8-42E5-872A-C65A1486F1CF}" type="TxLink">
            <a:rPr lang="en-US" sz="1800" b="1" i="0" u="none" strike="noStrike">
              <a:solidFill>
                <a:srgbClr val="000000"/>
              </a:solidFill>
              <a:latin typeface="Calibri"/>
              <a:ea typeface="Calibri"/>
              <a:cs typeface="Calibri"/>
            </a:rPr>
            <a:pPr/>
            <a:t>1000</a:t>
          </a:fld>
          <a:endParaRPr lang="en-GB" sz="1800" b="1"/>
        </a:p>
      </xdr:txBody>
    </xdr:sp>
    <xdr:clientData/>
  </xdr:oneCellAnchor>
  <xdr:oneCellAnchor>
    <xdr:from>
      <xdr:col>8</xdr:col>
      <xdr:colOff>482280</xdr:colOff>
      <xdr:row>6</xdr:row>
      <xdr:rowOff>173744</xdr:rowOff>
    </xdr:from>
    <xdr:ext cx="535724" cy="374141"/>
    <xdr:sp macro="" textlink="'6-Analysis'!#REF!">
      <xdr:nvSpPr>
        <xdr:cNvPr id="17" name="TextBox 16">
          <a:extLst>
            <a:ext uri="{FF2B5EF4-FFF2-40B4-BE49-F238E27FC236}">
              <a16:creationId xmlns:a16="http://schemas.microsoft.com/office/drawing/2014/main" id="{F51D7294-BD4B-3533-844D-DC4E3F5FE175}"/>
            </a:ext>
          </a:extLst>
        </xdr:cNvPr>
        <xdr:cNvSpPr txBox="1"/>
      </xdr:nvSpPr>
      <xdr:spPr>
        <a:xfrm>
          <a:off x="5344566" y="1262315"/>
          <a:ext cx="53572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291B789-C414-468F-88A5-B98B7B410D2B}" type="TxLink">
            <a:rPr lang="en-US" sz="1800" b="1" i="0" u="none" strike="noStrike">
              <a:solidFill>
                <a:srgbClr val="000000"/>
              </a:solidFill>
              <a:latin typeface="Calibri"/>
              <a:ea typeface="Calibri"/>
              <a:cs typeface="Calibri"/>
            </a:rPr>
            <a:pPr/>
            <a:t> </a:t>
          </a:fld>
          <a:endParaRPr lang="en-US" sz="1800" b="1"/>
        </a:p>
      </xdr:txBody>
    </xdr:sp>
    <xdr:clientData/>
  </xdr:oneCellAnchor>
  <xdr:oneCellAnchor>
    <xdr:from>
      <xdr:col>11</xdr:col>
      <xdr:colOff>101921</xdr:colOff>
      <xdr:row>7</xdr:row>
      <xdr:rowOff>15474</xdr:rowOff>
    </xdr:from>
    <xdr:ext cx="583686" cy="374141"/>
    <xdr:sp macro="" textlink="'6-Analysis'!B12">
      <xdr:nvSpPr>
        <xdr:cNvPr id="18" name="TextBox 17">
          <a:extLst>
            <a:ext uri="{FF2B5EF4-FFF2-40B4-BE49-F238E27FC236}">
              <a16:creationId xmlns:a16="http://schemas.microsoft.com/office/drawing/2014/main" id="{41520D4D-6370-AC61-FEA6-8AF70385AE4E}"/>
            </a:ext>
          </a:extLst>
        </xdr:cNvPr>
        <xdr:cNvSpPr txBox="1"/>
      </xdr:nvSpPr>
      <xdr:spPr>
        <a:xfrm>
          <a:off x="6787564" y="1285474"/>
          <a:ext cx="583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D433BD1-C04D-45C6-A3E1-24992077AAF6}" type="TxLink">
            <a:rPr lang="en-US" sz="1800" b="1" i="0" u="none" strike="noStrike">
              <a:solidFill>
                <a:srgbClr val="000000"/>
              </a:solidFill>
              <a:latin typeface="Calibri"/>
              <a:ea typeface="Calibri"/>
              <a:cs typeface="Calibri"/>
            </a:rPr>
            <a:pPr/>
            <a:t>53%</a:t>
          </a:fld>
          <a:endParaRPr lang="en-US" sz="1800" b="1" i="0" u="none" strike="noStrike">
            <a:solidFill>
              <a:srgbClr val="000000"/>
            </a:solidFill>
            <a:latin typeface="Calibri"/>
            <a:ea typeface="Calibri"/>
            <a:cs typeface="Calibri"/>
          </a:endParaRPr>
        </a:p>
      </xdr:txBody>
    </xdr:sp>
    <xdr:clientData/>
  </xdr:oneCellAnchor>
  <xdr:twoCellAnchor>
    <xdr:from>
      <xdr:col>3</xdr:col>
      <xdr:colOff>326573</xdr:colOff>
      <xdr:row>10</xdr:row>
      <xdr:rowOff>125501</xdr:rowOff>
    </xdr:from>
    <xdr:to>
      <xdr:col>9</xdr:col>
      <xdr:colOff>249139</xdr:colOff>
      <xdr:row>25</xdr:row>
      <xdr:rowOff>161596</xdr:rowOff>
    </xdr:to>
    <xdr:graphicFrame macro="">
      <xdr:nvGraphicFramePr>
        <xdr:cNvPr id="21" name="Chart 20">
          <a:extLst>
            <a:ext uri="{FF2B5EF4-FFF2-40B4-BE49-F238E27FC236}">
              <a16:creationId xmlns:a16="http://schemas.microsoft.com/office/drawing/2014/main" id="{D08881B5-464C-4A1E-B572-8CC66423A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78618</xdr:colOff>
      <xdr:row>10</xdr:row>
      <xdr:rowOff>83457</xdr:rowOff>
    </xdr:from>
    <xdr:to>
      <xdr:col>26</xdr:col>
      <xdr:colOff>457969</xdr:colOff>
      <xdr:row>25</xdr:row>
      <xdr:rowOff>171752</xdr:rowOff>
    </xdr:to>
    <xdr:graphicFrame macro="">
      <xdr:nvGraphicFramePr>
        <xdr:cNvPr id="24" name="Chart 23">
          <a:extLst>
            <a:ext uri="{FF2B5EF4-FFF2-40B4-BE49-F238E27FC236}">
              <a16:creationId xmlns:a16="http://schemas.microsoft.com/office/drawing/2014/main" id="{0FE47FDD-854D-4A61-8255-AD4339912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283028</xdr:colOff>
      <xdr:row>0</xdr:row>
      <xdr:rowOff>54429</xdr:rowOff>
    </xdr:from>
    <xdr:to>
      <xdr:col>26</xdr:col>
      <xdr:colOff>468085</xdr:colOff>
      <xdr:row>9</xdr:row>
      <xdr:rowOff>125186</xdr:rowOff>
    </xdr:to>
    <mc:AlternateContent xmlns:mc="http://schemas.openxmlformats.org/markup-compatibility/2006">
      <mc:Choice xmlns:a14="http://schemas.microsoft.com/office/drawing/2010/main" Requires="a14">
        <xdr:graphicFrame macro="">
          <xdr:nvGraphicFramePr>
            <xdr:cNvPr id="26" name="Infected Areas in Dhaka City Bangladesh">
              <a:extLst>
                <a:ext uri="{FF2B5EF4-FFF2-40B4-BE49-F238E27FC236}">
                  <a16:creationId xmlns:a16="http://schemas.microsoft.com/office/drawing/2014/main" id="{C951974C-9357-2ECF-C735-FFF46EAC4F96}"/>
                </a:ext>
              </a:extLst>
            </xdr:cNvPr>
            <xdr:cNvGraphicFramePr/>
          </xdr:nvGraphicFramePr>
          <xdr:xfrm>
            <a:off x="0" y="0"/>
            <a:ext cx="0" cy="0"/>
          </xdr:xfrm>
          <a:graphic>
            <a:graphicData uri="http://schemas.microsoft.com/office/drawing/2010/slicer">
              <sle:slicer xmlns:sle="http://schemas.microsoft.com/office/drawing/2010/slicer" name="Infected Areas in Dhaka City Bangladesh"/>
            </a:graphicData>
          </a:graphic>
        </xdr:graphicFrame>
      </mc:Choice>
      <mc:Fallback>
        <xdr:sp macro="" textlink="">
          <xdr:nvSpPr>
            <xdr:cNvPr id="0" name=""/>
            <xdr:cNvSpPr>
              <a:spLocks noTextEdit="1"/>
            </xdr:cNvSpPr>
          </xdr:nvSpPr>
          <xdr:spPr>
            <a:xfrm>
              <a:off x="11865428" y="54429"/>
              <a:ext cx="4452257" cy="16917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75048</xdr:colOff>
      <xdr:row>4</xdr:row>
      <xdr:rowOff>136562</xdr:rowOff>
    </xdr:from>
    <xdr:to>
      <xdr:col>3</xdr:col>
      <xdr:colOff>174884</xdr:colOff>
      <xdr:row>44</xdr:row>
      <xdr:rowOff>79508</xdr:rowOff>
    </xdr:to>
    <xdr:sp macro="" textlink="">
      <xdr:nvSpPr>
        <xdr:cNvPr id="27" name="Rectangle: Rounded Corners 26">
          <a:extLst>
            <a:ext uri="{FF2B5EF4-FFF2-40B4-BE49-F238E27FC236}">
              <a16:creationId xmlns:a16="http://schemas.microsoft.com/office/drawing/2014/main" id="{CE4950D5-9021-BF23-FF71-16304D2D2A36}"/>
            </a:ext>
          </a:extLst>
        </xdr:cNvPr>
        <xdr:cNvSpPr/>
      </xdr:nvSpPr>
      <xdr:spPr>
        <a:xfrm>
          <a:off x="75048" y="886070"/>
          <a:ext cx="1936131" cy="74380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u="sng"/>
            <a:t>Findings:</a:t>
          </a:r>
        </a:p>
        <a:p>
          <a:pPr algn="l"/>
          <a:endParaRPr lang="en-GB" sz="1100"/>
        </a:p>
        <a:p>
          <a:pPr algn="l"/>
          <a:r>
            <a:rPr lang="en-GB" sz="1100"/>
            <a:t>Demra and Jatrabari have the highest number</a:t>
          </a:r>
          <a:r>
            <a:rPr lang="en-GB" sz="1100" baseline="0"/>
            <a:t> of infection</a:t>
          </a:r>
        </a:p>
        <a:p>
          <a:pPr algn="l"/>
          <a:endParaRPr lang="en-GB" sz="1100" baseline="0"/>
        </a:p>
        <a:p>
          <a:pPr algn="l"/>
          <a:r>
            <a:rPr lang="en-GB" sz="1100" baseline="0"/>
            <a:t>Adults (&gt;44) and Middle Aged (&gt;64) are highly infected</a:t>
          </a:r>
        </a:p>
        <a:p>
          <a:pPr algn="l"/>
          <a:endParaRPr lang="en-GB" sz="1100" baseline="0"/>
        </a:p>
        <a:p>
          <a:pPr algn="l"/>
          <a:r>
            <a:rPr lang="en-GB" sz="1100" baseline="0"/>
            <a:t>Patients with early stage of infection are 97.4% dengue positive</a:t>
          </a:r>
        </a:p>
        <a:p>
          <a:pPr algn="l"/>
          <a:endParaRPr lang="en-GB" sz="1100" baseline="0"/>
        </a:p>
        <a:p>
          <a:pPr marL="0" marR="0" lvl="0" indent="0" algn="l" defTabSz="914400" eaLnBrk="1" fontAlgn="auto" latinLnBrk="0" hangingPunct="1">
            <a:lnSpc>
              <a:spcPct val="100000"/>
            </a:lnSpc>
            <a:spcBef>
              <a:spcPts val="0"/>
            </a:spcBef>
            <a:spcAft>
              <a:spcPts val="0"/>
            </a:spcAft>
            <a:buClrTx/>
            <a:buSzTx/>
            <a:buFontTx/>
            <a:buNone/>
            <a:tabLst/>
            <a:defRPr/>
          </a:pPr>
          <a:r>
            <a:rPr lang="en-GB" sz="1100" baseline="0">
              <a:solidFill>
                <a:schemeClr val="lt1"/>
              </a:solidFill>
              <a:effectLst/>
              <a:latin typeface="+mn-lt"/>
              <a:ea typeface="+mn-ea"/>
              <a:cs typeface="+mn-cs"/>
            </a:rPr>
            <a:t>Only 2.6% late stage dengue patients got into further dengue positive</a:t>
          </a:r>
          <a:endParaRPr lang="en-GB">
            <a:effectLst/>
          </a:endParaRPr>
        </a:p>
        <a:p>
          <a:pPr algn="l"/>
          <a:endParaRPr lang="en-GB" sz="1100" baseline="0"/>
        </a:p>
        <a:p>
          <a:pPr algn="l"/>
          <a:r>
            <a:rPr lang="en-GB" sz="1100" baseline="0"/>
            <a:t>Females are more vulnearable to infection</a:t>
          </a:r>
        </a:p>
        <a:p>
          <a:pPr algn="l"/>
          <a:endParaRPr lang="en-GB" sz="1100" baseline="0"/>
        </a:p>
        <a:p>
          <a:pPr algn="l"/>
          <a:r>
            <a:rPr lang="en-GB" sz="1100" baseline="0"/>
            <a:t>Patientents living in building in both developed and undeveloped area are more infected</a:t>
          </a:r>
        </a:p>
        <a:p>
          <a:pPr algn="l"/>
          <a:endParaRPr lang="en-GB" sz="1100" baseline="0"/>
        </a:p>
        <a:p>
          <a:pPr algn="l"/>
          <a:r>
            <a:rPr lang="en-GB" sz="1100" baseline="0"/>
            <a:t>Recently infected parients are 100% positive</a:t>
          </a:r>
        </a:p>
        <a:p>
          <a:pPr algn="l"/>
          <a:endParaRPr lang="en-GB" sz="1100" baseline="0"/>
        </a:p>
        <a:p>
          <a:pPr algn="l"/>
          <a:r>
            <a:rPr lang="en-GB" sz="1400" b="1" u="sng" baseline="0"/>
            <a:t>Recommendations:</a:t>
          </a:r>
        </a:p>
        <a:p>
          <a:pPr algn="l"/>
          <a:endParaRPr lang="en-GB" sz="1400" b="1" baseline="0"/>
        </a:p>
        <a:p>
          <a:pPr algn="l"/>
          <a:r>
            <a:rPr lang="en-GB" sz="1100" b="0" baseline="0"/>
            <a:t>People ragining from 30s  and 40s should be careful</a:t>
          </a:r>
        </a:p>
        <a:p>
          <a:pPr algn="l"/>
          <a:endParaRPr lang="en-GB" sz="1100" b="0" baseline="0"/>
        </a:p>
        <a:p>
          <a:pPr algn="l"/>
          <a:r>
            <a:rPr lang="en-GB" sz="1100" b="0" baseline="0"/>
            <a:t>Early Infected Patients should be given high priority in terms of treatment</a:t>
          </a:r>
        </a:p>
        <a:p>
          <a:pPr algn="l"/>
          <a:endParaRPr lang="en-GB" sz="1100" b="0" baseline="0"/>
        </a:p>
        <a:p>
          <a:pPr algn="l"/>
          <a:r>
            <a:rPr lang="en-GB" sz="1100" b="0" baseline="0"/>
            <a:t>People living in buidling </a:t>
          </a:r>
        </a:p>
        <a:p>
          <a:pPr algn="l"/>
          <a:r>
            <a:rPr lang="en-GB" sz="1100" b="0" baseline="0"/>
            <a:t>should be careful </a:t>
          </a:r>
          <a:endParaRPr lang="en-GB" sz="1400" b="1" baseline="0"/>
        </a:p>
        <a:p>
          <a:pPr algn="l"/>
          <a:endParaRPr lang="en-GB" sz="1400" b="1" baseline="0"/>
        </a:p>
        <a:p>
          <a:pPr algn="l"/>
          <a:endParaRPr lang="en-GB" sz="1100" baseline="0"/>
        </a:p>
      </xdr:txBody>
    </xdr:sp>
    <xdr:clientData/>
  </xdr:twoCellAnchor>
  <xdr:twoCellAnchor>
    <xdr:from>
      <xdr:col>3</xdr:col>
      <xdr:colOff>57510</xdr:colOff>
      <xdr:row>0</xdr:row>
      <xdr:rowOff>76200</xdr:rowOff>
    </xdr:from>
    <xdr:to>
      <xdr:col>19</xdr:col>
      <xdr:colOff>32657</xdr:colOff>
      <xdr:row>4</xdr:row>
      <xdr:rowOff>65314</xdr:rowOff>
    </xdr:to>
    <xdr:sp macro="" textlink="">
      <xdr:nvSpPr>
        <xdr:cNvPr id="28" name="Rectangle 27">
          <a:extLst>
            <a:ext uri="{FF2B5EF4-FFF2-40B4-BE49-F238E27FC236}">
              <a16:creationId xmlns:a16="http://schemas.microsoft.com/office/drawing/2014/main" id="{76F94787-C2AB-6565-24C2-C584B2A78C6C}"/>
            </a:ext>
          </a:extLst>
        </xdr:cNvPr>
        <xdr:cNvSpPr/>
      </xdr:nvSpPr>
      <xdr:spPr>
        <a:xfrm>
          <a:off x="1869057" y="76200"/>
          <a:ext cx="9636732" cy="736737"/>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GB" sz="2000" b="1">
              <a:latin typeface="Times New Roman" panose="02020603050405020304" pitchFamily="18" charset="0"/>
              <a:cs typeface="Times New Roman" panose="02020603050405020304" pitchFamily="18" charset="0"/>
            </a:rPr>
            <a:t>Dengue Dataset of Bangladesh</a:t>
          </a:r>
        </a:p>
        <a:p>
          <a:pPr algn="ctr"/>
          <a:r>
            <a:rPr lang="en-GB" sz="2000" b="1">
              <a:latin typeface="Times New Roman" panose="02020603050405020304" pitchFamily="18" charset="0"/>
              <a:cs typeface="Times New Roman" panose="02020603050405020304" pitchFamily="18" charset="0"/>
            </a:rPr>
            <a:t>Unraveling Dengue: Analyzing and Mapping Affected Areas in Bangladesh for Target</a:t>
          </a:r>
        </a:p>
      </xdr:txBody>
    </xdr:sp>
    <xdr:clientData/>
  </xdr:twoCellAnchor>
  <xdr:twoCellAnchor>
    <xdr:from>
      <xdr:col>3</xdr:col>
      <xdr:colOff>307041</xdr:colOff>
      <xdr:row>26</xdr:row>
      <xdr:rowOff>68282</xdr:rowOff>
    </xdr:from>
    <xdr:to>
      <xdr:col>10</xdr:col>
      <xdr:colOff>316301</xdr:colOff>
      <xdr:row>43</xdr:row>
      <xdr:rowOff>172529</xdr:rowOff>
    </xdr:to>
    <xdr:graphicFrame macro="">
      <xdr:nvGraphicFramePr>
        <xdr:cNvPr id="25" name="Chart 24">
          <a:extLst>
            <a:ext uri="{FF2B5EF4-FFF2-40B4-BE49-F238E27FC236}">
              <a16:creationId xmlns:a16="http://schemas.microsoft.com/office/drawing/2014/main" id="{C9BD8278-1F35-47A6-A34B-9802BC1C0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374756</xdr:colOff>
      <xdr:row>26</xdr:row>
      <xdr:rowOff>121274</xdr:rowOff>
    </xdr:from>
    <xdr:to>
      <xdr:col>26</xdr:col>
      <xdr:colOff>304229</xdr:colOff>
      <xdr:row>43</xdr:row>
      <xdr:rowOff>186905</xdr:rowOff>
    </xdr:to>
    <xdr:graphicFrame macro="">
      <xdr:nvGraphicFramePr>
        <xdr:cNvPr id="35" name="Chart 34">
          <a:extLst>
            <a:ext uri="{FF2B5EF4-FFF2-40B4-BE49-F238E27FC236}">
              <a16:creationId xmlns:a16="http://schemas.microsoft.com/office/drawing/2014/main" id="{0E611146-5D95-4ECA-8E0F-E4ADD3A82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100678</xdr:colOff>
      <xdr:row>10</xdr:row>
      <xdr:rowOff>110045</xdr:rowOff>
    </xdr:from>
    <xdr:to>
      <xdr:col>20</xdr:col>
      <xdr:colOff>607082</xdr:colOff>
      <xdr:row>26</xdr:row>
      <xdr:rowOff>3567</xdr:rowOff>
    </xdr:to>
    <xdr:graphicFrame macro="">
      <xdr:nvGraphicFramePr>
        <xdr:cNvPr id="36" name="Chart 35">
          <a:extLst>
            <a:ext uri="{FF2B5EF4-FFF2-40B4-BE49-F238E27FC236}">
              <a16:creationId xmlns:a16="http://schemas.microsoft.com/office/drawing/2014/main" id="{B08F800C-169A-4BF7-B907-81BBFCB42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325679</xdr:colOff>
      <xdr:row>10</xdr:row>
      <xdr:rowOff>136219</xdr:rowOff>
    </xdr:from>
    <xdr:to>
      <xdr:col>15</xdr:col>
      <xdr:colOff>30189</xdr:colOff>
      <xdr:row>25</xdr:row>
      <xdr:rowOff>161203</xdr:rowOff>
    </xdr:to>
    <xdr:graphicFrame macro="">
      <xdr:nvGraphicFramePr>
        <xdr:cNvPr id="37" name="Chart 36">
          <a:extLst>
            <a:ext uri="{FF2B5EF4-FFF2-40B4-BE49-F238E27FC236}">
              <a16:creationId xmlns:a16="http://schemas.microsoft.com/office/drawing/2014/main" id="{F9CD1EE6-DDA3-4E92-89DA-BC2FEF22B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115019</xdr:colOff>
      <xdr:row>0</xdr:row>
      <xdr:rowOff>99148</xdr:rowOff>
    </xdr:from>
    <xdr:to>
      <xdr:col>3</xdr:col>
      <xdr:colOff>71887</xdr:colOff>
      <xdr:row>4</xdr:row>
      <xdr:rowOff>59563</xdr:rowOff>
    </xdr:to>
    <xdr:pic>
      <xdr:nvPicPr>
        <xdr:cNvPr id="39" name="Picture 38">
          <a:extLst>
            <a:ext uri="{FF2B5EF4-FFF2-40B4-BE49-F238E27FC236}">
              <a16:creationId xmlns:a16="http://schemas.microsoft.com/office/drawing/2014/main" id="{35BBA298-2D3C-A856-AD48-7230BDDD77C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5019" y="99148"/>
          <a:ext cx="1768415" cy="708038"/>
        </a:xfrm>
        <a:prstGeom prst="rect">
          <a:avLst/>
        </a:prstGeom>
      </xdr:spPr>
    </xdr:pic>
    <xdr:clientData/>
  </xdr:twoCellAnchor>
  <xdr:twoCellAnchor>
    <xdr:from>
      <xdr:col>10</xdr:col>
      <xdr:colOff>431320</xdr:colOff>
      <xdr:row>26</xdr:row>
      <xdr:rowOff>100642</xdr:rowOff>
    </xdr:from>
    <xdr:to>
      <xdr:col>18</xdr:col>
      <xdr:colOff>273170</xdr:colOff>
      <xdr:row>43</xdr:row>
      <xdr:rowOff>158151</xdr:rowOff>
    </xdr:to>
    <xdr:graphicFrame macro="">
      <xdr:nvGraphicFramePr>
        <xdr:cNvPr id="40" name="Chart 39">
          <a:extLst>
            <a:ext uri="{FF2B5EF4-FFF2-40B4-BE49-F238E27FC236}">
              <a16:creationId xmlns:a16="http://schemas.microsoft.com/office/drawing/2014/main" id="{945E92B9-647C-4703-830A-547BBF660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13</xdr:col>
      <xdr:colOff>290288</xdr:colOff>
      <xdr:row>6</xdr:row>
      <xdr:rowOff>178954</xdr:rowOff>
    </xdr:from>
    <xdr:ext cx="480786" cy="383475"/>
    <xdr:sp macro="" textlink="'6-Analysis'!G176">
      <xdr:nvSpPr>
        <xdr:cNvPr id="41" name="TextBox 40">
          <a:extLst>
            <a:ext uri="{FF2B5EF4-FFF2-40B4-BE49-F238E27FC236}">
              <a16:creationId xmlns:a16="http://schemas.microsoft.com/office/drawing/2014/main" id="{5462FBB9-782B-3E22-DDF5-55BFA85D4BC5}"/>
            </a:ext>
          </a:extLst>
        </xdr:cNvPr>
        <xdr:cNvSpPr txBox="1"/>
      </xdr:nvSpPr>
      <xdr:spPr>
        <a:xfrm>
          <a:off x="8191502" y="1267525"/>
          <a:ext cx="480786" cy="383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434E8A9-D513-4C85-A9DD-CFD3A1FBB639}" type="TxLink">
            <a:rPr lang="en-US" sz="1800" b="1" i="0" u="none" strike="noStrike">
              <a:solidFill>
                <a:srgbClr val="000000"/>
              </a:solidFill>
              <a:latin typeface="Calibri"/>
              <a:ea typeface="Calibri"/>
              <a:cs typeface="Calibri"/>
            </a:rPr>
            <a:t>36</a:t>
          </a:fld>
          <a:endParaRPr lang="en-GB" sz="1800" b="1"/>
        </a:p>
      </xdr:txBody>
    </xdr:sp>
    <xdr:clientData/>
  </xdr:oneCellAnchor>
  <xdr:oneCellAnchor>
    <xdr:from>
      <xdr:col>31</xdr:col>
      <xdr:colOff>360218</xdr:colOff>
      <xdr:row>13</xdr:row>
      <xdr:rowOff>13854</xdr:rowOff>
    </xdr:from>
    <xdr:ext cx="540327" cy="264560"/>
    <xdr:sp macro="" textlink="'7-Dashboard'!$J$45">
      <xdr:nvSpPr>
        <xdr:cNvPr id="42" name="TextBox 41">
          <a:extLst>
            <a:ext uri="{FF2B5EF4-FFF2-40B4-BE49-F238E27FC236}">
              <a16:creationId xmlns:a16="http://schemas.microsoft.com/office/drawing/2014/main" id="{2F9683C9-D350-932C-CE82-AF5C26AC4C82}"/>
            </a:ext>
          </a:extLst>
        </xdr:cNvPr>
        <xdr:cNvSpPr txBox="1"/>
      </xdr:nvSpPr>
      <xdr:spPr>
        <a:xfrm>
          <a:off x="19257818" y="2355272"/>
          <a:ext cx="54032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795E1E6-E08B-4EFE-B4F4-3EA9B5DCE839}" type="TxLink">
            <a:rPr lang="en-US" sz="1100" b="0" i="0" u="none" strike="noStrike">
              <a:solidFill>
                <a:srgbClr val="000000"/>
              </a:solidFill>
              <a:latin typeface="Calibri"/>
              <a:ea typeface="Calibri"/>
              <a:cs typeface="Calibri"/>
            </a:rPr>
            <a:t> </a:t>
          </a:fld>
          <a:endParaRPr lang="en-GB" sz="1100"/>
        </a:p>
      </xdr:txBody>
    </xdr:sp>
    <xdr:clientData/>
  </xdr:oneCellAnchor>
  <xdr:oneCellAnchor>
    <xdr:from>
      <xdr:col>15</xdr:col>
      <xdr:colOff>263236</xdr:colOff>
      <xdr:row>7</xdr:row>
      <xdr:rowOff>124691</xdr:rowOff>
    </xdr:from>
    <xdr:ext cx="535724" cy="374141"/>
    <xdr:sp macro="" textlink="'6-Analysis'!J187">
      <xdr:nvSpPr>
        <xdr:cNvPr id="43" name="TextBox 42">
          <a:extLst>
            <a:ext uri="{FF2B5EF4-FFF2-40B4-BE49-F238E27FC236}">
              <a16:creationId xmlns:a16="http://schemas.microsoft.com/office/drawing/2014/main" id="{B51FD313-D78D-44C9-CD07-11BA610A5715}"/>
            </a:ext>
          </a:extLst>
        </xdr:cNvPr>
        <xdr:cNvSpPr txBox="1"/>
      </xdr:nvSpPr>
      <xdr:spPr>
        <a:xfrm>
          <a:off x="9407236" y="1385455"/>
          <a:ext cx="53572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012BC1D-2FB3-48E0-A32A-8331938814FA}" type="TxLink">
            <a:rPr lang="en-US" sz="1800" b="1" i="0" u="none" strike="noStrike">
              <a:solidFill>
                <a:srgbClr val="000000"/>
              </a:solidFill>
              <a:latin typeface="Calibri"/>
              <a:ea typeface="Calibri"/>
              <a:cs typeface="Calibri"/>
            </a:rPr>
            <a:t>259</a:t>
          </a:fld>
          <a:endParaRPr lang="en-GB" sz="1800" b="1"/>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7.335016550926" createdVersion="5" refreshedVersion="8" minRefreshableVersion="3" recordCount="0" supportSubquery="1" supportAdvancedDrill="1" xr:uid="{FDE0A45E-EC47-42E4-9B79-D22A2662B4BA}">
  <cacheSource type="external" connectionId="2"/>
  <cacheFields count="4">
    <cacheField name="[Dengue].[Dengue_Result].[Dengue_Result]" caption="Dengue_Result" numFmtId="0" hierarchy="14" level="1">
      <sharedItems containsSemiMixedTypes="0" containsNonDate="0" containsString="0"/>
    </cacheField>
    <cacheField name="[Measures].[Count of Dengue_Result]" caption="Count of Dengue_Result" numFmtId="0" hierarchy="35" level="32767"/>
    <cacheField name="[Dengue].[Non_Structural_Protein_Result].[Non_Structural_Protein_Result]" caption="Non_Structural_Protein_Result" numFmtId="0" hierarchy="13" level="1">
      <sharedItems count="2">
        <s v="Early Satge of Infection"/>
        <s v="Late Stage of Infection"/>
      </sharedItems>
    </cacheField>
    <cacheField name="[Dengue].[Age_Group].[Age_Group]" caption="Age_Group" numFmtId="0" hierarchy="10" level="1">
      <sharedItems count="6">
        <s v="Adolescents"/>
        <s v="Adults"/>
        <s v="Child"/>
        <s v="Elderly"/>
        <s v="Middle Aged"/>
        <s v="Young Adolescents"/>
      </sharedItems>
    </cacheField>
  </cacheFields>
  <cacheHierarchies count="42">
    <cacheHierarchy uniqueName="[Dengue].[Gender]" caption="Gender" attribute="1" defaultMemberUniqueName="[Dengue].[Gender].[All]" allUniqueName="[Dengue].[Gender].[All]" dimensionUniqueName="[Dengue]" displayFolder="" count="0"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0" memberValueDatatype="130" unbalanced="0"/>
    <cacheHierarchy uniqueName="[Dengue].[AreaType]" caption="AreaType" attribute="1" defaultMemberUniqueName="[Dengue].[AreaType].[All]" allUniqueName="[Dengue].[AreaType].[All]" dimensionUniqueName="[Dengue]" displayFolder="" count="0" memberValueDatatype="130" unbalanced="0"/>
    <cacheHierarchy uniqueName="[Dengue].[HouseType]" caption="HouseType" attribute="1" defaultMemberUniqueName="[Dengue].[HouseType].[All]" allUniqueName="[Dengue].[HouseType].[All]" dimensionUniqueName="[Dengue]" displayFolder="" count="0" memberValueDatatype="130" unbalanced="0"/>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2" memberValueDatatype="130" unbalanced="0">
      <fieldsUsage count="2">
        <fieldUsage x="-1"/>
        <fieldUsage x="3"/>
      </fieldsUsage>
    </cacheHierarchy>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0" memberValueDatatype="130" unbalanced="0"/>
    <cacheHierarchy uniqueName="[Dengue].[Non_Structural_Protein_Result]" caption="Non_Structural_Protein_Result" attribute="1" defaultMemberUniqueName="[Dengue].[Non_Structural_Protein_Result].[All]" allUniqueName="[Dengue].[Non_Structural_Protein_Result].[All]" dimensionUniqueName="[Dengue]" displayFolder="" count="2" memberValueDatatype="130" unbalanced="0">
      <fieldsUsage count="2">
        <fieldUsage x="-1"/>
        <fieldUsage x="2"/>
      </fieldsUsage>
    </cacheHierarchy>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0"/>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7.335087847219" createdVersion="5" refreshedVersion="8" minRefreshableVersion="3" recordCount="0" supportSubquery="1" supportAdvancedDrill="1" xr:uid="{E9CBC223-6DFC-48F7-A518-69EA170858CD}">
  <cacheSource type="external" connectionId="2"/>
  <cacheFields count="4">
    <cacheField name="[Dengue].[Dengue_Result].[Dengue_Result]" caption="Dengue_Result" numFmtId="0" hierarchy="14" level="1">
      <sharedItems containsSemiMixedTypes="0" containsNonDate="0" containsString="0"/>
    </cacheField>
    <cacheField name="[Measures].[Count of Dengue_Result]" caption="Count of Dengue_Result" numFmtId="0" hierarchy="35" level="32767"/>
    <cacheField name="[Dengue].[Age_Group].[Age_Group]" caption="Age_Group" numFmtId="0" hierarchy="10" level="1">
      <sharedItems count="2">
        <s v="Adults"/>
        <s v="Middle Aged"/>
      </sharedItems>
    </cacheField>
    <cacheField name="[Dengue].[Gender].[Gender]" caption="Gender" numFmtId="0" level="1">
      <sharedItems count="2">
        <s v="Female"/>
        <s v="Male"/>
      </sharedItems>
    </cacheField>
  </cacheFields>
  <cacheHierarchies count="42">
    <cacheHierarchy uniqueName="[Dengue].[Gender]" caption="Gender" attribute="1" defaultMemberUniqueName="[Dengue].[Gender].[All]" allUniqueName="[Dengue].[Gender].[All]" dimensionUniqueName="[Dengue]" displayFolder="" count="2" memberValueDatatype="130" unbalanced="0">
      <fieldsUsage count="2">
        <fieldUsage x="-1"/>
        <fieldUsage x="3"/>
      </fieldsUsage>
    </cacheHierarchy>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0" memberValueDatatype="130" unbalanced="0"/>
    <cacheHierarchy uniqueName="[Dengue].[AreaType]" caption="AreaType" attribute="1" defaultMemberUniqueName="[Dengue].[AreaType].[All]" allUniqueName="[Dengue].[AreaType].[All]" dimensionUniqueName="[Dengue]" displayFolder="" count="0" memberValueDatatype="130" unbalanced="0"/>
    <cacheHierarchy uniqueName="[Dengue].[HouseType]" caption="HouseType" attribute="1" defaultMemberUniqueName="[Dengue].[HouseType].[All]" allUniqueName="[Dengue].[HouseType].[All]" dimensionUniqueName="[Dengue]" displayFolder="" count="0" memberValueDatatype="130" unbalanced="0"/>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2" memberValueDatatype="130" unbalanced="0">
      <fieldsUsage count="2">
        <fieldUsage x="-1"/>
        <fieldUsage x="2"/>
      </fieldsUsage>
    </cacheHierarchy>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0" memberValueDatatype="130" unbalanced="0"/>
    <cacheHierarchy uniqueName="[Dengue].[Non_Structural_Protein_Result]" caption="Non_Structural_Protein_Result" attribute="1" defaultMemberUniqueName="[Dengue].[Non_Structural_Protein_Result].[All]" allUniqueName="[Dengue].[Non_Structural_Protein_Result].[All]" dimensionUniqueName="[Dengue]" displayFolder="" count="0" memberValueDatatype="130" unbalanced="0"/>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0"/>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7.319810763889" createdVersion="5" refreshedVersion="8" minRefreshableVersion="3" recordCount="0" supportSubquery="1" supportAdvancedDrill="1" xr:uid="{30F4A84F-6B70-4CEB-AE97-4758C5A96B80}">
  <cacheSource type="external" connectionId="2"/>
  <cacheFields count="2">
    <cacheField name="[Dengue].[Dengue_Result].[Dengue_Result]" caption="Dengue_Result" numFmtId="0" hierarchy="14" level="1">
      <sharedItems containsSemiMixedTypes="0" containsNonDate="0" containsString="0"/>
    </cacheField>
    <cacheField name="[Measures].[Average Age of Dengue Patients]" caption="Average Age of Dengue Patients" numFmtId="0" hierarchy="21" level="32767"/>
  </cacheFields>
  <cacheHierarchies count="42">
    <cacheHierarchy uniqueName="[Dengue].[Gender]" caption="Gender" attribute="1" defaultMemberUniqueName="[Dengue].[Gender].[All]" allUniqueName="[Dengue].[Gender].[All]" dimensionUniqueName="[Dengue]" displayFolder="" count="0"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0" memberValueDatatype="130" unbalanced="0"/>
    <cacheHierarchy uniqueName="[Dengue].[AreaType]" caption="AreaType" attribute="1" defaultMemberUniqueName="[Dengue].[AreaType].[All]" allUniqueName="[Dengue].[AreaType].[All]" dimensionUniqueName="[Dengue]" displayFolder="" count="0" memberValueDatatype="130" unbalanced="0"/>
    <cacheHierarchy uniqueName="[Dengue].[HouseType]" caption="HouseType" attribute="1" defaultMemberUniqueName="[Dengue].[HouseType].[All]" allUniqueName="[Dengue].[HouseType].[All]" dimensionUniqueName="[Dengue]" displayFolder="" count="0" memberValueDatatype="130" unbalanced="0"/>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0" memberValueDatatype="130" unbalanced="0"/>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0" memberValueDatatype="130" unbalanced="0"/>
    <cacheHierarchy uniqueName="[Dengue].[Non_Structural_Protein_Result]" caption="Non_Structural_Protein_Result" attribute="1" defaultMemberUniqueName="[Dengue].[Non_Structural_Protein_Result].[All]" allUniqueName="[Dengue].[Non_Structural_Protein_Result].[All]" dimensionUniqueName="[Dengue]" displayFolder="" count="0" memberValueDatatype="130" unbalanced="0"/>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0"/>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oneField="1">
      <fieldsUsage count="1">
        <fieldUsage x="1"/>
      </fieldsUsage>
    </cacheHierarchy>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hidden="1">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7.335204629628" createdVersion="5" refreshedVersion="8" minRefreshableVersion="3" recordCount="0" supportSubquery="1" supportAdvancedDrill="1" xr:uid="{551B9BE1-0733-4821-9945-FE389003234B}">
  <cacheSource type="external" connectionId="2"/>
  <cacheFields count="4">
    <cacheField name="[Dengue].[Dengue_Result].[Dengue_Result]" caption="Dengue_Result" numFmtId="0" hierarchy="14" level="1">
      <sharedItems containsSemiMixedTypes="0" containsNonDate="0" containsString="0"/>
    </cacheField>
    <cacheField name="[Dengue].[Immunoglobulin_M_Result].[Immunoglobulin_M_Result]" caption="Immunoglobulin_M_Result" numFmtId="0" hierarchy="12" level="1">
      <sharedItems count="2">
        <s v="Not Previously Infected"/>
        <s v="Previously Infected"/>
      </sharedItems>
    </cacheField>
    <cacheField name="[Measures].[Count of Dengue_Result]" caption="Count of Dengue_Result" numFmtId="0" hierarchy="35" level="32767"/>
    <cacheField name="[Dengue].[HouseType].[HouseType]" caption="HouseType" numFmtId="0" hierarchy="7" level="1">
      <sharedItems count="3">
        <s v="Building"/>
        <s v="Other"/>
        <s v="Tinshed"/>
      </sharedItems>
    </cacheField>
  </cacheFields>
  <cacheHierarchies count="42">
    <cacheHierarchy uniqueName="[Dengue].[Gender]" caption="Gender" attribute="1" defaultMemberUniqueName="[Dengue].[Gender].[All]" allUniqueName="[Dengue].[Gender].[All]" dimensionUniqueName="[Dengue]" displayFolder="" count="0"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0" memberValueDatatype="130" unbalanced="0"/>
    <cacheHierarchy uniqueName="[Dengue].[AreaType]" caption="AreaType" attribute="1" defaultMemberUniqueName="[Dengue].[AreaType].[All]" allUniqueName="[Dengue].[AreaType].[All]" dimensionUniqueName="[Dengue]" displayFolder="" count="0" memberValueDatatype="130" unbalanced="0"/>
    <cacheHierarchy uniqueName="[Dengue].[HouseType]" caption="HouseType" attribute="1" defaultMemberUniqueName="[Dengue].[HouseType].[All]" allUniqueName="[Dengue].[HouseType].[All]" dimensionUniqueName="[Dengue]" displayFolder="" count="2" memberValueDatatype="130" unbalanced="0">
      <fieldsUsage count="2">
        <fieldUsage x="-1"/>
        <fieldUsage x="3"/>
      </fieldsUsage>
    </cacheHierarchy>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0" memberValueDatatype="130" unbalanced="0"/>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2" memberValueDatatype="130" unbalanced="0">
      <fieldsUsage count="2">
        <fieldUsage x="-1"/>
        <fieldUsage x="1"/>
      </fieldsUsage>
    </cacheHierarchy>
    <cacheHierarchy uniqueName="[Dengue].[Non_Structural_Protein_Result]" caption="Non_Structural_Protein_Result" attribute="1" defaultMemberUniqueName="[Dengue].[Non_Structural_Protein_Result].[All]" allUniqueName="[Dengue].[Non_Structural_Protein_Result].[All]" dimensionUniqueName="[Dengue]" displayFolder="" count="0" memberValueDatatype="130" unbalanced="0"/>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0"/>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7.334190046298" createdVersion="5" refreshedVersion="8" minRefreshableVersion="3" recordCount="0" supportSubquery="1" supportAdvancedDrill="1" xr:uid="{55790075-9E9F-4F5B-8A80-2384C1296A56}">
  <cacheSource type="external" connectionId="2"/>
  <cacheFields count="5">
    <cacheField name="[Dengue].[Dengue_Result].[Dengue_Result]" caption="Dengue_Result" numFmtId="0" hierarchy="14" level="1">
      <sharedItems containsSemiMixedTypes="0" containsNonDate="0" containsString="0"/>
    </cacheField>
    <cacheField name="[Measures].[Count of Dengue_Result]" caption="Count of Dengue_Result" numFmtId="0" hierarchy="35" level="32767"/>
    <cacheField name="[Dengue].[Age_Group].[Age_Group]" caption="Age_Group" numFmtId="0" hierarchy="10" level="1">
      <sharedItems count="2">
        <s v="Adults"/>
        <s v="Middle Aged"/>
      </sharedItems>
    </cacheField>
    <cacheField name="[Dengue].[Non_Structural_Protein_Result].[Non_Structural_Protein_Result]" caption="Non_Structural_Protein_Result" numFmtId="0" hierarchy="13" level="1">
      <sharedItems count="2">
        <s v="Early Satge of Infection"/>
        <s v="Late Stage of Infection"/>
      </sharedItems>
    </cacheField>
    <cacheField name="[Measures].[Count of Non_Structural_Protein_Result]" caption="Count of Non_Structural_Protein_Result" numFmtId="0" hierarchy="39" level="32767"/>
  </cacheFields>
  <cacheHierarchies count="42">
    <cacheHierarchy uniqueName="[Dengue].[Gender]" caption="Gender" attribute="1" defaultMemberUniqueName="[Dengue].[Gender].[All]" allUniqueName="[Dengue].[Gender].[All]" dimensionUniqueName="[Dengue]" displayFolder="" count="0"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0" memberValueDatatype="130" unbalanced="0"/>
    <cacheHierarchy uniqueName="[Dengue].[AreaType]" caption="AreaType" attribute="1" defaultMemberUniqueName="[Dengue].[AreaType].[All]" allUniqueName="[Dengue].[AreaType].[All]" dimensionUniqueName="[Dengue]" displayFolder="" count="0" memberValueDatatype="130" unbalanced="0"/>
    <cacheHierarchy uniqueName="[Dengue].[HouseType]" caption="HouseType" attribute="1" defaultMemberUniqueName="[Dengue].[HouseType].[All]" allUniqueName="[Dengue].[HouseType].[All]" dimensionUniqueName="[Dengue]" displayFolder="" count="0" memberValueDatatype="130" unbalanced="0"/>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2" memberValueDatatype="130" unbalanced="0">
      <fieldsUsage count="2">
        <fieldUsage x="-1"/>
        <fieldUsage x="2"/>
      </fieldsUsage>
    </cacheHierarchy>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0" memberValueDatatype="130" unbalanced="0"/>
    <cacheHierarchy uniqueName="[Dengue].[Non_Structural_Protein_Result]" caption="Non_Structural_Protein_Result" attribute="1" defaultMemberUniqueName="[Dengue].[Non_Structural_Protein_Result].[All]" allUniqueName="[Dengue].[Non_Structural_Protein_Result].[All]" dimensionUniqueName="[Dengue]" displayFolder="" count="2" memberValueDatatype="130" unbalanced="0">
      <fieldsUsage count="2">
        <fieldUsage x="-1"/>
        <fieldUsage x="3"/>
      </fieldsUsage>
    </cacheHierarchy>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0"/>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oneField="1" hidden="1">
      <fieldsUsage count="1">
        <fieldUsage x="4"/>
      </fieldsUsage>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7.319809143519" createdVersion="5" refreshedVersion="8" minRefreshableVersion="3" recordCount="0" supportSubquery="1" supportAdvancedDrill="1" xr:uid="{709ADBFC-3042-40FA-96E4-F392BF54E76A}">
  <cacheSource type="external" connectionId="2"/>
  <cacheFields count="2">
    <cacheField name="[Dengue].[Dengue_Result].[Dengue_Result]" caption="Dengue_Result" numFmtId="0" hierarchy="14" level="1">
      <sharedItems containsSemiMixedTypes="0" containsNonDate="0" containsString="0"/>
    </cacheField>
    <cacheField name="[Measures].[Number of Areas Surveyed]" caption="Number of Areas Surveyed" numFmtId="0" hierarchy="17" level="32767"/>
  </cacheFields>
  <cacheHierarchies count="42">
    <cacheHierarchy uniqueName="[Dengue].[Gender]" caption="Gender" attribute="1" defaultMemberUniqueName="[Dengue].[Gender].[All]" allUniqueName="[Dengue].[Gender].[All]" dimensionUniqueName="[Dengue]" displayFolder="" count="0"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0" memberValueDatatype="130" unbalanced="0"/>
    <cacheHierarchy uniqueName="[Dengue].[AreaType]" caption="AreaType" attribute="1" defaultMemberUniqueName="[Dengue].[AreaType].[All]" allUniqueName="[Dengue].[AreaType].[All]" dimensionUniqueName="[Dengue]" displayFolder="" count="0" memberValueDatatype="130" unbalanced="0"/>
    <cacheHierarchy uniqueName="[Dengue].[HouseType]" caption="HouseType" attribute="1" defaultMemberUniqueName="[Dengue].[HouseType].[All]" allUniqueName="[Dengue].[HouseType].[All]" dimensionUniqueName="[Dengue]" displayFolder="" count="0" memberValueDatatype="130" unbalanced="0"/>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0" memberValueDatatype="130" unbalanced="0"/>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0" memberValueDatatype="130" unbalanced="0"/>
    <cacheHierarchy uniqueName="[Dengue].[Non_Structural_Protein_Result]" caption="Non_Structural_Protein_Result" attribute="1" defaultMemberUniqueName="[Dengue].[Non_Structural_Protein_Result].[All]" allUniqueName="[Dengue].[Non_Structural_Protein_Result].[All]" dimensionUniqueName="[Dengue]" displayFolder="" count="0" memberValueDatatype="130" unbalanced="0"/>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0"/>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oneField="1">
      <fieldsUsage count="1">
        <fieldUsage x="1"/>
      </fieldsUsage>
    </cacheHierarchy>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hidden="1">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7.33403622685" createdVersion="5" refreshedVersion="8" minRefreshableVersion="3" recordCount="0" supportSubquery="1" supportAdvancedDrill="1" xr:uid="{B20077C2-2F21-48EE-B299-6874B5D63FBA}">
  <cacheSource type="external" connectionId="2"/>
  <cacheFields count="3">
    <cacheField name="[Dengue].[Immunoglobulin_M_Result].[Immunoglobulin_M_Result]" caption="Immunoglobulin_M_Result" numFmtId="0" hierarchy="12" level="1">
      <sharedItems count="2">
        <s v="Not Previously Infected"/>
        <s v="Previously Infected"/>
      </sharedItems>
    </cacheField>
    <cacheField name="[Measures].[Count of Dengue_Result]" caption="Count of Dengue_Result" numFmtId="0" hierarchy="35" level="32767"/>
    <cacheField name="[Dengue].[Age_Group].[Age_Group]" caption="Age_Group" numFmtId="0" hierarchy="10" level="1">
      <sharedItems count="6">
        <s v="Adolescents"/>
        <s v="Adults"/>
        <s v="Child"/>
        <s v="Elderly"/>
        <s v="Middle Aged"/>
        <s v="Young Adolescents"/>
      </sharedItems>
    </cacheField>
  </cacheFields>
  <cacheHierarchies count="42">
    <cacheHierarchy uniqueName="[Dengue].[Gender]" caption="Gender" attribute="1" defaultMemberUniqueName="[Dengue].[Gender].[All]" allUniqueName="[Dengue].[Gender].[All]" dimensionUniqueName="[Dengue]" displayFolder="" count="0"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0" memberValueDatatype="130" unbalanced="0"/>
    <cacheHierarchy uniqueName="[Dengue].[AreaType]" caption="AreaType" attribute="1" defaultMemberUniqueName="[Dengue].[AreaType].[All]" allUniqueName="[Dengue].[AreaType].[All]" dimensionUniqueName="[Dengue]" displayFolder="" count="0" memberValueDatatype="130" unbalanced="0"/>
    <cacheHierarchy uniqueName="[Dengue].[HouseType]" caption="HouseType" attribute="1" defaultMemberUniqueName="[Dengue].[HouseType].[All]" allUniqueName="[Dengue].[HouseType].[All]" dimensionUniqueName="[Dengue]" displayFolder="" count="0" memberValueDatatype="130" unbalanced="0"/>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2" memberValueDatatype="130" unbalanced="0">
      <fieldsUsage count="2">
        <fieldUsage x="-1"/>
        <fieldUsage x="2"/>
      </fieldsUsage>
    </cacheHierarchy>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2" memberValueDatatype="130" unbalanced="0">
      <fieldsUsage count="2">
        <fieldUsage x="-1"/>
        <fieldUsage x="0"/>
      </fieldsUsage>
    </cacheHierarchy>
    <cacheHierarchy uniqueName="[Dengue].[Non_Structural_Protein_Result]" caption="Non_Structural_Protein_Result" attribute="1" defaultMemberUniqueName="[Dengue].[Non_Structural_Protein_Result].[All]" allUniqueName="[Dengue].[Non_Structural_Protein_Result].[All]" dimensionUniqueName="[Dengue]" displayFolder="" count="0" memberValueDatatype="130" unbalanced="0"/>
    <cacheHierarchy uniqueName="[Dengue].[Dengue_Result]" caption="Dengue_Result" attribute="1" defaultMemberUniqueName="[Dengue].[Dengue_Result].[All]" allUniqueName="[Dengue].[Dengue_Result].[All]" dimensionUniqueName="[Dengue]" displayFolder="" count="0" memberValueDatatype="130" unbalanced="0"/>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7.384912037036" createdVersion="5" refreshedVersion="8" minRefreshableVersion="3" recordCount="0" supportSubquery="1" supportAdvancedDrill="1" xr:uid="{764A9035-DA4C-4A59-BB24-EBDB2A732AB6}">
  <cacheSource type="external" connectionId="2"/>
  <cacheFields count="5">
    <cacheField name="[Dengue].[Dengue_Result].[Dengue_Result]" caption="Dengue_Result" numFmtId="0" hierarchy="14" level="1">
      <sharedItems containsSemiMixedTypes="0" containsNonDate="0" containsString="0"/>
    </cacheField>
    <cacheField name="[Measures].[Count of Dengue_Result]" caption="Count of Dengue_Result" numFmtId="0" hierarchy="35" level="32767"/>
    <cacheField name="[Dengue].[Age_Group].[Age_Group]" caption="Age_Group" numFmtId="0" hierarchy="10" level="1">
      <sharedItems count="2">
        <s v="Adults"/>
        <s v="Middle Aged"/>
      </sharedItems>
    </cacheField>
    <cacheField name="[Dengue].[Immunoglobulin_M_Result].[Immunoglobulin_M_Result]" caption="Immunoglobulin_M_Result" numFmtId="0" hierarchy="12" level="1">
      <sharedItems count="2">
        <s v="Not Previously Infected"/>
        <s v="Previously Infected"/>
      </sharedItems>
    </cacheField>
    <cacheField name="[Measures].[Count of Immunoglobulin_M_Result]" caption="Count of Immunoglobulin_M_Result" numFmtId="0" hierarchy="36" level="32767"/>
  </cacheFields>
  <cacheHierarchies count="42">
    <cacheHierarchy uniqueName="[Dengue].[Gender]" caption="Gender" attribute="1" defaultMemberUniqueName="[Dengue].[Gender].[All]" allUniqueName="[Dengue].[Gender].[All]" dimensionUniqueName="[Dengue]" displayFolder="" count="0"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0" memberValueDatatype="130" unbalanced="0"/>
    <cacheHierarchy uniqueName="[Dengue].[AreaType]" caption="AreaType" attribute="1" defaultMemberUniqueName="[Dengue].[AreaType].[All]" allUniqueName="[Dengue].[AreaType].[All]" dimensionUniqueName="[Dengue]" displayFolder="" count="0" memberValueDatatype="130" unbalanced="0"/>
    <cacheHierarchy uniqueName="[Dengue].[HouseType]" caption="HouseType" attribute="1" defaultMemberUniqueName="[Dengue].[HouseType].[All]" allUniqueName="[Dengue].[HouseType].[All]" dimensionUniqueName="[Dengue]" displayFolder="" count="0" memberValueDatatype="130" unbalanced="0"/>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2" memberValueDatatype="130" unbalanced="0">
      <fieldsUsage count="2">
        <fieldUsage x="-1"/>
        <fieldUsage x="2"/>
      </fieldsUsage>
    </cacheHierarchy>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2" memberValueDatatype="130" unbalanced="0">
      <fieldsUsage count="2">
        <fieldUsage x="-1"/>
        <fieldUsage x="3"/>
      </fieldsUsage>
    </cacheHierarchy>
    <cacheHierarchy uniqueName="[Dengue].[Non_Structural_Protein_Result]" caption="Non_Structural_Protein_Result" attribute="1" defaultMemberUniqueName="[Dengue].[Non_Structural_Protein_Result].[All]" allUniqueName="[Dengue].[Non_Structural_Protein_Result].[All]" dimensionUniqueName="[Dengue]" displayFolder="" count="0" memberValueDatatype="130" unbalanced="0"/>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0"/>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oneField="1" hidden="1">
      <fieldsUsage count="1">
        <fieldUsage x="4"/>
      </fieldsUsage>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7.319807523148" createdVersion="5" refreshedVersion="8" minRefreshableVersion="3" recordCount="0" supportSubquery="1" supportAdvancedDrill="1" xr:uid="{61C3A9BB-6FF0-45CC-B13F-B75FD120F79C}">
  <cacheSource type="external" connectionId="2"/>
  <cacheFields count="2">
    <cacheField name="[Dengue].[Dengue_Result].[Dengue_Result]" caption="Dengue_Result" numFmtId="0" hierarchy="14" level="1">
      <sharedItems containsSemiMixedTypes="0" containsNonDate="0" containsString="0"/>
    </cacheField>
    <cacheField name="[Measures].[Total Population Size]" caption="Total Population Size" numFmtId="0" hierarchy="18" level="32767"/>
  </cacheFields>
  <cacheHierarchies count="42">
    <cacheHierarchy uniqueName="[Dengue].[Gender]" caption="Gender" attribute="1" defaultMemberUniqueName="[Dengue].[Gender].[All]" allUniqueName="[Dengue].[Gender].[All]" dimensionUniqueName="[Dengue]" displayFolder="" count="0"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0" memberValueDatatype="130" unbalanced="0"/>
    <cacheHierarchy uniqueName="[Dengue].[AreaType]" caption="AreaType" attribute="1" defaultMemberUniqueName="[Dengue].[AreaType].[All]" allUniqueName="[Dengue].[AreaType].[All]" dimensionUniqueName="[Dengue]" displayFolder="" count="0" memberValueDatatype="130" unbalanced="0"/>
    <cacheHierarchy uniqueName="[Dengue].[HouseType]" caption="HouseType" attribute="1" defaultMemberUniqueName="[Dengue].[HouseType].[All]" allUniqueName="[Dengue].[HouseType].[All]" dimensionUniqueName="[Dengue]" displayFolder="" count="0" memberValueDatatype="130" unbalanced="0"/>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0" memberValueDatatype="130" unbalanced="0"/>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0" memberValueDatatype="130" unbalanced="0"/>
    <cacheHierarchy uniqueName="[Dengue].[Non_Structural_Protein_Result]" caption="Non_Structural_Protein_Result" attribute="1" defaultMemberUniqueName="[Dengue].[Non_Structural_Protein_Result].[All]" allUniqueName="[Dengue].[Non_Structural_Protein_Result].[All]" dimensionUniqueName="[Dengue]" displayFolder="" count="0" memberValueDatatype="130" unbalanced="0"/>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0"/>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oneField="1">
      <fieldsUsage count="1">
        <fieldUsage x="1"/>
      </fieldsUsage>
    </cacheHierarchy>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hidden="1">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7.319806018517" createdVersion="5" refreshedVersion="8" minRefreshableVersion="3" recordCount="0" supportSubquery="1" supportAdvancedDrill="1" xr:uid="{41F492AF-8317-486B-A81F-F6C06E52C170}">
  <cacheSource type="external" connectionId="2"/>
  <cacheFields count="4">
    <cacheField name="[Dengue].[Dengue_Result].[Dengue_Result]" caption="Dengue_Result" numFmtId="0" hierarchy="14" level="1">
      <sharedItems containsSemiMixedTypes="0" containsNonDate="0" containsString="0"/>
    </cacheField>
    <cacheField name="[Measures].[Count of Dengue_Result]" caption="Count of Dengue_Result" numFmtId="0" hierarchy="35" level="32767"/>
    <cacheField name="[Dengue].[Age_Group].[Age_Group]" caption="Age_Group" numFmtId="0" hierarchy="10" level="1">
      <sharedItems count="2">
        <s v="Adults"/>
        <s v="Middle Aged"/>
      </sharedItems>
    </cacheField>
    <cacheField name="[Dengue].[HouseType].[HouseType]" caption="HouseType" numFmtId="0" hierarchy="7" level="1">
      <sharedItems count="3">
        <s v="Building"/>
        <s v="Other"/>
        <s v="Tinshed"/>
      </sharedItems>
    </cacheField>
  </cacheFields>
  <cacheHierarchies count="42">
    <cacheHierarchy uniqueName="[Dengue].[Gender]" caption="Gender" attribute="1" defaultMemberUniqueName="[Dengue].[Gender].[All]" allUniqueName="[Dengue].[Gender].[All]" dimensionUniqueName="[Dengue]" displayFolder="" count="0"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0" memberValueDatatype="130" unbalanced="0"/>
    <cacheHierarchy uniqueName="[Dengue].[AreaType]" caption="AreaType" attribute="1" defaultMemberUniqueName="[Dengue].[AreaType].[All]" allUniqueName="[Dengue].[AreaType].[All]" dimensionUniqueName="[Dengue]" displayFolder="" count="0" memberValueDatatype="130" unbalanced="0"/>
    <cacheHierarchy uniqueName="[Dengue].[HouseType]" caption="HouseType" attribute="1" defaultMemberUniqueName="[Dengue].[HouseType].[All]" allUniqueName="[Dengue].[HouseType].[All]" dimensionUniqueName="[Dengue]" displayFolder="" count="2" memberValueDatatype="130" unbalanced="0">
      <fieldsUsage count="2">
        <fieldUsage x="-1"/>
        <fieldUsage x="3"/>
      </fieldsUsage>
    </cacheHierarchy>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2" memberValueDatatype="130" unbalanced="0">
      <fieldsUsage count="2">
        <fieldUsage x="-1"/>
        <fieldUsage x="2"/>
      </fieldsUsage>
    </cacheHierarchy>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0" memberValueDatatype="130" unbalanced="0"/>
    <cacheHierarchy uniqueName="[Dengue].[Non_Structural_Protein_Result]" caption="Non_Structural_Protein_Result" attribute="1" defaultMemberUniqueName="[Dengue].[Non_Structural_Protein_Result].[All]" allUniqueName="[Dengue].[Non_Structural_Protein_Result].[All]" dimensionUniqueName="[Dengue]" displayFolder="" count="0" memberValueDatatype="130" unbalanced="0"/>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0"/>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7.319796064818" createdVersion="5" refreshedVersion="8" minRefreshableVersion="3" recordCount="0" supportSubquery="1" supportAdvancedDrill="1" xr:uid="{32B268C3-E77D-45F4-A2D7-601F53E1E920}">
  <cacheSource type="external" connectionId="2"/>
  <cacheFields count="4">
    <cacheField name="[Dengue].[Dengue_Result].[Dengue_Result]" caption="Dengue_Result" numFmtId="0" hierarchy="14" level="1">
      <sharedItems containsSemiMixedTypes="0" containsNonDate="0" containsString="0"/>
    </cacheField>
    <cacheField name="[Measures].[Count of Dengue_Result]" caption="Count of Dengue_Result" numFmtId="0" hierarchy="35" level="32767"/>
    <cacheField name="[Dengue].[Non_Structural_Protein_Result].[Non_Structural_Protein_Result]" caption="Non_Structural_Protein_Result" numFmtId="0" hierarchy="13" level="1">
      <sharedItems count="2">
        <s v="Early Satge of Infection"/>
        <s v="Late Stage of Infection"/>
      </sharedItems>
    </cacheField>
    <cacheField name="[Dengue].[Gender].[Gender]" caption="Gender" numFmtId="0" level="1">
      <sharedItems count="2">
        <s v="Female"/>
        <s v="Male"/>
      </sharedItems>
    </cacheField>
  </cacheFields>
  <cacheHierarchies count="42">
    <cacheHierarchy uniqueName="[Dengue].[Gender]" caption="Gender" attribute="1" defaultMemberUniqueName="[Dengue].[Gender].[All]" allUniqueName="[Dengue].[Gender].[All]" dimensionUniqueName="[Dengue]" displayFolder="" count="2" memberValueDatatype="130" unbalanced="0">
      <fieldsUsage count="2">
        <fieldUsage x="-1"/>
        <fieldUsage x="3"/>
      </fieldsUsage>
    </cacheHierarchy>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0" memberValueDatatype="130" unbalanced="0"/>
    <cacheHierarchy uniqueName="[Dengue].[AreaType]" caption="AreaType" attribute="1" defaultMemberUniqueName="[Dengue].[AreaType].[All]" allUniqueName="[Dengue].[AreaType].[All]" dimensionUniqueName="[Dengue]" displayFolder="" count="0" memberValueDatatype="130" unbalanced="0"/>
    <cacheHierarchy uniqueName="[Dengue].[HouseType]" caption="HouseType" attribute="1" defaultMemberUniqueName="[Dengue].[HouseType].[All]" allUniqueName="[Dengue].[HouseType].[All]" dimensionUniqueName="[Dengue]" displayFolder="" count="0" memberValueDatatype="130" unbalanced="0"/>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0" memberValueDatatype="130" unbalanced="0"/>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0" memberValueDatatype="130" unbalanced="0"/>
    <cacheHierarchy uniqueName="[Dengue].[Non_Structural_Protein_Result]" caption="Non_Structural_Protein_Result" attribute="1" defaultMemberUniqueName="[Dengue].[Non_Structural_Protein_Result].[All]" allUniqueName="[Dengue].[Non_Structural_Protein_Result].[All]" dimensionUniqueName="[Dengue]" displayFolder="" count="2" memberValueDatatype="130" unbalanced="0">
      <fieldsUsage count="2">
        <fieldUsage x="-1"/>
        <fieldUsage x="2"/>
      </fieldsUsage>
    </cacheHierarchy>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0"/>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7.319814120368" createdVersion="5" refreshedVersion="8" minRefreshableVersion="3" recordCount="0" supportSubquery="1" supportAdvancedDrill="1" xr:uid="{0EBDF589-5F54-45C0-B436-54E36D4CE5F9}">
  <cacheSource type="external" connectionId="2"/>
  <cacheFields count="2">
    <cacheField name="[Dengue].[Dengue_Result].[Dengue_Result]" caption="Dengue_Result" numFmtId="0" hierarchy="14" level="1">
      <sharedItems containsSemiMixedTypes="0" containsNonDate="0" containsString="0"/>
    </cacheField>
    <cacheField name="[Measures].[Infection Rate]" caption="Infection Rate" numFmtId="0" hierarchy="23" level="32767"/>
  </cacheFields>
  <cacheHierarchies count="42">
    <cacheHierarchy uniqueName="[Dengue].[Gender]" caption="Gender" attribute="1" defaultMemberUniqueName="[Dengue].[Gender].[All]" allUniqueName="[Dengue].[Gender].[All]" dimensionUniqueName="[Dengue]" displayFolder="" count="0"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0" memberValueDatatype="130" unbalanced="0"/>
    <cacheHierarchy uniqueName="[Dengue].[AreaType]" caption="AreaType" attribute="1" defaultMemberUniqueName="[Dengue].[AreaType].[All]" allUniqueName="[Dengue].[AreaType].[All]" dimensionUniqueName="[Dengue]" displayFolder="" count="0" memberValueDatatype="130" unbalanced="0"/>
    <cacheHierarchy uniqueName="[Dengue].[HouseType]" caption="HouseType" attribute="1" defaultMemberUniqueName="[Dengue].[HouseType].[All]" allUniqueName="[Dengue].[HouseType].[All]" dimensionUniqueName="[Dengue]" displayFolder="" count="0" memberValueDatatype="130" unbalanced="0"/>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0" memberValueDatatype="130" unbalanced="0"/>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0" memberValueDatatype="130" unbalanced="0"/>
    <cacheHierarchy uniqueName="[Dengue].[Non_Structural_Protein_Result]" caption="Non_Structural_Protein_Result" attribute="1" defaultMemberUniqueName="[Dengue].[Non_Structural_Protein_Result].[All]" allUniqueName="[Dengue].[Non_Structural_Protein_Result].[All]" dimensionUniqueName="[Dengue]" displayFolder="" count="0" memberValueDatatype="130" unbalanced="0"/>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0"/>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oneField="1">
      <fieldsUsage count="1">
        <fieldUsage x="1"/>
      </fieldsUsage>
    </cacheHierarchy>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hidden="1">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7.319803819446" createdVersion="5" refreshedVersion="8" minRefreshableVersion="3" recordCount="0" supportSubquery="1" supportAdvancedDrill="1" xr:uid="{B492C452-F023-4592-B0C6-42A45AD5D23F}">
  <cacheSource type="external" connectionId="2"/>
  <cacheFields count="4">
    <cacheField name="[Dengue].[Dengue_Result].[Dengue_Result]" caption="Dengue_Result" numFmtId="0" hierarchy="14" level="1">
      <sharedItems containsSemiMixedTypes="0" containsNonDate="0" containsString="0"/>
    </cacheField>
    <cacheField name="[Measures].[Count of Dengue_Result]" caption="Count of Dengue_Result" numFmtId="0" hierarchy="35" level="32767"/>
    <cacheField name="[Dengue].[Age_Group].[Age_Group]" caption="Age_Group" numFmtId="0" hierarchy="10" level="1">
      <sharedItems count="2">
        <s v="Adults"/>
        <s v="Middle Aged"/>
      </sharedItems>
    </cacheField>
    <cacheField name="[Dengue].[AreaType].[AreaType]" caption="AreaType" numFmtId="0" hierarchy="6" level="1">
      <sharedItems count="2">
        <s v="Developed"/>
        <s v="Undeveloped"/>
      </sharedItems>
    </cacheField>
  </cacheFields>
  <cacheHierarchies count="42">
    <cacheHierarchy uniqueName="[Dengue].[Gender]" caption="Gender" attribute="1" defaultMemberUniqueName="[Dengue].[Gender].[All]" allUniqueName="[Dengue].[Gender].[All]" dimensionUniqueName="[Dengue]" displayFolder="" count="0"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0" memberValueDatatype="130" unbalanced="0"/>
    <cacheHierarchy uniqueName="[Dengue].[AreaType]" caption="AreaType" attribute="1" defaultMemberUniqueName="[Dengue].[AreaType].[All]" allUniqueName="[Dengue].[AreaType].[All]" dimensionUniqueName="[Dengue]" displayFolder="" count="2" memberValueDatatype="130" unbalanced="0">
      <fieldsUsage count="2">
        <fieldUsage x="-1"/>
        <fieldUsage x="3"/>
      </fieldsUsage>
    </cacheHierarchy>
    <cacheHierarchy uniqueName="[Dengue].[HouseType]" caption="HouseType" attribute="1" defaultMemberUniqueName="[Dengue].[HouseType].[All]" allUniqueName="[Dengue].[HouseType].[All]" dimensionUniqueName="[Dengue]" displayFolder="" count="0" memberValueDatatype="130" unbalanced="0"/>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2" memberValueDatatype="130" unbalanced="0">
      <fieldsUsage count="2">
        <fieldUsage x="-1"/>
        <fieldUsage x="2"/>
      </fieldsUsage>
    </cacheHierarchy>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0" memberValueDatatype="130" unbalanced="0"/>
    <cacheHierarchy uniqueName="[Dengue].[Non_Structural_Protein_Result]" caption="Non_Structural_Protein_Result" attribute="1" defaultMemberUniqueName="[Dengue].[Non_Structural_Protein_Result].[All]" allUniqueName="[Dengue].[Non_Structural_Protein_Result].[All]" dimensionUniqueName="[Dengue]" displayFolder="" count="0" memberValueDatatype="130" unbalanced="0"/>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0"/>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7.319811921298" createdVersion="5" refreshedVersion="8" minRefreshableVersion="3" recordCount="0" supportSubquery="1" supportAdvancedDrill="1" xr:uid="{D4CD135D-7BEB-4F09-A03D-4D9AC7EC8B89}">
  <cacheSource type="external" connectionId="2"/>
  <cacheFields count="2">
    <cacheField name="[Dengue].[Dengue_Result].[Dengue_Result]" caption="Dengue_Result" numFmtId="0" hierarchy="14" level="1">
      <sharedItems containsSemiMixedTypes="0" containsNonDate="0" containsString="0"/>
    </cacheField>
    <cacheField name="[Measures].[Total Infection]" caption="Total Infection" numFmtId="0" hierarchy="22" level="32767"/>
  </cacheFields>
  <cacheHierarchies count="42">
    <cacheHierarchy uniqueName="[Dengue].[Gender]" caption="Gender" attribute="1" defaultMemberUniqueName="[Dengue].[Gender].[All]" allUniqueName="[Dengue].[Gender].[All]" dimensionUniqueName="[Dengue]" displayFolder="" count="0"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0" memberValueDatatype="130" unbalanced="0"/>
    <cacheHierarchy uniqueName="[Dengue].[AreaType]" caption="AreaType" attribute="1" defaultMemberUniqueName="[Dengue].[AreaType].[All]" allUniqueName="[Dengue].[AreaType].[All]" dimensionUniqueName="[Dengue]" displayFolder="" count="0" memberValueDatatype="130" unbalanced="0"/>
    <cacheHierarchy uniqueName="[Dengue].[HouseType]" caption="HouseType" attribute="1" defaultMemberUniqueName="[Dengue].[HouseType].[All]" allUniqueName="[Dengue].[HouseType].[All]" dimensionUniqueName="[Dengue]" displayFolder="" count="0" memberValueDatatype="130" unbalanced="0"/>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0" memberValueDatatype="130" unbalanced="0"/>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0" memberValueDatatype="130" unbalanced="0"/>
    <cacheHierarchy uniqueName="[Dengue].[Non_Structural_Protein_Result]" caption="Non_Structural_Protein_Result" attribute="1" defaultMemberUniqueName="[Dengue].[Non_Structural_Protein_Result].[All]" allUniqueName="[Dengue].[Non_Structural_Protein_Result].[All]" dimensionUniqueName="[Dengue]" displayFolder="" count="0" memberValueDatatype="130" unbalanced="0"/>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0"/>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oneField="1">
      <fieldsUsage count="1">
        <fieldUsage x="1"/>
      </fieldsUsage>
    </cacheHierarchy>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hidden="1">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7.335237847219" createdVersion="5" refreshedVersion="8" minRefreshableVersion="3" recordCount="0" supportSubquery="1" supportAdvancedDrill="1" xr:uid="{F412598D-C763-41C2-8AB5-3604039B446A}">
  <cacheSource type="external" connectionId="2"/>
  <cacheFields count="4">
    <cacheField name="[Dengue].[Dengue_Result].[Dengue_Result]" caption="Dengue_Result" numFmtId="0" hierarchy="14" level="1">
      <sharedItems containsSemiMixedTypes="0" containsNonDate="0" containsString="0"/>
    </cacheField>
    <cacheField name="[Dengue].[Immunoglobulin_M_Result].[Immunoglobulin_M_Result]" caption="Immunoglobulin_M_Result" numFmtId="0" hierarchy="12" level="1">
      <sharedItems count="2">
        <s v="Not Previously Infected"/>
        <s v="Previously Infected"/>
      </sharedItems>
    </cacheField>
    <cacheField name="[Measures].[Count of Dengue_Result]" caption="Count of Dengue_Result" numFmtId="0" hierarchy="35" level="32767"/>
    <cacheField name="[Dengue].[Gender].[Gender]" caption="Gender" numFmtId="0" level="1">
      <sharedItems count="2">
        <s v="Female"/>
        <s v="Male"/>
      </sharedItems>
    </cacheField>
  </cacheFields>
  <cacheHierarchies count="42">
    <cacheHierarchy uniqueName="[Dengue].[Gender]" caption="Gender" attribute="1" defaultMemberUniqueName="[Dengue].[Gender].[All]" allUniqueName="[Dengue].[Gender].[All]" dimensionUniqueName="[Dengue]" displayFolder="" count="2" memberValueDatatype="130" unbalanced="0">
      <fieldsUsage count="2">
        <fieldUsage x="-1"/>
        <fieldUsage x="3"/>
      </fieldsUsage>
    </cacheHierarchy>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0" memberValueDatatype="130" unbalanced="0"/>
    <cacheHierarchy uniqueName="[Dengue].[AreaType]" caption="AreaType" attribute="1" defaultMemberUniqueName="[Dengue].[AreaType].[All]" allUniqueName="[Dengue].[AreaType].[All]" dimensionUniqueName="[Dengue]" displayFolder="" count="0" memberValueDatatype="130" unbalanced="0"/>
    <cacheHierarchy uniqueName="[Dengue].[HouseType]" caption="HouseType" attribute="1" defaultMemberUniqueName="[Dengue].[HouseType].[All]" allUniqueName="[Dengue].[HouseType].[All]" dimensionUniqueName="[Dengue]" displayFolder="" count="0" memberValueDatatype="130" unbalanced="0"/>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0" memberValueDatatype="130" unbalanced="0"/>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2" memberValueDatatype="130" unbalanced="0">
      <fieldsUsage count="2">
        <fieldUsage x="-1"/>
        <fieldUsage x="1"/>
      </fieldsUsage>
    </cacheHierarchy>
    <cacheHierarchy uniqueName="[Dengue].[Non_Structural_Protein_Result]" caption="Non_Structural_Protein_Result" attribute="1" defaultMemberUniqueName="[Dengue].[Non_Structural_Protein_Result].[All]" allUniqueName="[Dengue].[Non_Structural_Protein_Result].[All]" dimensionUniqueName="[Dengue]" displayFolder="" count="0" memberValueDatatype="130" unbalanced="0"/>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0"/>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7.335150462961" createdVersion="5" refreshedVersion="8" minRefreshableVersion="3" recordCount="0" supportSubquery="1" supportAdvancedDrill="1" xr:uid="{4A0BB1D4-B516-424A-A493-33BBEF0E0381}">
  <cacheSource type="external" connectionId="2"/>
  <cacheFields count="4">
    <cacheField name="[Dengue].[Dengue_Result].[Dengue_Result]" caption="Dengue_Result" numFmtId="0" hierarchy="14" level="1">
      <sharedItems containsSemiMixedTypes="0" containsNonDate="0" containsString="0"/>
    </cacheField>
    <cacheField name="[Measures].[Count of Dengue_Result]" caption="Count of Dengue_Result" numFmtId="0" hierarchy="35" level="32767"/>
    <cacheField name="[Dengue].[Non_Structural_Protein_Result].[Non_Structural_Protein_Result]" caption="Non_Structural_Protein_Result" numFmtId="0" hierarchy="13" level="1">
      <sharedItems count="2">
        <s v="Early Satge of Infection"/>
        <s v="Late Stage of Infection"/>
      </sharedItems>
    </cacheField>
    <cacheField name="[Dengue].[HouseType].[HouseType]" caption="HouseType" numFmtId="0" hierarchy="7" level="1">
      <sharedItems count="3">
        <s v="Building"/>
        <s v="Other"/>
        <s v="Tinshed"/>
      </sharedItems>
    </cacheField>
  </cacheFields>
  <cacheHierarchies count="42">
    <cacheHierarchy uniqueName="[Dengue].[Gender]" caption="Gender" attribute="1" defaultMemberUniqueName="[Dengue].[Gender].[All]" allUniqueName="[Dengue].[Gender].[All]" dimensionUniqueName="[Dengue]" displayFolder="" count="0"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0" memberValueDatatype="130" unbalanced="0"/>
    <cacheHierarchy uniqueName="[Dengue].[AreaType]" caption="AreaType" attribute="1" defaultMemberUniqueName="[Dengue].[AreaType].[All]" allUniqueName="[Dengue].[AreaType].[All]" dimensionUniqueName="[Dengue]" displayFolder="" count="0" memberValueDatatype="130" unbalanced="0"/>
    <cacheHierarchy uniqueName="[Dengue].[HouseType]" caption="HouseType" attribute="1" defaultMemberUniqueName="[Dengue].[HouseType].[All]" allUniqueName="[Dengue].[HouseType].[All]" dimensionUniqueName="[Dengue]" displayFolder="" count="2" memberValueDatatype="130" unbalanced="0">
      <fieldsUsage count="2">
        <fieldUsage x="-1"/>
        <fieldUsage x="3"/>
      </fieldsUsage>
    </cacheHierarchy>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0" memberValueDatatype="130" unbalanced="0"/>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0" memberValueDatatype="130" unbalanced="0"/>
    <cacheHierarchy uniqueName="[Dengue].[Non_Structural_Protein_Result]" caption="Non_Structural_Protein_Result" attribute="1" defaultMemberUniqueName="[Dengue].[Non_Structural_Protein_Result].[All]" allUniqueName="[Dengue].[Non_Structural_Protein_Result].[All]" dimensionUniqueName="[Dengue]" displayFolder="" count="2" memberValueDatatype="130" unbalanced="0">
      <fieldsUsage count="2">
        <fieldUsage x="-1"/>
        <fieldUsage x="2"/>
      </fieldsUsage>
    </cacheHierarchy>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0"/>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7.709450347225" createdVersion="5" refreshedVersion="8" minRefreshableVersion="3" recordCount="0" supportSubquery="1" supportAdvancedDrill="1" xr:uid="{501F37C3-5A28-4BBF-9F51-A6670AFC9F1A}">
  <cacheSource type="external" connectionId="2"/>
  <cacheFields count="3">
    <cacheField name="[Dengue].[AreaType].[AreaType]" caption="AreaType" numFmtId="0" hierarchy="6" level="1">
      <sharedItems containsSemiMixedTypes="0" containsNonDate="0" containsString="0"/>
    </cacheField>
    <cacheField name="[Dengue].[Area].[Area]" caption="Area" numFmtId="0" hierarchy="5" level="1">
      <sharedItems count="5">
        <s v="Bangshal"/>
        <s v="Demra"/>
        <s v="Dhanmondi"/>
        <s v="Jatrabari"/>
        <s v="Kadamtali"/>
      </sharedItems>
    </cacheField>
    <cacheField name="[Measures].[Average of Age]" caption="Average of Age" numFmtId="0" hierarchy="41" level="32767"/>
  </cacheFields>
  <cacheHierarchies count="42">
    <cacheHierarchy uniqueName="[Dengue].[Gender]" caption="Gender" attribute="1" defaultMemberUniqueName="[Dengue].[Gender].[All]" allUniqueName="[Dengue].[Gender].[All]" dimensionUniqueName="[Dengue]" displayFolder="" count="0"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2" memberValueDatatype="130" unbalanced="0">
      <fieldsUsage count="2">
        <fieldUsage x="-1"/>
        <fieldUsage x="1"/>
      </fieldsUsage>
    </cacheHierarchy>
    <cacheHierarchy uniqueName="[Dengue].[AreaType]" caption="AreaType" attribute="1" defaultMemberUniqueName="[Dengue].[AreaType].[All]" allUniqueName="[Dengue].[AreaType].[All]" dimensionUniqueName="[Dengue]" displayFolder="" count="2" memberValueDatatype="130" unbalanced="0">
      <fieldsUsage count="2">
        <fieldUsage x="-1"/>
        <fieldUsage x="0"/>
      </fieldsUsage>
    </cacheHierarchy>
    <cacheHierarchy uniqueName="[Dengue].[HouseType]" caption="HouseType" attribute="1" defaultMemberUniqueName="[Dengue].[HouseType].[All]" allUniqueName="[Dengue].[HouseType].[All]" dimensionUniqueName="[Dengue]" displayFolder="" count="0" memberValueDatatype="130" unbalanced="0"/>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0" memberValueDatatype="130" unbalanced="0"/>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0" memberValueDatatype="130" unbalanced="0"/>
    <cacheHierarchy uniqueName="[Dengue].[Non_Structural_Protein_Result]" caption="Non_Structural_Protein_Result" attribute="1" defaultMemberUniqueName="[Dengue].[Non_Structural_Protein_Result].[All]" allUniqueName="[Dengue].[Non_Structural_Protein_Result].[All]" dimensionUniqueName="[Dengue]" displayFolder="" count="0" memberValueDatatype="130" unbalanced="0"/>
    <cacheHierarchy uniqueName="[Dengue].[Dengue_Result]" caption="Dengue_Result" attribute="1" defaultMemberUniqueName="[Dengue].[Dengue_Result].[All]" allUniqueName="[Dengue].[Dengue_Result].[All]" dimensionUniqueName="[Dengue]" displayFolder="" count="2" memberValueDatatype="130" unbalanced="0"/>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hidden="1">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oneField="1" hidden="1">
      <fieldsUsage count="1">
        <fieldUsage x="2"/>
      </fieldsUsage>
      <extLst>
        <ext xmlns:x15="http://schemas.microsoft.com/office/spreadsheetml/2010/11/main" uri="{B97F6D7D-B522-45F9-BDA1-12C45D357490}">
          <x15:cacheHierarchy aggregatedColumn="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8.558919097224" createdVersion="5" refreshedVersion="8" minRefreshableVersion="3" recordCount="0" supportSubquery="1" supportAdvancedDrill="1" xr:uid="{CFDB8EF7-AB94-4FBF-AA38-E698B58A0AE7}">
  <cacheSource type="external" connectionId="2"/>
  <cacheFields count="4">
    <cacheField name="[Dengue].[Age_Group].[Age_Group]" caption="Age_Group" numFmtId="0" hierarchy="10" level="1">
      <sharedItems count="6">
        <s v="Adolescents"/>
        <s v="Adults"/>
        <s v="Child"/>
        <s v="Elderly"/>
        <s v="Middle Aged"/>
        <s v="Young Adolescents"/>
      </sharedItems>
    </cacheField>
    <cacheField name="[Measures].[Count of Age_Group]" caption="Count of Age_Group" numFmtId="0" hierarchy="31" level="32767"/>
    <cacheField name="[Dengue].[Dengue_Result].[Dengue_Result]" caption="Dengue_Result" numFmtId="0" hierarchy="14" level="1">
      <sharedItems containsSemiMixedTypes="0" containsNonDate="0" containsString="0"/>
    </cacheField>
    <cacheField name="Dummy0" numFmtId="0" hierarchy="42" level="32767">
      <extLst>
        <ext xmlns:x14="http://schemas.microsoft.com/office/spreadsheetml/2009/9/main" uri="{63CAB8AC-B538-458d-9737-405883B0398D}">
          <x14:cacheField ignore="1"/>
        </ext>
      </extLst>
    </cacheField>
  </cacheFields>
  <cacheHierarchies count="43">
    <cacheHierarchy uniqueName="[Dengue].[Gender]" caption="Gender" attribute="1" defaultMemberUniqueName="[Dengue].[Gender].[All]" allUniqueName="[Dengue].[Gender].[All]" dimensionUniqueName="[Dengue]" displayFolder="" count="0"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2" memberValueDatatype="130" unbalanced="0"/>
    <cacheHierarchy uniqueName="[Dengue].[AreaType]" caption="AreaType" attribute="1" defaultMemberUniqueName="[Dengue].[AreaType].[All]" allUniqueName="[Dengue].[AreaType].[All]" dimensionUniqueName="[Dengue]" displayFolder="" count="0" memberValueDatatype="130" unbalanced="0"/>
    <cacheHierarchy uniqueName="[Dengue].[HouseType]" caption="HouseType" attribute="1" defaultMemberUniqueName="[Dengue].[HouseType].[All]" allUniqueName="[Dengue].[HouseType].[All]" dimensionUniqueName="[Dengue]" displayFolder="" count="0" memberValueDatatype="130" unbalanced="0"/>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2" memberValueDatatype="130" unbalanced="0">
      <fieldsUsage count="2">
        <fieldUsage x="-1"/>
        <fieldUsage x="0"/>
      </fieldsUsage>
    </cacheHierarchy>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0" memberValueDatatype="130" unbalanced="0"/>
    <cacheHierarchy uniqueName="[Dengue].[Non_Structural_Protein_Result]" caption="Non_Structural_Protein_Result" attribute="1" defaultMemberUniqueName="[Dengue].[Non_Structural_Protein_Result].[All]" allUniqueName="[Dengue].[Non_Structural_Protein_Result].[All]" dimensionUniqueName="[Dengue]" displayFolder="" count="0" memberValueDatatype="130" unbalanced="0"/>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2"/>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hidden="1">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y uniqueName="Dummy0" caption="Gender" measure="1" count="0">
      <extLst>
        <ext xmlns:x14="http://schemas.microsoft.com/office/spreadsheetml/2009/9/main" uri="{8CF416AD-EC4C-4aba-99F5-12A058AE0983}">
          <x14:cacheHierarchy ignore="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8.558919907409" createdVersion="5" refreshedVersion="8" minRefreshableVersion="3" recordCount="0" supportSubquery="1" supportAdvancedDrill="1" xr:uid="{F7EF3DE8-1BD9-4AFE-8BCC-1C0F850B2C66}">
  <cacheSource type="external" connectionId="2"/>
  <cacheFields count="4">
    <cacheField name="[Measures].[Count of Dengue_Result]" caption="Count of Dengue_Result" numFmtId="0" hierarchy="35" level="32767"/>
    <cacheField name="[Dengue].[Non_Structural_Protein_Result].[Non_Structural_Protein_Result]" caption="Non_Structural_Protein_Result" numFmtId="0" hierarchy="13" level="1">
      <sharedItems count="2">
        <s v="Early Satge of Infection"/>
        <s v="Late Stage of Infection"/>
      </sharedItems>
    </cacheField>
    <cacheField name="[Dengue].[AreaType].[AreaType]" caption="AreaType" numFmtId="0" hierarchy="6" level="1">
      <sharedItems count="2">
        <s v="Developed"/>
        <s v="Undeveloped"/>
      </sharedItems>
    </cacheField>
    <cacheField name="[Dengue].[Dengue_Result].[Dengue_Result]" caption="Dengue_Result" numFmtId="0" hierarchy="14" level="1">
      <sharedItems containsSemiMixedTypes="0" containsNonDate="0" containsString="0"/>
    </cacheField>
  </cacheFields>
  <cacheHierarchies count="42">
    <cacheHierarchy uniqueName="[Dengue].[Gender]" caption="Gender" attribute="1" defaultMemberUniqueName="[Dengue].[Gender].[All]" allUniqueName="[Dengue].[Gender].[All]" dimensionUniqueName="[Dengue]" displayFolder="" count="0"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0" memberValueDatatype="130" unbalanced="0"/>
    <cacheHierarchy uniqueName="[Dengue].[AreaType]" caption="AreaType" attribute="1" defaultMemberUniqueName="[Dengue].[AreaType].[All]" allUniqueName="[Dengue].[AreaType].[All]" dimensionUniqueName="[Dengue]" displayFolder="" count="2" memberValueDatatype="130" unbalanced="0">
      <fieldsUsage count="2">
        <fieldUsage x="-1"/>
        <fieldUsage x="2"/>
      </fieldsUsage>
    </cacheHierarchy>
    <cacheHierarchy uniqueName="[Dengue].[HouseType]" caption="HouseType" attribute="1" defaultMemberUniqueName="[Dengue].[HouseType].[All]" allUniqueName="[Dengue].[HouseType].[All]" dimensionUniqueName="[Dengue]" displayFolder="" count="0" memberValueDatatype="130" unbalanced="0"/>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0" memberValueDatatype="130" unbalanced="0"/>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0" memberValueDatatype="130" unbalanced="0"/>
    <cacheHierarchy uniqueName="[Dengue].[Non_Structural_Protein_Result]" caption="Non_Structural_Protein_Result" attribute="1" defaultMemberUniqueName="[Dengue].[Non_Structural_Protein_Result].[All]" allUniqueName="[Dengue].[Non_Structural_Protein_Result].[All]" dimensionUniqueName="[Dengue]" displayFolder="" count="2" memberValueDatatype="130" unbalanced="0">
      <fieldsUsage count="2">
        <fieldUsage x="-1"/>
        <fieldUsage x="1"/>
      </fieldsUsage>
    </cacheHierarchy>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3"/>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8.558920370371" createdVersion="5" refreshedVersion="8" minRefreshableVersion="3" recordCount="0" supportSubquery="1" supportAdvancedDrill="1" xr:uid="{BEE59453-A95C-48E4-8701-B8ACE53F2F81}">
  <cacheSource type="external" connectionId="2"/>
  <cacheFields count="4">
    <cacheField name="[Dengue].[AreaType].[AreaType]" caption="AreaType" numFmtId="0" hierarchy="6" level="1">
      <sharedItems count="2">
        <s v="Developed"/>
        <s v="Undeveloped"/>
      </sharedItems>
    </cacheField>
    <cacheField name="[Measures].[Count of AreaType]" caption="Count of AreaType" numFmtId="0" hierarchy="37" level="32767"/>
    <cacheField name="[Dengue].[Dengue_Result].[Dengue_Result]" caption="Dengue_Result" numFmtId="0" hierarchy="14" level="1">
      <sharedItems containsSemiMixedTypes="0" containsNonDate="0" containsString="0"/>
    </cacheField>
    <cacheField name="Dummy0" numFmtId="0" hierarchy="42" level="32767">
      <extLst>
        <ext xmlns:x14="http://schemas.microsoft.com/office/spreadsheetml/2009/9/main" uri="{63CAB8AC-B538-458d-9737-405883B0398D}">
          <x14:cacheField ignore="1"/>
        </ext>
      </extLst>
    </cacheField>
  </cacheFields>
  <cacheHierarchies count="43">
    <cacheHierarchy uniqueName="[Dengue].[Gender]" caption="Gender" attribute="1" defaultMemberUniqueName="[Dengue].[Gender].[All]" allUniqueName="[Dengue].[Gender].[All]" dimensionUniqueName="[Dengue]" displayFolder="" count="0"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2" memberValueDatatype="130" unbalanced="0"/>
    <cacheHierarchy uniqueName="[Dengue].[AreaType]" caption="AreaType" attribute="1" defaultMemberUniqueName="[Dengue].[AreaType].[All]" allUniqueName="[Dengue].[AreaType].[All]" dimensionUniqueName="[Dengue]" displayFolder="" count="2" memberValueDatatype="130" unbalanced="0">
      <fieldsUsage count="2">
        <fieldUsage x="-1"/>
        <fieldUsage x="0"/>
      </fieldsUsage>
    </cacheHierarchy>
    <cacheHierarchy uniqueName="[Dengue].[HouseType]" caption="HouseType" attribute="1" defaultMemberUniqueName="[Dengue].[HouseType].[All]" allUniqueName="[Dengue].[HouseType].[All]" dimensionUniqueName="[Dengue]" displayFolder="" count="0" memberValueDatatype="130" unbalanced="0"/>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0" memberValueDatatype="130" unbalanced="0"/>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0" memberValueDatatype="130" unbalanced="0"/>
    <cacheHierarchy uniqueName="[Dengue].[Non_Structural_Protein_Result]" caption="Non_Structural_Protein_Result" attribute="1" defaultMemberUniqueName="[Dengue].[Non_Structural_Protein_Result].[All]" allUniqueName="[Dengue].[Non_Structural_Protein_Result].[All]" dimensionUniqueName="[Dengue]" displayFolder="" count="0" memberValueDatatype="130" unbalanced="0"/>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2"/>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hidden="1">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y uniqueName="Dummy0" caption="Gender" measure="1" count="0">
      <extLst>
        <ext xmlns:x14="http://schemas.microsoft.com/office/spreadsheetml/2009/9/main" uri="{8CF416AD-EC4C-4aba-99F5-12A058AE0983}">
          <x14:cacheHierarchy ignore="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8.558920717594" createdVersion="5" refreshedVersion="8" minRefreshableVersion="3" recordCount="0" supportSubquery="1" supportAdvancedDrill="1" xr:uid="{EE91D606-9A35-462F-9C34-61F9942A47DD}">
  <cacheSource type="external" connectionId="2"/>
  <cacheFields count="3">
    <cacheField name="[Dengue].[AreaType].[AreaType]" caption="AreaType" numFmtId="0" hierarchy="6" level="1">
      <sharedItems containsSemiMixedTypes="0" containsNonDate="0" containsString="0"/>
    </cacheField>
    <cacheField name="[Measures].[Count of Age_Group]" caption="Count of Age_Group" numFmtId="0" hierarchy="31" level="32767"/>
    <cacheField name="[Dengue].[Dengue_Result].[Dengue_Result]" caption="Dengue_Result" numFmtId="0" hierarchy="14" level="1">
      <sharedItems containsSemiMixedTypes="0" containsNonDate="0" containsString="0"/>
    </cacheField>
  </cacheFields>
  <cacheHierarchies count="42">
    <cacheHierarchy uniqueName="[Dengue].[Gender]" caption="Gender" attribute="1" defaultMemberUniqueName="[Dengue].[Gender].[All]" allUniqueName="[Dengue].[Gender].[All]" dimensionUniqueName="[Dengue]" displayFolder="" count="0"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0" memberValueDatatype="130" unbalanced="0"/>
    <cacheHierarchy uniqueName="[Dengue].[AreaType]" caption="AreaType" attribute="1" defaultMemberUniqueName="[Dengue].[AreaType].[All]" allUniqueName="[Dengue].[AreaType].[All]" dimensionUniqueName="[Dengue]" displayFolder="" count="2" memberValueDatatype="130" unbalanced="0">
      <fieldsUsage count="2">
        <fieldUsage x="-1"/>
        <fieldUsage x="0"/>
      </fieldsUsage>
    </cacheHierarchy>
    <cacheHierarchy uniqueName="[Dengue].[HouseType]" caption="HouseType" attribute="1" defaultMemberUniqueName="[Dengue].[HouseType].[All]" allUniqueName="[Dengue].[HouseType].[All]" dimensionUniqueName="[Dengue]" displayFolder="" count="0" memberValueDatatype="130" unbalanced="0"/>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0" memberValueDatatype="130" unbalanced="0"/>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0" memberValueDatatype="130" unbalanced="0"/>
    <cacheHierarchy uniqueName="[Dengue].[Non_Structural_Protein_Result]" caption="Non_Structural_Protein_Result" attribute="1" defaultMemberUniqueName="[Dengue].[Non_Structural_Protein_Result].[All]" allUniqueName="[Dengue].[Non_Structural_Protein_Result].[All]" dimensionUniqueName="[Dengue]" displayFolder="" count="0" memberValueDatatype="130" unbalanced="0"/>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2"/>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hidden="1">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8.558920949072" createdVersion="5" refreshedVersion="8" minRefreshableVersion="3" recordCount="0" supportSubquery="1" supportAdvancedDrill="1" xr:uid="{FA01A826-2929-4A84-836F-2125411A917C}">
  <cacheSource type="external" connectionId="2"/>
  <cacheFields count="2">
    <cacheField name="[Measures].[Infection Rate]" caption="Infection Rate" numFmtId="0" hierarchy="23" level="32767"/>
    <cacheField name="[Dengue].[Dengue_Result].[Dengue_Result]" caption="Dengue_Result" numFmtId="0" hierarchy="14" level="1">
      <sharedItems containsSemiMixedTypes="0" containsNonDate="0" containsString="0"/>
    </cacheField>
  </cacheFields>
  <cacheHierarchies count="42">
    <cacheHierarchy uniqueName="[Dengue].[Gender]" caption="Gender" attribute="1" defaultMemberUniqueName="[Dengue].[Gender].[All]" allUniqueName="[Dengue].[Gender].[All]" dimensionUniqueName="[Dengue]" displayFolder="" count="0"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0" memberValueDatatype="130" unbalanced="0"/>
    <cacheHierarchy uniqueName="[Dengue].[AreaType]" caption="AreaType" attribute="1" defaultMemberUniqueName="[Dengue].[AreaType].[All]" allUniqueName="[Dengue].[AreaType].[All]" dimensionUniqueName="[Dengue]" displayFolder="" count="0" memberValueDatatype="130" unbalanced="0"/>
    <cacheHierarchy uniqueName="[Dengue].[HouseType]" caption="HouseType" attribute="1" defaultMemberUniqueName="[Dengue].[HouseType].[All]" allUniqueName="[Dengue].[HouseType].[All]" dimensionUniqueName="[Dengue]" displayFolder="" count="0" memberValueDatatype="130" unbalanced="0"/>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0" memberValueDatatype="130" unbalanced="0"/>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0" memberValueDatatype="130" unbalanced="0"/>
    <cacheHierarchy uniqueName="[Dengue].[Non_Structural_Protein_Result]" caption="Non_Structural_Protein_Result" attribute="1" defaultMemberUniqueName="[Dengue].[Non_Structural_Protein_Result].[All]" allUniqueName="[Dengue].[Non_Structural_Protein_Result].[All]" dimensionUniqueName="[Dengue]" displayFolder="" count="0" memberValueDatatype="130" unbalanced="0"/>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1"/>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oneField="1">
      <fieldsUsage count="1">
        <fieldUsage x="0"/>
      </fieldsUsage>
    </cacheHierarchy>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hidden="1">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8.558921412034" createdVersion="5" refreshedVersion="8" minRefreshableVersion="3" recordCount="0" supportSubquery="1" supportAdvancedDrill="1" xr:uid="{8404659C-ECE1-4EC3-AA73-B378F46B50FD}">
  <cacheSource type="external" connectionId="2"/>
  <cacheFields count="4">
    <cacheField name="[Dengue].[Dengue_Result].[Dengue_Result]" caption="Dengue_Result" numFmtId="0" hierarchy="14" level="1">
      <sharedItems containsSemiMixedTypes="0" containsNonDate="0" containsString="0"/>
    </cacheField>
    <cacheField name="[Dengue].[Immunoglobulin_M_Result].[Immunoglobulin_M_Result]" caption="Immunoglobulin_M_Result" numFmtId="0" hierarchy="12" level="1">
      <sharedItems count="2">
        <s v="Not Previously Infected"/>
        <s v="Previously Infected"/>
      </sharedItems>
    </cacheField>
    <cacheField name="[Measures].[Count of Dengue_Result]" caption="Count of Dengue_Result" numFmtId="0" hierarchy="35" level="32767"/>
    <cacheField name="[Dengue].[AreaType].[AreaType]" caption="AreaType" numFmtId="0" hierarchy="6" level="1">
      <sharedItems count="2">
        <s v="Developed"/>
        <s v="Undeveloped"/>
      </sharedItems>
    </cacheField>
  </cacheFields>
  <cacheHierarchies count="42">
    <cacheHierarchy uniqueName="[Dengue].[Gender]" caption="Gender" attribute="1" defaultMemberUniqueName="[Dengue].[Gender].[All]" allUniqueName="[Dengue].[Gender].[All]" dimensionUniqueName="[Dengue]" displayFolder="" count="0"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0" memberValueDatatype="130" unbalanced="0"/>
    <cacheHierarchy uniqueName="[Dengue].[AreaType]" caption="AreaType" attribute="1" defaultMemberUniqueName="[Dengue].[AreaType].[All]" allUniqueName="[Dengue].[AreaType].[All]" dimensionUniqueName="[Dengue]" displayFolder="" count="2" memberValueDatatype="130" unbalanced="0">
      <fieldsUsage count="2">
        <fieldUsage x="-1"/>
        <fieldUsage x="3"/>
      </fieldsUsage>
    </cacheHierarchy>
    <cacheHierarchy uniqueName="[Dengue].[HouseType]" caption="HouseType" attribute="1" defaultMemberUniqueName="[Dengue].[HouseType].[All]" allUniqueName="[Dengue].[HouseType].[All]" dimensionUniqueName="[Dengue]" displayFolder="" count="0" memberValueDatatype="130" unbalanced="0"/>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0" memberValueDatatype="130" unbalanced="0"/>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2" memberValueDatatype="130" unbalanced="0">
      <fieldsUsage count="2">
        <fieldUsage x="-1"/>
        <fieldUsage x="1"/>
      </fieldsUsage>
    </cacheHierarchy>
    <cacheHierarchy uniqueName="[Dengue].[Non_Structural_Protein_Result]" caption="Non_Structural_Protein_Result" attribute="1" defaultMemberUniqueName="[Dengue].[Non_Structural_Protein_Result].[All]" allUniqueName="[Dengue].[Non_Structural_Protein_Result].[All]" dimensionUniqueName="[Dengue]" displayFolder="" count="0" memberValueDatatype="130" unbalanced="0"/>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0"/>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8.558921990742" createdVersion="5" refreshedVersion="8" minRefreshableVersion="3" recordCount="0" supportSubquery="1" supportAdvancedDrill="1" xr:uid="{0FB07C2F-695B-484E-BBD0-4F4BA90B2207}">
  <cacheSource type="external" connectionId="2"/>
  <cacheFields count="4">
    <cacheField name="[Measures].[Count of Dengue_Result]" caption="Count of Dengue_Result" numFmtId="0" hierarchy="35" level="32767"/>
    <cacheField name="[Dengue].[Non_Structural_Protein_Result].[Non_Structural_Protein_Result]" caption="Non_Structural_Protein_Result" numFmtId="0" hierarchy="13" level="1">
      <sharedItems count="2">
        <s v="Early Satge of Infection"/>
        <s v="Late Stage of Infection"/>
      </sharedItems>
    </cacheField>
    <cacheField name="[Measures].[Count of Non_Structural_Protein_Result]" caption="Count of Non_Structural_Protein_Result" numFmtId="0" hierarchy="39" level="32767"/>
    <cacheField name="[Dengue].[Dengue_Result].[Dengue_Result]" caption="Dengue_Result" numFmtId="0" hierarchy="14" level="1">
      <sharedItems containsSemiMixedTypes="0" containsNonDate="0" containsString="0"/>
    </cacheField>
  </cacheFields>
  <cacheHierarchies count="42">
    <cacheHierarchy uniqueName="[Dengue].[Gender]" caption="Gender" attribute="1" defaultMemberUniqueName="[Dengue].[Gender].[All]" allUniqueName="[Dengue].[Gender].[All]" dimensionUniqueName="[Dengue]" displayFolder="" count="0"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2" memberValueDatatype="130" unbalanced="0"/>
    <cacheHierarchy uniqueName="[Dengue].[AreaType]" caption="AreaType" attribute="1" defaultMemberUniqueName="[Dengue].[AreaType].[All]" allUniqueName="[Dengue].[AreaType].[All]" dimensionUniqueName="[Dengue]" displayFolder="" count="0" memberValueDatatype="130" unbalanced="0"/>
    <cacheHierarchy uniqueName="[Dengue].[HouseType]" caption="HouseType" attribute="1" defaultMemberUniqueName="[Dengue].[HouseType].[All]" allUniqueName="[Dengue].[HouseType].[All]" dimensionUniqueName="[Dengue]" displayFolder="" count="0" memberValueDatatype="130" unbalanced="0"/>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0" memberValueDatatype="130" unbalanced="0"/>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0" memberValueDatatype="130" unbalanced="0"/>
    <cacheHierarchy uniqueName="[Dengue].[Non_Structural_Protein_Result]" caption="Non_Structural_Protein_Result" attribute="1" defaultMemberUniqueName="[Dengue].[Non_Structural_Protein_Result].[All]" allUniqueName="[Dengue].[Non_Structural_Protein_Result].[All]" dimensionUniqueName="[Dengue]" displayFolder="" count="2" memberValueDatatype="130" unbalanced="0">
      <fieldsUsage count="2">
        <fieldUsage x="-1"/>
        <fieldUsage x="1"/>
      </fieldsUsage>
    </cacheHierarchy>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3"/>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8.558922569442" createdVersion="5" refreshedVersion="8" minRefreshableVersion="3" recordCount="0" supportSubquery="1" supportAdvancedDrill="1" xr:uid="{0A355868-A7B8-441C-9167-BE59C14B0F9D}">
  <cacheSource type="external" connectionId="2"/>
  <cacheFields count="5">
    <cacheField name="[Dengue].[Dengue_Result].[Dengue_Result]" caption="Dengue_Result" numFmtId="0" hierarchy="14" level="1">
      <sharedItems containsSemiMixedTypes="0" containsNonDate="0" containsString="0"/>
    </cacheField>
    <cacheField name="[Dengue].[AreaType].[AreaType]" caption="AreaType" numFmtId="0" hierarchy="6" level="1">
      <sharedItems containsSemiMixedTypes="0" containsNonDate="0" containsString="0"/>
    </cacheField>
    <cacheField name="[Dengue].[HouseType].[HouseType]" caption="HouseType" numFmtId="0" hierarchy="7" level="1">
      <sharedItems count="3">
        <s v="Building"/>
        <s v="Other"/>
        <s v="Tinshed"/>
      </sharedItems>
    </cacheField>
    <cacheField name="[Measures].[Count of HouseType]" caption="Count of HouseType" numFmtId="0" hierarchy="38" level="32767"/>
    <cacheField name="Dummy0" numFmtId="0" hierarchy="42" level="32767">
      <extLst>
        <ext xmlns:x14="http://schemas.microsoft.com/office/spreadsheetml/2009/9/main" uri="{63CAB8AC-B538-458d-9737-405883B0398D}">
          <x14:cacheField ignore="1"/>
        </ext>
      </extLst>
    </cacheField>
  </cacheFields>
  <cacheHierarchies count="43">
    <cacheHierarchy uniqueName="[Dengue].[Gender]" caption="Gender" attribute="1" defaultMemberUniqueName="[Dengue].[Gender].[All]" allUniqueName="[Dengue].[Gender].[All]" dimensionUniqueName="[Dengue]" displayFolder="" count="0"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0" memberValueDatatype="130" unbalanced="0"/>
    <cacheHierarchy uniqueName="[Dengue].[AreaType]" caption="AreaType" attribute="1" defaultMemberUniqueName="[Dengue].[AreaType].[All]" allUniqueName="[Dengue].[AreaType].[All]" dimensionUniqueName="[Dengue]" displayFolder="" count="2" memberValueDatatype="130" unbalanced="0">
      <fieldsUsage count="2">
        <fieldUsage x="-1"/>
        <fieldUsage x="1"/>
      </fieldsUsage>
    </cacheHierarchy>
    <cacheHierarchy uniqueName="[Dengue].[HouseType]" caption="HouseType" attribute="1" defaultMemberUniqueName="[Dengue].[HouseType].[All]" allUniqueName="[Dengue].[HouseType].[All]" dimensionUniqueName="[Dengue]" displayFolder="" count="2" memberValueDatatype="130" unbalanced="0">
      <fieldsUsage count="2">
        <fieldUsage x="-1"/>
        <fieldUsage x="2"/>
      </fieldsUsage>
    </cacheHierarchy>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0" memberValueDatatype="130" unbalanced="0"/>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0" memberValueDatatype="130" unbalanced="0"/>
    <cacheHierarchy uniqueName="[Dengue].[Non_Structural_Protein_Result]" caption="Non_Structural_Protein_Result" attribute="1" defaultMemberUniqueName="[Dengue].[Non_Structural_Protein_Result].[All]" allUniqueName="[Dengue].[Non_Structural_Protein_Result].[All]" dimensionUniqueName="[Dengue]" displayFolder="" count="0" memberValueDatatype="130" unbalanced="0"/>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0"/>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hidden="1">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oneField="1" hidden="1">
      <fieldsUsage count="1">
        <fieldUsage x="3"/>
      </fieldsUsage>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y uniqueName="Dummy0" caption="Gender" measure="1" count="0">
      <extLst>
        <ext xmlns:x14="http://schemas.microsoft.com/office/spreadsheetml/2009/9/main" uri="{8CF416AD-EC4C-4aba-99F5-12A058AE0983}">
          <x14:cacheHierarchy ignore="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8.558923379627" createdVersion="5" refreshedVersion="8" minRefreshableVersion="3" recordCount="0" supportSubquery="1" supportAdvancedDrill="1" xr:uid="{789F6EB7-6CF6-4E24-B200-B9FAEB292525}">
  <cacheSource type="external" connectionId="2"/>
  <cacheFields count="4">
    <cacheField name="[Measures].[Count of Gender]" caption="Count of Gender" numFmtId="0" hierarchy="32" level="32767"/>
    <cacheField name="[Dengue].[Gender].[Gender]" caption="Gender" numFmtId="0" level="1">
      <sharedItems count="2">
        <s v="Female"/>
        <s v="Male"/>
      </sharedItems>
    </cacheField>
    <cacheField name="[Dengue].[Dengue_Result].[Dengue_Result]" caption="Dengue_Result" numFmtId="0" hierarchy="14" level="1">
      <sharedItems containsSemiMixedTypes="0" containsNonDate="0" containsString="0"/>
    </cacheField>
    <cacheField name="Dummy0" numFmtId="0" hierarchy="42" level="32767">
      <extLst>
        <ext xmlns:x14="http://schemas.microsoft.com/office/spreadsheetml/2009/9/main" uri="{63CAB8AC-B538-458d-9737-405883B0398D}">
          <x14:cacheField ignore="1"/>
        </ext>
      </extLst>
    </cacheField>
  </cacheFields>
  <cacheHierarchies count="43">
    <cacheHierarchy uniqueName="[Dengue].[Gender]" caption="Gender" attribute="1" defaultMemberUniqueName="[Dengue].[Gender].[All]" allUniqueName="[Dengue].[Gender].[All]" dimensionUniqueName="[Dengue]" displayFolder="" count="2" memberValueDatatype="130" unbalanced="0">
      <fieldsUsage count="2">
        <fieldUsage x="-1"/>
        <fieldUsage x="1"/>
      </fieldsUsage>
    </cacheHierarchy>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2" memberValueDatatype="130" unbalanced="0"/>
    <cacheHierarchy uniqueName="[Dengue].[AreaType]" caption="AreaType" attribute="1" defaultMemberUniqueName="[Dengue].[AreaType].[All]" allUniqueName="[Dengue].[AreaType].[All]" dimensionUniqueName="[Dengue]" displayFolder="" count="0" memberValueDatatype="130" unbalanced="0"/>
    <cacheHierarchy uniqueName="[Dengue].[HouseType]" caption="HouseType" attribute="1" defaultMemberUniqueName="[Dengue].[HouseType].[All]" allUniqueName="[Dengue].[HouseType].[All]" dimensionUniqueName="[Dengue]" displayFolder="" count="0" memberValueDatatype="130" unbalanced="0"/>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0" memberValueDatatype="130" unbalanced="0"/>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0" memberValueDatatype="130" unbalanced="0"/>
    <cacheHierarchy uniqueName="[Dengue].[Non_Structural_Protein_Result]" caption="Non_Structural_Protein_Result" attribute="1" defaultMemberUniqueName="[Dengue].[Non_Structural_Protein_Result].[All]" allUniqueName="[Dengue].[Non_Structural_Protein_Result].[All]" dimensionUniqueName="[Dengue]" displayFolder="" count="0" memberValueDatatype="130" unbalanced="0"/>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2"/>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hidden="1">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y uniqueName="Dummy0" caption="Gender" measure="1" count="0">
      <extLst>
        <ext xmlns:x14="http://schemas.microsoft.com/office/spreadsheetml/2009/9/main" uri="{8CF416AD-EC4C-4aba-99F5-12A058AE0983}">
          <x14:cacheHierarchy ignore="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8.558923958335" createdVersion="5" refreshedVersion="8" minRefreshableVersion="3" recordCount="0" supportSubquery="1" supportAdvancedDrill="1" xr:uid="{EBB9AEA6-0D80-49DD-9516-66962082A061}">
  <cacheSource type="external" connectionId="2"/>
  <cacheFields count="4">
    <cacheField name="[Measures].[Count of Dengue_Result]" caption="Count of Dengue_Result" numFmtId="0" hierarchy="35" level="32767"/>
    <cacheField name="[Dengue].[Immunoglobulin_G_Result].[Immunoglobulin_G_Result]" caption="Immunoglobulin_G_Result" numFmtId="0" hierarchy="11" level="1">
      <sharedItems count="2">
        <s v="Recently Infected"/>
        <s v="Not Recently Infected" u="1"/>
      </sharedItems>
    </cacheField>
    <cacheField name="[Dengue].[Dengue_Result].[Dengue_Result]" caption="Dengue_Result" numFmtId="0" hierarchy="14" level="1">
      <sharedItems containsSemiMixedTypes="0" containsNonDate="0" containsString="0"/>
    </cacheField>
    <cacheField name="Dummy0" numFmtId="0" hierarchy="42" level="32767">
      <extLst>
        <ext xmlns:x14="http://schemas.microsoft.com/office/spreadsheetml/2009/9/main" uri="{63CAB8AC-B538-458d-9737-405883B0398D}">
          <x14:cacheField ignore="1"/>
        </ext>
      </extLst>
    </cacheField>
  </cacheFields>
  <cacheHierarchies count="43">
    <cacheHierarchy uniqueName="[Dengue].[Gender]" caption="Gender" attribute="1" defaultMemberUniqueName="[Dengue].[Gender].[All]" allUniqueName="[Dengue].[Gender].[All]" dimensionUniqueName="[Dengue]" displayFolder="" count="0"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2" memberValueDatatype="130" unbalanced="0"/>
    <cacheHierarchy uniqueName="[Dengue].[AreaType]" caption="AreaType" attribute="1" defaultMemberUniqueName="[Dengue].[AreaType].[All]" allUniqueName="[Dengue].[AreaType].[All]" dimensionUniqueName="[Dengue]" displayFolder="" count="0" memberValueDatatype="130" unbalanced="0"/>
    <cacheHierarchy uniqueName="[Dengue].[HouseType]" caption="HouseType" attribute="1" defaultMemberUniqueName="[Dengue].[HouseType].[All]" allUniqueName="[Dengue].[HouseType].[All]" dimensionUniqueName="[Dengue]" displayFolder="" count="0" memberValueDatatype="130" unbalanced="0"/>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0" memberValueDatatype="130" unbalanced="0"/>
    <cacheHierarchy uniqueName="[Dengue].[Immunoglobulin_G_Result]" caption="Immunoglobulin_G_Result" attribute="1" defaultMemberUniqueName="[Dengue].[Immunoglobulin_G_Result].[All]" allUniqueName="[Dengue].[Immunoglobulin_G_Result].[All]" dimensionUniqueName="[Dengue]" displayFolder="" count="2" memberValueDatatype="130" unbalanced="0">
      <fieldsUsage count="2">
        <fieldUsage x="-1"/>
        <fieldUsage x="1"/>
      </fieldsUsage>
    </cacheHierarchy>
    <cacheHierarchy uniqueName="[Dengue].[Immunoglobulin_M_Result]" caption="Immunoglobulin_M_Result" attribute="1" defaultMemberUniqueName="[Dengue].[Immunoglobulin_M_Result].[All]" allUniqueName="[Dengue].[Immunoglobulin_M_Result].[All]" dimensionUniqueName="[Dengue]" displayFolder="" count="0" memberValueDatatype="130" unbalanced="0"/>
    <cacheHierarchy uniqueName="[Dengue].[Non_Structural_Protein_Result]" caption="Non_Structural_Protein_Result" attribute="1" defaultMemberUniqueName="[Dengue].[Non_Structural_Protein_Result].[All]" allUniqueName="[Dengue].[Non_Structural_Protein_Result].[All]" dimensionUniqueName="[Dengue]" displayFolder="" count="0" memberValueDatatype="130" unbalanced="0"/>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2"/>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y uniqueName="Dummy0" caption="Gender" measure="1" count="0">
      <extLst>
        <ext xmlns:x14="http://schemas.microsoft.com/office/spreadsheetml/2009/9/main" uri="{8CF416AD-EC4C-4aba-99F5-12A058AE0983}">
          <x14:cacheHierarchy ignore="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8.558924537036" createdVersion="5" refreshedVersion="8" minRefreshableVersion="3" recordCount="0" supportSubquery="1" supportAdvancedDrill="1" xr:uid="{B1B5F088-36B0-4BB1-95B8-E7FD80E2DDF9}">
  <cacheSource type="external" connectionId="2"/>
  <cacheFields count="4">
    <cacheField name="[Measures].[Count of Dengue_Result]" caption="Count of Dengue_Result" numFmtId="0" hierarchy="35" level="32767"/>
    <cacheField name="[Dengue].[Immunoglobulin_M_Result].[Immunoglobulin_M_Result]" caption="Immunoglobulin_M_Result" numFmtId="0" hierarchy="12" level="1">
      <sharedItems count="2">
        <s v="Not Previously Infected"/>
        <s v="Previously Infected"/>
      </sharedItems>
    </cacheField>
    <cacheField name="[Dengue].[Dengue_Result].[Dengue_Result]" caption="Dengue_Result" numFmtId="0" hierarchy="14" level="1">
      <sharedItems containsSemiMixedTypes="0" containsNonDate="0" containsString="0"/>
    </cacheField>
    <cacheField name="Dummy0" numFmtId="0" hierarchy="42" level="32767">
      <extLst>
        <ext xmlns:x14="http://schemas.microsoft.com/office/spreadsheetml/2009/9/main" uri="{63CAB8AC-B538-458d-9737-405883B0398D}">
          <x14:cacheField ignore="1"/>
        </ext>
      </extLst>
    </cacheField>
  </cacheFields>
  <cacheHierarchies count="43">
    <cacheHierarchy uniqueName="[Dengue].[Gender]" caption="Gender" attribute="1" defaultMemberUniqueName="[Dengue].[Gender].[All]" allUniqueName="[Dengue].[Gender].[All]" dimensionUniqueName="[Dengue]" displayFolder="" count="0"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2" memberValueDatatype="130" unbalanced="0"/>
    <cacheHierarchy uniqueName="[Dengue].[AreaType]" caption="AreaType" attribute="1" defaultMemberUniqueName="[Dengue].[AreaType].[All]" allUniqueName="[Dengue].[AreaType].[All]" dimensionUniqueName="[Dengue]" displayFolder="" count="0" memberValueDatatype="130" unbalanced="0"/>
    <cacheHierarchy uniqueName="[Dengue].[HouseType]" caption="HouseType" attribute="1" defaultMemberUniqueName="[Dengue].[HouseType].[All]" allUniqueName="[Dengue].[HouseType].[All]" dimensionUniqueName="[Dengue]" displayFolder="" count="0" memberValueDatatype="130" unbalanced="0"/>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0" memberValueDatatype="130" unbalanced="0"/>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2" memberValueDatatype="130" unbalanced="0">
      <fieldsUsage count="2">
        <fieldUsage x="-1"/>
        <fieldUsage x="1"/>
      </fieldsUsage>
    </cacheHierarchy>
    <cacheHierarchy uniqueName="[Dengue].[Non_Structural_Protein_Result]" caption="Non_Structural_Protein_Result" attribute="1" defaultMemberUniqueName="[Dengue].[Non_Structural_Protein_Result].[All]" allUniqueName="[Dengue].[Non_Structural_Protein_Result].[All]" dimensionUniqueName="[Dengue]" displayFolder="" count="0" memberValueDatatype="130" unbalanced="0"/>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2"/>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y uniqueName="Dummy0" caption="Gender" measure="1" count="0">
      <extLst>
        <ext xmlns:x14="http://schemas.microsoft.com/office/spreadsheetml/2009/9/main" uri="{8CF416AD-EC4C-4aba-99F5-12A058AE0983}">
          <x14:cacheHierarchy ignore="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8.558925115743" createdVersion="5" refreshedVersion="8" minRefreshableVersion="3" recordCount="0" supportSubquery="1" supportAdvancedDrill="1" xr:uid="{9B9A436A-027B-46E7-9782-FAEBEB311ACF}">
  <cacheSource type="external" connectionId="2"/>
  <cacheFields count="4">
    <cacheField name="[Measures].[Count of Age_Group]" caption="Count of Age_Group" numFmtId="0" hierarchy="31" level="32767"/>
    <cacheField name="[Dengue].[AreaType].[AreaType]" caption="AreaType" numFmtId="0" hierarchy="6" level="1">
      <sharedItems containsSemiMixedTypes="0" containsNonDate="0" containsString="0"/>
    </cacheField>
    <cacheField name="[Dengue].[Area].[Area]" caption="Area" numFmtId="0" hierarchy="5" level="1">
      <sharedItems count="36">
        <s v="Adabor"/>
        <s v="Badda"/>
        <s v="Banasree"/>
        <s v="Bangshal"/>
        <s v="Biman Bandar"/>
        <s v="Bosila"/>
        <s v="Cantonment"/>
        <s v="Chawkbazar"/>
        <s v="Demra"/>
        <s v="Dhanmondi"/>
        <s v="Gendaria"/>
        <s v="Gulshan"/>
        <s v="Hazaribagh"/>
        <s v="Jatrabari"/>
        <s v="Kadamtali"/>
        <s v="Kafrul"/>
        <s v="Kalabagan"/>
        <s v="Kamrangirchar"/>
        <s v="Keraniganj"/>
        <s v="Khilgaon"/>
        <s v="Khilkhet"/>
        <s v="Lalbagh"/>
        <s v="Mirpur"/>
        <s v="Mohammadpur"/>
        <s v="Motijheel"/>
        <s v="New Market"/>
        <s v="Pallabi"/>
        <s v="Paltan"/>
        <s v="Ramna"/>
        <s v="Rampura"/>
        <s v="Sabujbagh"/>
        <s v="Shahbagh"/>
        <s v="Sher-e-Bangla Nagar"/>
        <s v="Shyampur"/>
        <s v="Sutrapur"/>
        <s v="Tejgaon"/>
      </sharedItems>
    </cacheField>
    <cacheField name="[Dengue].[Dengue_Result].[Dengue_Result]" caption="Dengue_Result" numFmtId="0" hierarchy="14" level="1">
      <sharedItems containsSemiMixedTypes="0" containsNonDate="0" containsString="0"/>
    </cacheField>
  </cacheFields>
  <cacheHierarchies count="42">
    <cacheHierarchy uniqueName="[Dengue].[Gender]" caption="Gender" attribute="1" defaultMemberUniqueName="[Dengue].[Gender].[All]" allUniqueName="[Dengue].[Gender].[All]" dimensionUniqueName="[Dengue]" displayFolder="" count="0"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2" memberValueDatatype="130" unbalanced="0">
      <fieldsUsage count="2">
        <fieldUsage x="-1"/>
        <fieldUsage x="2"/>
      </fieldsUsage>
    </cacheHierarchy>
    <cacheHierarchy uniqueName="[Dengue].[AreaType]" caption="AreaType" attribute="1" defaultMemberUniqueName="[Dengue].[AreaType].[All]" allUniqueName="[Dengue].[AreaType].[All]" dimensionUniqueName="[Dengue]" displayFolder="" count="2" memberValueDatatype="130" unbalanced="0">
      <fieldsUsage count="2">
        <fieldUsage x="-1"/>
        <fieldUsage x="1"/>
      </fieldsUsage>
    </cacheHierarchy>
    <cacheHierarchy uniqueName="[Dengue].[HouseType]" caption="HouseType" attribute="1" defaultMemberUniqueName="[Dengue].[HouseType].[All]" allUniqueName="[Dengue].[HouseType].[All]" dimensionUniqueName="[Dengue]" displayFolder="" count="0" memberValueDatatype="130" unbalanced="0"/>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0" memberValueDatatype="130" unbalanced="0"/>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0" memberValueDatatype="130" unbalanced="0"/>
    <cacheHierarchy uniqueName="[Dengue].[Non_Structural_Protein_Result]" caption="Non_Structural_Protein_Result" attribute="1" defaultMemberUniqueName="[Dengue].[Non_Structural_Protein_Result].[All]" allUniqueName="[Dengue].[Non_Structural_Protein_Result].[All]" dimensionUniqueName="[Dengue]" displayFolder="" count="0" memberValueDatatype="130" unbalanced="0"/>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3"/>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hidden="1">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8.558925694444" createdVersion="5" refreshedVersion="8" minRefreshableVersion="3" recordCount="0" supportSubquery="1" supportAdvancedDrill="1" xr:uid="{8B6050CF-45A9-47B3-86E8-EE309D7540BC}">
  <cacheSource type="external" connectionId="2"/>
  <cacheFields count="5">
    <cacheField name="[Measures].[Count of Dengue_Result]" caption="Count of Dengue_Result" numFmtId="0" hierarchy="35" level="32767"/>
    <cacheField name="[Dengue].[Age_Group].[Age_Group]" caption="Age_Group" numFmtId="0" hierarchy="10" level="1">
      <sharedItems count="2">
        <s v="Adults"/>
        <s v="Middle Aged"/>
      </sharedItems>
    </cacheField>
    <cacheField name="[Dengue].[AreaType].[AreaType]" caption="AreaType" numFmtId="0" hierarchy="6" level="1">
      <sharedItems count="2">
        <s v="Developed"/>
        <s v="Undeveloped"/>
      </sharedItems>
    </cacheField>
    <cacheField name="[Dengue].[HouseType].[HouseType]" caption="HouseType" numFmtId="0" hierarchy="7" level="1">
      <sharedItems count="3">
        <s v="Building"/>
        <s v="Other"/>
        <s v="Tinshed"/>
      </sharedItems>
    </cacheField>
    <cacheField name="[Dengue].[Dengue_Result].[Dengue_Result]" caption="Dengue_Result" numFmtId="0" hierarchy="14" level="1">
      <sharedItems containsSemiMixedTypes="0" containsNonDate="0" containsString="0"/>
    </cacheField>
  </cacheFields>
  <cacheHierarchies count="42">
    <cacheHierarchy uniqueName="[Dengue].[Gender]" caption="Gender" attribute="1" defaultMemberUniqueName="[Dengue].[Gender].[All]" allUniqueName="[Dengue].[Gender].[All]" dimensionUniqueName="[Dengue]" displayFolder="" count="0"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2" memberValueDatatype="130" unbalanced="0"/>
    <cacheHierarchy uniqueName="[Dengue].[AreaType]" caption="AreaType" attribute="1" defaultMemberUniqueName="[Dengue].[AreaType].[All]" allUniqueName="[Dengue].[AreaType].[All]" dimensionUniqueName="[Dengue]" displayFolder="" count="2" memberValueDatatype="130" unbalanced="0">
      <fieldsUsage count="2">
        <fieldUsage x="-1"/>
        <fieldUsage x="2"/>
      </fieldsUsage>
    </cacheHierarchy>
    <cacheHierarchy uniqueName="[Dengue].[HouseType]" caption="HouseType" attribute="1" defaultMemberUniqueName="[Dengue].[HouseType].[All]" allUniqueName="[Dengue].[HouseType].[All]" dimensionUniqueName="[Dengue]" displayFolder="" count="2" memberValueDatatype="130" unbalanced="0">
      <fieldsUsage count="2">
        <fieldUsage x="-1"/>
        <fieldUsage x="3"/>
      </fieldsUsage>
    </cacheHierarchy>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2" memberValueDatatype="130" unbalanced="0">
      <fieldsUsage count="2">
        <fieldUsage x="-1"/>
        <fieldUsage x="1"/>
      </fieldsUsage>
    </cacheHierarchy>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0" memberValueDatatype="130" unbalanced="0"/>
    <cacheHierarchy uniqueName="[Dengue].[Non_Structural_Protein_Result]" caption="Non_Structural_Protein_Result" attribute="1" defaultMemberUniqueName="[Dengue].[Non_Structural_Protein_Result].[All]" allUniqueName="[Dengue].[Non_Structural_Protein_Result].[All]" dimensionUniqueName="[Dengue]" displayFolder="" count="0" memberValueDatatype="130" unbalanced="0"/>
    <cacheHierarchy uniqueName="[Dengue].[Dengue_Result]" caption="Dengue_Result" attribute="1" defaultMemberUniqueName="[Dengue].[Dengue_Result].[All]" allUniqueName="[Dengue].[Dengue_Result].[All]" dimensionUniqueName="[Dengue]" displayFolder="" count="2" memberValueDatatype="130" unbalanced="0">
      <fieldsUsage count="2">
        <fieldUsage x="-1"/>
        <fieldUsage x="4"/>
      </fieldsUsage>
    </cacheHierarchy>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y uniqueName="[Measures].[Sum of Sales]" caption="Sum of Sales" measure="1" displayFolder="" measureGroup="Table12" count="0" hidden="1">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hidden="1">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hidden="1">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hidden="1">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hidden="1">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hidden="1">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hidden="1">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hidden="1">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hidden="1">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hidden="1">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Dengue" count="0" hidden="1">
      <extLst>
        <ext xmlns:x15="http://schemas.microsoft.com/office/spreadsheetml/2010/11/main" uri="{B97F6D7D-B522-45F9-BDA1-12C45D357490}">
          <x15:cacheHierarchy aggregatedColumn="1"/>
        </ext>
      </extLst>
    </cacheHierarchy>
  </cacheHierarchies>
  <kpis count="0"/>
  <dimensions count="3">
    <dimension name="Dengue" uniqueName="[Dengue]" caption="Dengue"/>
    <dimension measure="1" name="Measures" uniqueName="[Measures]" caption="Measures"/>
    <dimension name="Table12" uniqueName="[Table12]" caption="Table12"/>
  </dimensions>
  <measureGroups count="2">
    <measureGroup name="Dengue" caption="Dengue"/>
    <measureGroup name="Table12" caption="Table1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7.319817013886" createdVersion="3" refreshedVersion="8" minRefreshableVersion="3" recordCount="0" supportSubquery="1" supportAdvancedDrill="1" xr:uid="{DA50E38B-95A5-48E0-9254-7EA26FC9635A}">
  <cacheSource type="external" connectionId="2">
    <extLst>
      <ext xmlns:x14="http://schemas.microsoft.com/office/spreadsheetml/2009/9/main" uri="{F057638F-6D5F-4e77-A914-E7F072B9BCA8}">
        <x14:sourceConnection name="ThisWorkbookDataModel"/>
      </ext>
    </extLst>
  </cacheSource>
  <cacheFields count="0"/>
  <cacheHierarchies count="41">
    <cacheHierarchy uniqueName="[Dengue].[Gender]" caption="Gender" attribute="1" defaultMemberUniqueName="[Dengue].[Gender].[All]" allUniqueName="[Dengue].[Gender].[All]" dimensionUniqueName="[Dengue]" displayFolder="" count="0"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0" memberValueDatatype="130" unbalanced="0"/>
    <cacheHierarchy uniqueName="[Dengue].[AreaType]" caption="AreaType" attribute="1" defaultMemberUniqueName="[Dengue].[AreaType].[All]" allUniqueName="[Dengue].[AreaType].[All]" dimensionUniqueName="[Dengue]" displayFolder="" count="0" memberValueDatatype="130" unbalanced="0"/>
    <cacheHierarchy uniqueName="[Dengue].[HouseType]" caption="HouseType" attribute="1" defaultMemberUniqueName="[Dengue].[HouseType].[All]" allUniqueName="[Dengue].[HouseType].[All]" dimensionUniqueName="[Dengue]" displayFolder="" count="0" memberValueDatatype="130" unbalanced="0"/>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0" memberValueDatatype="130" unbalanced="0"/>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0" memberValueDatatype="130" unbalanced="0"/>
    <cacheHierarchy uniqueName="[Dengue].[Non_Structural_Protein_Result]" caption="Non_Structural_Protein_Result" attribute="1" defaultMemberUniqueName="[Dengue].[Non_Structural_Protein_Result].[All]" allUniqueName="[Dengue].[Non_Structural_Protein_Result].[All]" dimensionUniqueName="[Dengue]" displayFolder="" count="0" memberValueDatatype="130" unbalanced="0"/>
    <cacheHierarchy uniqueName="[Dengue].[Dengue_Result]" caption="Dengue_Result" attribute="1" defaultMemberUniqueName="[Dengue].[Dengue_Result].[All]" allUniqueName="[Dengue].[Dengue_Result].[All]" dimensionUniqueName="[Dengue]" displayFolder="" count="2" memberValueDatatype="130" unbalanced="0"/>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Sum of Sales]" caption="Sum of Sales" measure="1" displayFolder="" measureGroup="Table12" count="0">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extLst>
        <ext xmlns:x15="http://schemas.microsoft.com/office/spreadsheetml/2010/11/main" uri="{B97F6D7D-B522-45F9-BDA1-12C45D357490}">
          <x15:cacheHierarchy aggregatedColumn="1"/>
        </ext>
      </extLst>
    </cacheHierarchy>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20860403"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Morshed Bin Islam" refreshedDate="45817.448301736113" createdVersion="3" refreshedVersion="8" minRefreshableVersion="3" recordCount="0" supportSubquery="1" supportAdvancedDrill="1" xr:uid="{D183F0D5-8DF5-4E84-8EB0-E18D726D2B5E}">
  <cacheSource type="external" connectionId="2">
    <extLst>
      <ext xmlns:x14="http://schemas.microsoft.com/office/spreadsheetml/2009/9/main" uri="{F057638F-6D5F-4e77-A914-E7F072B9BCA8}">
        <x14:sourceConnection name="ThisWorkbookDataModel"/>
      </ext>
    </extLst>
  </cacheSource>
  <cacheFields count="0"/>
  <cacheHierarchies count="41">
    <cacheHierarchy uniqueName="[Dengue].[Gender]" caption="Gender" attribute="1" defaultMemberUniqueName="[Dengue].[Gender].[All]" allUniqueName="[Dengue].[Gender].[All]" dimensionUniqueName="[Dengue]" displayFolder="" count="2" memberValueDatatype="130" unbalanced="0"/>
    <cacheHierarchy uniqueName="[Dengue].[Age]" caption="Age" attribute="1" defaultMemberUniqueName="[Dengue].[Age].[All]" allUniqueName="[Dengue].[Age].[All]" dimensionUniqueName="[Dengue]" displayFolder="" count="0" memberValueDatatype="20" unbalanced="0"/>
    <cacheHierarchy uniqueName="[Dengue].[Non_Structural_Protein_1]" caption="Non_Structural_Protein_1" attribute="1" defaultMemberUniqueName="[Dengue].[Non_Structural_Protein_1].[All]" allUniqueName="[Dengue].[Non_Structural_Protein_1].[All]" dimensionUniqueName="[Dengue]" displayFolder="" count="0" memberValueDatatype="20" unbalanced="0"/>
    <cacheHierarchy uniqueName="[Dengue].[Immunoglobulin_G]" caption="Immunoglobulin_G" attribute="1" defaultMemberUniqueName="[Dengue].[Immunoglobulin_G].[All]" allUniqueName="[Dengue].[Immunoglobulin_G].[All]" dimensionUniqueName="[Dengue]" displayFolder="" count="0" memberValueDatatype="20" unbalanced="0"/>
    <cacheHierarchy uniqueName="[Dengue].[Immunoglobulin_M]" caption="Immunoglobulin_M" attribute="1" defaultMemberUniqueName="[Dengue].[Immunoglobulin_M].[All]" allUniqueName="[Dengue].[Immunoglobulin_M].[All]" dimensionUniqueName="[Dengue]" displayFolder="" count="0" memberValueDatatype="20" unbalanced="0"/>
    <cacheHierarchy uniqueName="[Dengue].[Area]" caption="Area" attribute="1" defaultMemberUniqueName="[Dengue].[Area].[All]" allUniqueName="[Dengue].[Area].[All]" dimensionUniqueName="[Dengue]" displayFolder="" count="2" memberValueDatatype="130" unbalanced="0"/>
    <cacheHierarchy uniqueName="[Dengue].[AreaType]" caption="AreaType" attribute="1" defaultMemberUniqueName="[Dengue].[AreaType].[All]" allUniqueName="[Dengue].[AreaType].[All]" dimensionUniqueName="[Dengue]" displayFolder="" count="2" memberValueDatatype="130" unbalanced="0"/>
    <cacheHierarchy uniqueName="[Dengue].[HouseType]" caption="HouseType" attribute="1" defaultMemberUniqueName="[Dengue].[HouseType].[All]" allUniqueName="[Dengue].[HouseType].[All]" dimensionUniqueName="[Dengue]" displayFolder="" count="0" memberValueDatatype="130" unbalanced="0"/>
    <cacheHierarchy uniqueName="[Dengue].[District]" caption="District" attribute="1" defaultMemberUniqueName="[Dengue].[District].[All]" allUniqueName="[Dengue].[District].[All]" dimensionUniqueName="[Dengue]" displayFolder="" count="0" memberValueDatatype="130" unbalanced="0"/>
    <cacheHierarchy uniqueName="[Dengue].[Outcome]" caption="Outcome" attribute="1" defaultMemberUniqueName="[Dengue].[Outcome].[All]" allUniqueName="[Dengue].[Outcome].[All]" dimensionUniqueName="[Dengue]" displayFolder="" count="0" memberValueDatatype="20" unbalanced="0"/>
    <cacheHierarchy uniqueName="[Dengue].[Age_Group]" caption="Age_Group" attribute="1" defaultMemberUniqueName="[Dengue].[Age_Group].[All]" allUniqueName="[Dengue].[Age_Group].[All]" dimensionUniqueName="[Dengue]" displayFolder="" count="0" memberValueDatatype="130" unbalanced="0"/>
    <cacheHierarchy uniqueName="[Dengue].[Immunoglobulin_G_Result]" caption="Immunoglobulin_G_Result" attribute="1" defaultMemberUniqueName="[Dengue].[Immunoglobulin_G_Result].[All]" allUniqueName="[Dengue].[Immunoglobulin_G_Result].[All]" dimensionUniqueName="[Dengue]" displayFolder="" count="0" memberValueDatatype="130" unbalanced="0"/>
    <cacheHierarchy uniqueName="[Dengue].[Immunoglobulin_M_Result]" caption="Immunoglobulin_M_Result" attribute="1" defaultMemberUniqueName="[Dengue].[Immunoglobulin_M_Result].[All]" allUniqueName="[Dengue].[Immunoglobulin_M_Result].[All]" dimensionUniqueName="[Dengue]" displayFolder="" count="0" memberValueDatatype="130" unbalanced="0"/>
    <cacheHierarchy uniqueName="[Dengue].[Non_Structural_Protein_Result]" caption="Non_Structural_Protein_Result" attribute="1" defaultMemberUniqueName="[Dengue].[Non_Structural_Protein_Result].[All]" allUniqueName="[Dengue].[Non_Structural_Protein_Result].[All]" dimensionUniqueName="[Dengue]" displayFolder="" count="0" memberValueDatatype="130" unbalanced="0"/>
    <cacheHierarchy uniqueName="[Dengue].[Dengue_Result]" caption="Dengue_Result" attribute="1" defaultMemberUniqueName="[Dengue].[Dengue_Result].[All]" allUniqueName="[Dengue].[Dengue_Result].[All]" dimensionUniqueName="[Dengue]" displayFolder="" count="0" memberValueDatatype="130" unbalanced="0"/>
    <cacheHierarchy uniqueName="[Table12].[Areas]" caption="Areas" attribute="1" defaultMemberUniqueName="[Table12].[Areas].[All]" allUniqueName="[Table12].[Areas].[All]" dimensionUniqueName="[Table12]" displayFolder="" count="0" memberValueDatatype="130" unbalanced="0"/>
    <cacheHierarchy uniqueName="[Table12].[Sales]" caption="Sales" attribute="1" defaultMemberUniqueName="[Table12].[Sales].[All]" allUniqueName="[Table12].[Sales].[All]" dimensionUniqueName="[Table12]" displayFolder="" count="0" memberValueDatatype="20" unbalanced="0"/>
    <cacheHierarchy uniqueName="[Measures].[Sum of Sales]" caption="Sum of Sales" measure="1" displayFolder="" measureGroup="Table12" count="0">
      <extLst>
        <ext xmlns:x15="http://schemas.microsoft.com/office/spreadsheetml/2010/11/main" uri="{B97F6D7D-B522-45F9-BDA1-12C45D357490}">
          <x15:cacheHierarchy aggregatedColumn="16"/>
        </ext>
      </extLst>
    </cacheHierarchy>
    <cacheHierarchy uniqueName="[Measures].[Count of Area]" caption="Count of Area" measure="1" displayFolder="" measureGroup="Dengue" count="0">
      <extLst>
        <ext xmlns:x15="http://schemas.microsoft.com/office/spreadsheetml/2010/11/main" uri="{B97F6D7D-B522-45F9-BDA1-12C45D357490}">
          <x15:cacheHierarchy aggregatedColumn="5"/>
        </ext>
      </extLst>
    </cacheHierarchy>
    <cacheHierarchy uniqueName="[Measures].[Sum of Immunoglobulin_M]" caption="Sum of Immunoglobulin_M" measure="1" displayFolder="" measureGroup="Dengue" count="0">
      <extLst>
        <ext xmlns:x15="http://schemas.microsoft.com/office/spreadsheetml/2010/11/main" uri="{B97F6D7D-B522-45F9-BDA1-12C45D357490}">
          <x15:cacheHierarchy aggregatedColumn="4"/>
        </ext>
      </extLst>
    </cacheHierarchy>
    <cacheHierarchy uniqueName="[Measures].[Sum of Outcome]" caption="Sum of Outcome" measure="1" displayFolder="" measureGroup="Dengue" count="0">
      <extLst>
        <ext xmlns:x15="http://schemas.microsoft.com/office/spreadsheetml/2010/11/main" uri="{B97F6D7D-B522-45F9-BDA1-12C45D357490}">
          <x15:cacheHierarchy aggregatedColumn="9"/>
        </ext>
      </extLst>
    </cacheHierarchy>
    <cacheHierarchy uniqueName="[Measures].[Count of Age_Group]" caption="Count of Age_Group" measure="1" displayFolder="" measureGroup="Dengue" count="0">
      <extLst>
        <ext xmlns:x15="http://schemas.microsoft.com/office/spreadsheetml/2010/11/main" uri="{B97F6D7D-B522-45F9-BDA1-12C45D357490}">
          <x15:cacheHierarchy aggregatedColumn="10"/>
        </ext>
      </extLst>
    </cacheHierarchy>
    <cacheHierarchy uniqueName="[Measures].[Count of Gender]" caption="Count of Gender" measure="1" displayFolder="" measureGroup="Dengue" count="0">
      <extLst>
        <ext xmlns:x15="http://schemas.microsoft.com/office/spreadsheetml/2010/11/main" uri="{B97F6D7D-B522-45F9-BDA1-12C45D357490}">
          <x15:cacheHierarchy aggregatedColumn="0"/>
        </ext>
      </extLst>
    </cacheHierarchy>
    <cacheHierarchy uniqueName="[Measures].[Sum of Non_Structural_Protein_1]" caption="Sum of Non_Structural_Protein_1" measure="1" displayFolder="" measureGroup="Dengue" count="0">
      <extLst>
        <ext xmlns:x15="http://schemas.microsoft.com/office/spreadsheetml/2010/11/main" uri="{B97F6D7D-B522-45F9-BDA1-12C45D357490}">
          <x15:cacheHierarchy aggregatedColumn="2"/>
        </ext>
      </extLst>
    </cacheHierarchy>
    <cacheHierarchy uniqueName="[Measures].[Sum of Immunoglobulin_G]" caption="Sum of Immunoglobulin_G" measure="1" displayFolder="" measureGroup="Dengue" count="0">
      <extLst>
        <ext xmlns:x15="http://schemas.microsoft.com/office/spreadsheetml/2010/11/main" uri="{B97F6D7D-B522-45F9-BDA1-12C45D357490}">
          <x15:cacheHierarchy aggregatedColumn="3"/>
        </ext>
      </extLst>
    </cacheHierarchy>
    <cacheHierarchy uniqueName="[Measures].[Count of Dengue_Result]" caption="Count of Dengue_Result" measure="1" displayFolder="" measureGroup="Dengue" count="0">
      <extLst>
        <ext xmlns:x15="http://schemas.microsoft.com/office/spreadsheetml/2010/11/main" uri="{B97F6D7D-B522-45F9-BDA1-12C45D357490}">
          <x15:cacheHierarchy aggregatedColumn="14"/>
        </ext>
      </extLst>
    </cacheHierarchy>
    <cacheHierarchy uniqueName="[Measures].[Count of Immunoglobulin_M_Result]" caption="Count of Immunoglobulin_M_Result" measure="1" displayFolder="" measureGroup="Dengue" count="0">
      <extLst>
        <ext xmlns:x15="http://schemas.microsoft.com/office/spreadsheetml/2010/11/main" uri="{B97F6D7D-B522-45F9-BDA1-12C45D357490}">
          <x15:cacheHierarchy aggregatedColumn="12"/>
        </ext>
      </extLst>
    </cacheHierarchy>
    <cacheHierarchy uniqueName="[Measures].[Count of AreaType]" caption="Count of AreaType" measure="1" displayFolder="" measureGroup="Dengue" count="0">
      <extLst>
        <ext xmlns:x15="http://schemas.microsoft.com/office/spreadsheetml/2010/11/main" uri="{B97F6D7D-B522-45F9-BDA1-12C45D357490}">
          <x15:cacheHierarchy aggregatedColumn="6"/>
        </ext>
      </extLst>
    </cacheHierarchy>
    <cacheHierarchy uniqueName="[Measures].[Count of HouseType]" caption="Count of HouseType" measure="1" displayFolder="" measureGroup="Dengue" count="0">
      <extLst>
        <ext xmlns:x15="http://schemas.microsoft.com/office/spreadsheetml/2010/11/main" uri="{B97F6D7D-B522-45F9-BDA1-12C45D357490}">
          <x15:cacheHierarchy aggregatedColumn="7"/>
        </ext>
      </extLst>
    </cacheHierarchy>
    <cacheHierarchy uniqueName="[Measures].[Count of Non_Structural_Protein_Result]" caption="Count of Non_Structural_Protein_Result" measure="1" displayFolder="" measureGroup="Dengue" count="0">
      <extLst>
        <ext xmlns:x15="http://schemas.microsoft.com/office/spreadsheetml/2010/11/main" uri="{B97F6D7D-B522-45F9-BDA1-12C45D357490}">
          <x15:cacheHierarchy aggregatedColumn="13"/>
        </ext>
      </extLst>
    </cacheHierarchy>
    <cacheHierarchy uniqueName="[Measures].[Sum of Age]" caption="Sum of Age" measure="1" displayFolder="" measureGroup="Dengue" count="0">
      <extLst>
        <ext xmlns:x15="http://schemas.microsoft.com/office/spreadsheetml/2010/11/main" uri="{B97F6D7D-B522-45F9-BDA1-12C45D357490}">
          <x15:cacheHierarchy aggregatedColumn="1"/>
        </ext>
      </extLst>
    </cacheHierarchy>
    <cacheHierarchy uniqueName="[Measures].[Number of Areas Surveyed]" caption="Number of Areas Surveyed" measure="1" displayFolder="" measureGroup="Dengue" count="0"/>
    <cacheHierarchy uniqueName="[Measures].[Total Population Size]" caption="Total Population Size" measure="1" displayFolder="" measureGroup="Dengue" count="0"/>
    <cacheHierarchy uniqueName="[Measures].[Number of Male]" caption="Number of Male" measure="1" displayFolder="" measureGroup="Dengue" count="0"/>
    <cacheHierarchy uniqueName="[Measures].[Number of Female]" caption="Number of Female" measure="1" displayFolder="" measureGroup="Dengue" count="0"/>
    <cacheHierarchy uniqueName="[Measures].[Average Age of Dengue Patients]" caption="Average Age of Dengue Patients" measure="1" displayFolder="" measureGroup="Dengue" count="0"/>
    <cacheHierarchy uniqueName="[Measures].[Total Infection]" caption="Total Infection" measure="1" displayFolder="" measureGroup="Dengue" count="0"/>
    <cacheHierarchy uniqueName="[Measures].[Infection Rate]" caption="Infection Rate" measure="1" displayFolder="" measureGroup="Dengue" count="0"/>
    <cacheHierarchy uniqueName="[Measures].[__XL_Count Table12]" caption="__XL_Count Table12" measure="1" displayFolder="" measureGroup="Table12" count="0" hidden="1"/>
    <cacheHierarchy uniqueName="[Measures].[__XL_Count Dengue]" caption="__XL_Count Dengue" measure="1" displayFolder="" measureGroup="Dengu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600912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020141-A254-48B5-AF44-9D0F92C0560B}" name="PivotTable2" cacheId="236" applyNumberFormats="0" applyBorderFormats="0" applyFontFormats="0" applyPatternFormats="0" applyAlignmentFormats="0" applyWidthHeightFormats="1" dataCaption="Values" tag="f0baeb98-e3f2-41a0-b919-c4cd95996bf7" updatedVersion="8" minRefreshableVersion="3" useAutoFormatting="1" subtotalHiddenItems="1" rowGrandTotals="0" colGrandTotals="0" itemPrintTitles="1" createdVersion="5" indent="0" outline="1" outlineData="1" multipleFieldFilters="0" chartFormat="58" rowHeaderCaption="Age Ranges">
  <location ref="J183:J184" firstHeaderRow="1" firstDataRow="1" firstDataCol="0"/>
  <pivotFields count="3">
    <pivotField allDrilled="1" subtotalTop="0" showAll="0" dataSourceSort="1" defaultSubtotal="0" defaultAttributeDrillState="1"/>
    <pivotField allDrilled="1" subtotalTop="0" showAll="0" measureFilter="1" defaultSubtotal="0" defaultAttributeDrillState="1">
      <items count="5">
        <item x="0"/>
        <item x="1"/>
        <item x="2"/>
        <item x="3"/>
        <item x="4"/>
      </items>
    </pivotField>
    <pivotField dataField="1" subtotalTop="0" showAll="0" defaultSubtotal="0"/>
  </pivotFields>
  <rowItems count="1">
    <i/>
  </rowItems>
  <colItems count="1">
    <i/>
  </colItems>
  <dataFields count="1">
    <dataField name="Average of Age" fld="2" subtotal="average" baseField="0" baseItem="0" numFmtId="1"/>
  </dataFields>
  <formats count="8">
    <format dxfId="80">
      <pivotArea type="all" dataOnly="0" outline="0" fieldPosition="0"/>
    </format>
    <format dxfId="81">
      <pivotArea outline="0" collapsedLevelsAreSubtotals="1" fieldPosition="0"/>
    </format>
    <format dxfId="82">
      <pivotArea dataOnly="0" labelOnly="1" grandRow="1" outline="0" fieldPosition="0"/>
    </format>
    <format dxfId="83">
      <pivotArea outline="0" fieldPosition="0">
        <references count="1">
          <reference field="4294967294" count="1">
            <x v="0"/>
          </reference>
        </references>
      </pivotArea>
    </format>
    <format dxfId="84">
      <pivotArea outline="0" collapsedLevelsAreSubtotals="1" fieldPosition="0"/>
    </format>
    <format dxfId="38">
      <pivotArea type="all" dataOnly="0" outline="0" fieldPosition="0"/>
    </format>
    <format dxfId="34">
      <pivotArea outline="0" collapsedLevelsAreSubtotals="1" fieldPosition="0"/>
    </format>
    <format dxfId="33">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multipleItemSelectionAllowed="1" dragToData="1">
      <members count="1" level="1">
        <member name="[Dengue].[AreaType].&amp;[Developed]"/>
      </members>
    </pivotHierarchy>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 of Dengue Patients"/>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ge"/>
  </pivotHierarchies>
  <pivotTableStyleInfo name="PivotStyleLight16" showRowHeaders="1" showColHeaders="1" showRowStripes="0" showColStripes="0" showLastColumn="1"/>
  <filters count="1">
    <filter fld="1" type="count" id="2" iMeasureHier="3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D3DC3B-0947-4D23-8A25-A04621EBE102}" name="PivotTable1" cacheId="2987" applyNumberFormats="0" applyBorderFormats="0" applyFontFormats="0" applyPatternFormats="0" applyAlignmentFormats="0" applyWidthHeightFormats="1" dataCaption="Values" tag="23567b66-4dc5-4eb3-93a2-e0acd78f118c" updatedVersion="8" minRefreshableVersion="3" useAutoFormatting="1" rowGrandTotals="0" colGrandTotals="0" itemPrintTitles="1" createdVersion="5" indent="0" showHeaders="0" outline="1" outlineData="1" multipleFieldFilters="0" chartFormat="19" rowHeaderCaption="Dengue Infection History">
  <location ref="J162:K170" firstHeaderRow="1" firstDataRow="1" firstDataCol="1"/>
  <pivotFields count="5">
    <pivotField dataField="1" subtotalTop="0" showAll="0" defaultSubtotal="0"/>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2">
    <field x="2"/>
    <field x="3"/>
  </rowFields>
  <rowItems count="8">
    <i>
      <x/>
    </i>
    <i r="1">
      <x/>
    </i>
    <i r="1">
      <x v="1"/>
    </i>
    <i r="1">
      <x v="2"/>
    </i>
    <i>
      <x v="1"/>
    </i>
    <i r="1">
      <x/>
    </i>
    <i r="1">
      <x v="1"/>
    </i>
    <i r="1">
      <x v="2"/>
    </i>
  </rowItems>
  <colItems count="1">
    <i/>
  </colItems>
  <dataFields count="1">
    <dataField name="Number Infection" fld="0" subtotal="count" baseField="1" baseItem="0"/>
  </dataFields>
  <formats count="5">
    <format dxfId="95">
      <pivotArea type="all" dataOnly="0" outline="0" fieldPosition="0"/>
    </format>
    <format dxfId="96">
      <pivotArea outline="0" collapsedLevelsAreSubtotals="1" fieldPosition="0"/>
    </format>
    <format dxfId="97">
      <pivotArea field="1" type="button" dataOnly="0" labelOnly="1" outline="0"/>
    </format>
    <format dxfId="98">
      <pivotArea dataOnly="0" labelOnly="1" grandRow="1" outline="0" fieldPosition="0"/>
    </format>
    <format dxfId="99">
      <pivotArea dataOnly="0" labelOnly="1" outline="0" fieldPosition="0">
        <references count="1">
          <reference field="4294967294" count="1">
            <x v="0"/>
          </reference>
        </references>
      </pivotArea>
    </format>
  </formats>
  <conditionalFormats count="1">
    <conditionalFormat priority="1">
      <pivotAreas count="3">
        <pivotArea type="data" collapsedLevelsAreSubtotals="1" fieldPosition="0">
          <references count="3">
            <reference field="4294967294" count="1" selected="0">
              <x v="0"/>
            </reference>
            <reference field="2" count="1" selected="0">
              <x v="0"/>
            </reference>
            <reference field="3" count="3">
              <x v="0"/>
              <x v="1"/>
              <x v="2"/>
            </reference>
          </references>
        </pivotArea>
        <pivotArea type="data" collapsedLevelsAreSubtotals="1" fieldPosition="0">
          <references count="2">
            <reference field="4294967294" count="1" selected="0">
              <x v="0"/>
            </reference>
            <reference field="2" count="1">
              <x v="1"/>
            </reference>
          </references>
        </pivotArea>
        <pivotArea type="data" collapsedLevelsAreSubtotals="1" fieldPosition="0">
          <references count="3">
            <reference field="4294967294" count="1" selected="0">
              <x v="0"/>
            </reference>
            <reference field="2" count="1" selected="0">
              <x v="1"/>
            </reference>
            <reference field="3" count="3">
              <x v="0"/>
              <x v="1"/>
              <x v="2"/>
            </reference>
          </references>
        </pivotArea>
      </pivotAreas>
    </conditionalFormat>
  </conditional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Number Infection"/>
    <pivotHierarchy dragToData="1" caption="% of Infectio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CC35CB-D411-4DB2-B55F-04F9D122E0BF}" name="PivotTable37" cacheId="2963" applyNumberFormats="0" applyBorderFormats="0" applyFontFormats="0" applyPatternFormats="0" applyAlignmentFormats="0" applyWidthHeightFormats="1" dataCaption="Values" tag="4613d03f-0b34-4f88-9e50-457690584a83" updatedVersion="8" minRefreshableVersion="3" useAutoFormatting="1" subtotalHiddenItems="1" itemPrintTitles="1" createdVersion="5" indent="0" outline="1" outlineData="1" multipleFieldFilters="0" chartFormat="27" rowHeaderCaption="Age Ranges">
  <location ref="J179:J18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112">
      <pivotArea type="all" dataOnly="0" outline="0" fieldPosition="0"/>
    </format>
    <format dxfId="111">
      <pivotArea outline="0" collapsedLevelsAreSubtotals="1" fieldPosition="0"/>
    </format>
    <format dxfId="110">
      <pivotArea dataOnly="0" labelOnly="1" grandRow="1" outline="0" fieldPosition="0"/>
    </format>
  </formats>
  <pivotHierarchies count="4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 of Dengue Patie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2FE12D-874F-48EA-A178-322A0C3F2525}" name="PivotTable11" cacheId="2975" applyNumberFormats="0" applyBorderFormats="0" applyFontFormats="0" applyPatternFormats="0" applyAlignmentFormats="0" applyWidthHeightFormats="1" dataCaption="Values" tag="3a37550c-2e52-4438-b6ac-180c78535e36" updatedVersion="8" minRefreshableVersion="3" useAutoFormatting="1" subtotalHiddenItems="1" rowGrandTotals="0" colGrandTotals="0" itemPrintTitles="1" createdVersion="5" indent="0" outline="1" outlineData="1" multipleFieldFilters="0" chartFormat="25" rowHeaderCaption="Gender">
  <location ref="B99:D101"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2">
    <i>
      <x/>
    </i>
    <i>
      <x v="1"/>
    </i>
  </rowItems>
  <colFields count="1">
    <field x="-2"/>
  </colFields>
  <colItems count="2">
    <i>
      <x/>
    </i>
    <i i="1">
      <x v="1"/>
    </i>
  </colItems>
  <dataFields count="2">
    <dataField name="% of Gender" fld="0" subtotal="count" showDataAs="percentOfTotal" baseField="0" baseItem="0" numFmtId="164"/>
    <dataField name="Number of Gender" fld="3" subtotal="count" baseField="1" baseItem="0">
      <extLst>
        <ext xmlns:x14="http://schemas.microsoft.com/office/spreadsheetml/2009/9/main" uri="{E15A36E0-9728-4e99-A89B-3F7291B0FE68}">
          <x14:dataField sourceField="0" uniqueName="[__Xl2].[Measures].[Count of Gender]"/>
        </ext>
      </extLst>
    </dataField>
  </dataFields>
  <formats count="7">
    <format dxfId="119">
      <pivotArea type="all" dataOnly="0" outline="0" fieldPosition="0"/>
    </format>
    <format dxfId="118">
      <pivotArea outline="0" collapsedLevelsAreSubtotals="1" fieldPosition="0"/>
    </format>
    <format dxfId="117">
      <pivotArea field="1" type="button" dataOnly="0" labelOnly="1" outline="0" axis="axisRow" fieldPosition="0"/>
    </format>
    <format dxfId="116">
      <pivotArea dataOnly="0" labelOnly="1" fieldPosition="0">
        <references count="1">
          <reference field="1" count="0"/>
        </references>
      </pivotArea>
    </format>
    <format dxfId="115">
      <pivotArea dataOnly="0" labelOnly="1" grandRow="1" outline="0" fieldPosition="0"/>
    </format>
    <format dxfId="114">
      <pivotArea dataOnly="0" labelOnly="1" outline="0" fieldPosition="0">
        <references count="1">
          <reference field="4294967294" count="1">
            <x v="0"/>
          </reference>
        </references>
      </pivotArea>
    </format>
    <format dxfId="113">
      <pivotArea outline="0" collapsedLevelsAreSubtotals="1" fieldPosition="0">
        <references count="1">
          <reference field="4294967294" count="1" selected="0">
            <x v="0"/>
          </reference>
        </references>
      </pivotArea>
    </format>
  </formats>
  <chartFormats count="12">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pivotArea type="data" outline="0" fieldPosition="0">
        <references count="2">
          <reference field="4294967294" count="1" selected="0">
            <x v="0"/>
          </reference>
          <reference field="1" count="1" selected="0">
            <x v="0"/>
          </reference>
        </references>
      </pivotArea>
    </chartFormat>
    <chartFormat chart="11" format="3">
      <pivotArea type="data" outline="0" fieldPosition="0">
        <references count="2">
          <reference field="4294967294" count="1" selected="0">
            <x v="1"/>
          </reference>
          <reference field="1" count="1" selected="0">
            <x v="0"/>
          </reference>
        </references>
      </pivotArea>
    </chartFormat>
    <chartFormat chart="11" format="4">
      <pivotArea type="data" outline="0" fieldPosition="0">
        <references count="2">
          <reference field="4294967294" count="1" selected="0">
            <x v="0"/>
          </reference>
          <reference field="1" count="1" selected="0">
            <x v="1"/>
          </reference>
        </references>
      </pivotArea>
    </chartFormat>
    <chartFormat chart="11" format="5">
      <pivotArea type="data" outline="0" fieldPosition="0">
        <references count="2">
          <reference field="4294967294" count="1" selected="0">
            <x v="1"/>
          </reference>
          <reference field="1" count="1" selected="0">
            <x v="1"/>
          </reference>
        </references>
      </pivotArea>
    </chartFormat>
    <chartFormat chart="19" format="18" series="1">
      <pivotArea type="data" outline="0" fieldPosition="0">
        <references count="1">
          <reference field="4294967294" count="1" selected="0">
            <x v="0"/>
          </reference>
        </references>
      </pivotArea>
    </chartFormat>
    <chartFormat chart="19" format="19">
      <pivotArea type="data" outline="0" fieldPosition="0">
        <references count="2">
          <reference field="4294967294" count="1" selected="0">
            <x v="0"/>
          </reference>
          <reference field="1" count="1" selected="0">
            <x v="0"/>
          </reference>
        </references>
      </pivotArea>
    </chartFormat>
    <chartFormat chart="19" format="20">
      <pivotArea type="data" outline="0" fieldPosition="0">
        <references count="2">
          <reference field="4294967294" count="1" selected="0">
            <x v="0"/>
          </reference>
          <reference field="1" count="1" selected="0">
            <x v="1"/>
          </reference>
        </references>
      </pivotArea>
    </chartFormat>
    <chartFormat chart="19" format="21" series="1">
      <pivotArea type="data" outline="0" fieldPosition="0">
        <references count="1">
          <reference field="4294967294" count="1" selected="0">
            <x v="1"/>
          </reference>
        </references>
      </pivotArea>
    </chartFormat>
    <chartFormat chart="19" format="22">
      <pivotArea type="data" outline="0" fieldPosition="0">
        <references count="2">
          <reference field="4294967294" count="1" selected="0">
            <x v="1"/>
          </reference>
          <reference field="1" count="1" selected="0">
            <x v="0"/>
          </reference>
        </references>
      </pivotArea>
    </chartFormat>
    <chartFormat chart="19" format="23">
      <pivotArea type="data" outline="0" fieldPosition="0">
        <references count="2">
          <reference field="4294967294" count="1" selected="0">
            <x v="1"/>
          </reference>
          <reference field="1" count="1" selected="0">
            <x v="1"/>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Number of Gender"/>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36413C-2F22-4CCA-BB4E-FCAB4BF2459B}" name="PivotTable20" cacheId="200" applyNumberFormats="0" applyBorderFormats="0" applyFontFormats="0" applyPatternFormats="0" applyAlignmentFormats="0" applyWidthHeightFormats="1" dataCaption="Values" tag="39c33cfb-0479-4807-8dfe-c3bb22d2a8ee" updatedVersion="8" minRefreshableVersion="3" useAutoFormatting="1" itemPrintTitles="1" createdVersion="5" indent="0" outline="1" outlineData="1" multipleFieldFilters="0" chartFormat="2">
  <location ref="M62:N7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6">
        <item x="0"/>
        <item x="1"/>
        <item x="2"/>
        <item x="3"/>
        <item x="4"/>
        <item x="5"/>
      </items>
    </pivotField>
  </pivotFields>
  <rowFields count="2">
    <field x="2"/>
    <field x="3"/>
  </rowFields>
  <rowItems count="15">
    <i>
      <x/>
    </i>
    <i r="1">
      <x/>
    </i>
    <i r="1">
      <x v="1"/>
    </i>
    <i r="1">
      <x v="2"/>
    </i>
    <i r="1">
      <x v="3"/>
    </i>
    <i r="1">
      <x v="4"/>
    </i>
    <i r="1">
      <x v="5"/>
    </i>
    <i>
      <x v="1"/>
    </i>
    <i r="1">
      <x/>
    </i>
    <i r="1">
      <x v="1"/>
    </i>
    <i r="1">
      <x v="2"/>
    </i>
    <i r="1">
      <x v="3"/>
    </i>
    <i r="1">
      <x v="4"/>
    </i>
    <i r="1">
      <x v="5"/>
    </i>
    <i t="grand">
      <x/>
    </i>
  </rowItems>
  <colItems count="1">
    <i/>
  </colItems>
  <dataFields count="1">
    <dataField name="Count of Dengue_Result" fld="1" subtotal="count" baseField="0" baseItem="0"/>
  </dataFields>
  <formats count="8">
    <format dxfId="127">
      <pivotArea type="all" dataOnly="0" outline="0" fieldPosition="0"/>
    </format>
    <format dxfId="126">
      <pivotArea outline="0" collapsedLevelsAreSubtotals="1" fieldPosition="0"/>
    </format>
    <format dxfId="125">
      <pivotArea field="2" type="button" dataOnly="0" labelOnly="1" outline="0" axis="axisRow" fieldPosition="0"/>
    </format>
    <format dxfId="124">
      <pivotArea dataOnly="0" labelOnly="1" fieldPosition="0">
        <references count="1">
          <reference field="2" count="0"/>
        </references>
      </pivotArea>
    </format>
    <format dxfId="123">
      <pivotArea dataOnly="0" labelOnly="1" grandRow="1" outline="0" fieldPosition="0"/>
    </format>
    <format dxfId="122">
      <pivotArea dataOnly="0" labelOnly="1" fieldPosition="0">
        <references count="2">
          <reference field="2" count="1" selected="0">
            <x v="0"/>
          </reference>
          <reference field="3" count="0"/>
        </references>
      </pivotArea>
    </format>
    <format dxfId="121">
      <pivotArea dataOnly="0" labelOnly="1" fieldPosition="0">
        <references count="2">
          <reference field="2" count="1" selected="0">
            <x v="1"/>
          </reference>
          <reference field="3" count="5">
            <x v="0"/>
            <x v="1"/>
            <x v="2"/>
            <x v="4"/>
            <x v="5"/>
          </reference>
        </references>
      </pivotArea>
    </format>
    <format dxfId="120">
      <pivotArea dataOnly="0" labelOnly="1" outline="0" axis="axisValues" fieldPosition="0"/>
    </format>
  </formats>
  <conditionalFormats count="1">
    <conditionalFormat priority="13">
      <pivotAreas count="3">
        <pivotArea type="data" collapsedLevelsAreSubtotals="1" fieldPosition="0">
          <references count="3">
            <reference field="4294967294" count="1" selected="0">
              <x v="0"/>
            </reference>
            <reference field="2" count="1" selected="0">
              <x v="0"/>
            </reference>
            <reference field="3" count="6">
              <x v="0"/>
              <x v="1"/>
              <x v="2"/>
              <x v="3"/>
              <x v="4"/>
              <x v="5"/>
            </reference>
          </references>
        </pivotArea>
        <pivotArea type="data" collapsedLevelsAreSubtotals="1" fieldPosition="0">
          <references count="2">
            <reference field="4294967294" count="1" selected="0">
              <x v="0"/>
            </reference>
            <reference field="2" count="1">
              <x v="1"/>
            </reference>
          </references>
        </pivotArea>
        <pivotArea type="data" collapsedLevelsAreSubtotals="1" fieldPosition="0">
          <references count="3">
            <reference field="4294967294" count="1" selected="0">
              <x v="0"/>
            </reference>
            <reference field="2" count="1" selected="0">
              <x v="1"/>
            </reference>
            <reference field="3" count="5">
              <x v="0"/>
              <x v="1"/>
              <x v="2"/>
              <x v="4"/>
              <x v="5"/>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18E803-CBE8-454C-815F-490D3CA10190}" name="PivotTable26" cacheId="201" applyNumberFormats="0" applyBorderFormats="0" applyFontFormats="0" applyPatternFormats="0" applyAlignmentFormats="0" applyWidthHeightFormats="1" dataCaption="Values" tag="32a39fe9-614c-40f2-89ab-49be99e2a1b6" updatedVersion="8" minRefreshableVersion="3" useAutoFormatting="1" itemPrintTitles="1" createdVersion="5" indent="0" outline="1" outlineData="1" multipleFieldFilters="0">
  <location ref="O110:P11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s="1" x="0"/>
        <item s="1" x="1"/>
      </items>
    </pivotField>
    <pivotField axis="axisRow" allDrilled="1" subtotalTop="0" showAll="0" dataSourceSort="1" defaultSubtotal="0" defaultAttributeDrillState="1">
      <items count="2">
        <item x="0"/>
        <item x="1"/>
      </items>
    </pivotField>
  </pivotFields>
  <rowFields count="2">
    <field x="2"/>
    <field x="3"/>
  </rowFields>
  <rowItems count="7">
    <i>
      <x/>
    </i>
    <i r="1">
      <x/>
    </i>
    <i r="1">
      <x v="1"/>
    </i>
    <i>
      <x v="1"/>
    </i>
    <i r="1">
      <x/>
    </i>
    <i r="1">
      <x v="1"/>
    </i>
    <i t="grand">
      <x/>
    </i>
  </rowItems>
  <colItems count="1">
    <i/>
  </colItems>
  <dataFields count="1">
    <dataField name="Count of Dengue_Result" fld="1" subtotal="count" baseField="0" baseItem="0"/>
  </dataFields>
  <formats count="8">
    <format dxfId="135">
      <pivotArea type="all" dataOnly="0" outline="0" fieldPosition="0"/>
    </format>
    <format dxfId="134">
      <pivotArea outline="0" collapsedLevelsAreSubtotals="1" fieldPosition="0"/>
    </format>
    <format dxfId="133">
      <pivotArea field="2" type="button" dataOnly="0" labelOnly="1" outline="0" axis="axisRow" fieldPosition="0"/>
    </format>
    <format dxfId="132">
      <pivotArea dataOnly="0" labelOnly="1" fieldPosition="0">
        <references count="1">
          <reference field="2" count="0"/>
        </references>
      </pivotArea>
    </format>
    <format dxfId="131">
      <pivotArea dataOnly="0" labelOnly="1" grandRow="1" outline="0" fieldPosition="0"/>
    </format>
    <format dxfId="130">
      <pivotArea dataOnly="0" labelOnly="1" fieldPosition="0">
        <references count="2">
          <reference field="2" count="1" selected="0">
            <x v="0"/>
          </reference>
          <reference field="3" count="0"/>
        </references>
      </pivotArea>
    </format>
    <format dxfId="129">
      <pivotArea dataOnly="0" labelOnly="1" fieldPosition="0">
        <references count="2">
          <reference field="2" count="1" selected="0">
            <x v="1"/>
          </reference>
          <reference field="3" count="0"/>
        </references>
      </pivotArea>
    </format>
    <format dxfId="128">
      <pivotArea dataOnly="0" labelOnly="1" outline="0" axis="axisValues" fieldPosition="0"/>
    </format>
  </formats>
  <conditionalFormats count="1">
    <conditionalFormat priority="4">
      <pivotAreas count="3">
        <pivotArea type="data" collapsedLevelsAreSubtotals="1" fieldPosition="0">
          <references count="3">
            <reference field="4294967294" count="1" selected="0">
              <x v="0"/>
            </reference>
            <reference field="2" count="1" selected="0">
              <x v="0"/>
            </reference>
            <reference field="3" count="2">
              <x v="0"/>
              <x v="1"/>
            </reference>
          </references>
        </pivotArea>
        <pivotArea type="data" collapsedLevelsAreSubtotals="1" fieldPosition="0">
          <references count="2">
            <reference field="4294967294" count="1" selected="0">
              <x v="0"/>
            </reference>
            <reference field="2" count="1">
              <x v="1"/>
            </reference>
          </references>
        </pivotArea>
        <pivotArea type="data" collapsedLevelsAreSubtotals="1" fieldPosition="0">
          <references count="3">
            <reference field="4294967294" count="1" selected="0">
              <x v="0"/>
            </reference>
            <reference field="2" count="1" selected="0">
              <x v="1"/>
            </reference>
            <reference field="3" count="2">
              <x v="0"/>
              <x v="1"/>
            </reference>
          </references>
        </pivotArea>
      </pivotAreas>
    </conditionalFormat>
  </conditionalFormats>
  <pivotHierarchies count="4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0576C7-C4B7-4058-997D-6C619F74CEAB}" name="PivotTable31" cacheId="202" applyNumberFormats="0" applyBorderFormats="0" applyFontFormats="0" applyPatternFormats="0" applyAlignmentFormats="0" applyWidthHeightFormats="1" dataCaption="Values" tag="704052ef-9b61-4a64-9726-c02e2bc460bf" updatedVersion="8" minRefreshableVersion="3" useAutoFormatting="1" subtotalHiddenItems="1" itemPrintTitles="1" createdVersion="5" indent="0" outline="1" outlineData="1" multipleFieldFilters="0">
  <location ref="B9:B10"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fld="1" subtotal="count" baseField="0" baseItem="0" numFmtId="1"/>
  </dataFields>
  <formats count="7">
    <format dxfId="139">
      <pivotArea type="all" dataOnly="0" outline="0" fieldPosition="0"/>
    </format>
    <format dxfId="138">
      <pivotArea outline="0" collapsedLevelsAreSubtotals="1" fieldPosition="0"/>
    </format>
    <format dxfId="137">
      <pivotArea dataOnly="0" labelOnly="1" grandRow="1" outline="0" fieldPosition="0"/>
    </format>
    <format dxfId="136">
      <pivotArea outline="0" collapsedLevelsAreSubtotals="1" fieldPosition="0"/>
    </format>
    <format dxfId="79">
      <pivotArea type="all" dataOnly="0" outline="0" fieldPosition="0"/>
    </format>
    <format dxfId="78">
      <pivotArea outline="0" collapsedLevelsAreSubtotals="1" fieldPosition="0"/>
    </format>
    <format dxfId="77">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155BB0-9D53-4310-9731-10D6BC5BCDC5}" name="PivotTable15" cacheId="203" applyNumberFormats="0" applyBorderFormats="0" applyFontFormats="0" applyPatternFormats="0" applyAlignmentFormats="0" applyWidthHeightFormats="1" dataCaption="Values" tag="c8e2385c-0cb2-4d88-a3af-e9d7ac9d20e0" updatedVersion="8" minRefreshableVersion="3" useAutoFormatting="1" subtotalHiddenItems="1" itemPrintTitles="1" createdVersion="5" indent="0" outline="1" outlineData="1" multipleFieldFilters="0">
  <location ref="P7:Q1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3">
        <item x="0"/>
        <item x="1"/>
        <item x="2"/>
      </items>
    </pivotField>
  </pivotFields>
  <rowFields count="2">
    <field x="1"/>
    <field x="3"/>
  </rowFields>
  <rowItems count="9">
    <i>
      <x/>
    </i>
    <i r="1">
      <x/>
    </i>
    <i r="1">
      <x v="1"/>
    </i>
    <i r="1">
      <x v="2"/>
    </i>
    <i>
      <x v="1"/>
    </i>
    <i r="1">
      <x/>
    </i>
    <i r="1">
      <x v="1"/>
    </i>
    <i r="1">
      <x v="2"/>
    </i>
    <i t="grand">
      <x/>
    </i>
  </rowItems>
  <colItems count="1">
    <i/>
  </colItems>
  <dataFields count="1">
    <dataField name="Number of Infection" fld="2" subtotal="count" baseField="1" baseItem="0"/>
  </dataFields>
  <formats count="8">
    <format dxfId="147">
      <pivotArea type="all" dataOnly="0" outline="0" fieldPosition="0"/>
    </format>
    <format dxfId="146">
      <pivotArea outline="0" collapsedLevelsAreSubtotals="1" fieldPosition="0"/>
    </format>
    <format dxfId="145">
      <pivotArea field="1" type="button" dataOnly="0" labelOnly="1" outline="0" axis="axisRow" fieldPosition="0"/>
    </format>
    <format dxfId="144">
      <pivotArea dataOnly="0" labelOnly="1" fieldPosition="0">
        <references count="1">
          <reference field="1" count="0"/>
        </references>
      </pivotArea>
    </format>
    <format dxfId="143">
      <pivotArea dataOnly="0" labelOnly="1" grandRow="1" outline="0" fieldPosition="0"/>
    </format>
    <format dxfId="142">
      <pivotArea dataOnly="0" labelOnly="1" fieldPosition="0">
        <references count="2">
          <reference field="1" count="1" selected="0">
            <x v="0"/>
          </reference>
          <reference field="3" count="0"/>
        </references>
      </pivotArea>
    </format>
    <format dxfId="141">
      <pivotArea dataOnly="0" labelOnly="1" fieldPosition="0">
        <references count="2">
          <reference field="1" count="1" selected="0">
            <x v="1"/>
          </reference>
          <reference field="3" count="0"/>
        </references>
      </pivotArea>
    </format>
    <format dxfId="140">
      <pivotArea dataOnly="0" labelOnly="1" outline="0" axis="axisValues" fieldPosition="0"/>
    </format>
  </formats>
  <conditionalFormats count="1">
    <conditionalFormat priority="9">
      <pivotAreas count="3">
        <pivotArea type="data" collapsedLevelsAreSubtotals="1" fieldPosition="0">
          <references count="3">
            <reference field="4294967294" count="1" selected="0">
              <x v="0"/>
            </reference>
            <reference field="1" count="1" selected="0">
              <x v="0"/>
            </reference>
            <reference field="3" count="3">
              <x v="0"/>
              <x v="1"/>
              <x v="2"/>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1" count="1" selected="0">
              <x v="1"/>
            </reference>
            <reference field="3" count="3">
              <x v="0"/>
              <x v="1"/>
              <x v="2"/>
            </reference>
          </references>
        </pivotArea>
      </pivotAreas>
    </conditionalFormat>
  </conditionalFormats>
  <pivotHierarchies count="4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Number of Infection"/>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E76B88-16E9-4E7E-93B0-3C996BCE8538}" name="PivotTable36" cacheId="2960" applyNumberFormats="0" applyBorderFormats="0" applyFontFormats="0" applyPatternFormats="0" applyAlignmentFormats="0" applyWidthHeightFormats="1" dataCaption="Values" tag="fe8c12b1-c5a8-45b0-9e34-c231eddc9d02" updatedVersion="8" minRefreshableVersion="3" useAutoFormatting="1" subtotalHiddenItems="1" itemPrintTitles="1" createdVersion="5" indent="0" outline="1" outlineData="1" multipleFieldFilters="0" chartFormat="27" rowHeaderCaption="Age Ranges">
  <location ref="J175:J176"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Count of Age_Group" fld="1" subtotal="count" baseField="0" baseItem="0"/>
  </dataFields>
  <formats count="3">
    <format dxfId="150">
      <pivotArea type="all" dataOnly="0" outline="0" fieldPosition="0"/>
    </format>
    <format dxfId="149">
      <pivotArea outline="0" collapsedLevelsAreSubtotals="1" fieldPosition="0"/>
    </format>
    <format dxfId="148">
      <pivotArea dataOnly="0" labelOnly="1" grandRow="1" outline="0" fieldPosition="0"/>
    </format>
  </formats>
  <pivotHierarchies count="42">
    <pivotHierarchy dragToData="1"/>
    <pivotHierarchy dragToData="1"/>
    <pivotHierarchy dragToData="1"/>
    <pivotHierarchy dragToData="1"/>
    <pivotHierarchy dragToData="1"/>
    <pivotHierarchy dragToData="1"/>
    <pivotHierarchy multipleItemSelectionAllowed="1" dragToData="1">
      <members count="1" level="1">
        <member name="[Dengue].[AreaType].&amp;[Developed]"/>
      </members>
    </pivotHierarchy>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 of Dengue Patie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9C5778-FFBE-45BE-B8EE-ED33E5F74A9D}" name="PivotTable6" cacheId="2951" applyNumberFormats="0" applyBorderFormats="0" applyFontFormats="0" applyPatternFormats="0" applyAlignmentFormats="0" applyWidthHeightFormats="1" dataCaption="Values" tag="4526f968-e0e2-4f98-84f3-bb9005f555ce" updatedVersion="8" minRefreshableVersion="3" useAutoFormatting="1" subtotalHiddenItems="1" itemPrintTitles="1" createdVersion="5" indent="0" outline="1" outlineData="1" multipleFieldFilters="0" chartFormat="63" rowHeaderCaption="Age Ranges">
  <location ref="B27:D34" firstHeaderRow="0" firstDataRow="1" firstDataCol="1"/>
  <pivotFields count="4">
    <pivotField axis="axisRow" allDrilled="1" subtotalTop="0" showAll="0" defaultSubtotal="0" defaultAttributeDrillState="1">
      <items count="6">
        <item x="2"/>
        <item x="0"/>
        <item x="5"/>
        <item x="1"/>
        <item x="4"/>
        <item x="3"/>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7">
    <i>
      <x/>
    </i>
    <i>
      <x v="1"/>
    </i>
    <i>
      <x v="2"/>
    </i>
    <i>
      <x v="3"/>
    </i>
    <i>
      <x v="4"/>
    </i>
    <i>
      <x v="5"/>
    </i>
    <i t="grand">
      <x/>
    </i>
  </rowItems>
  <colFields count="1">
    <field x="-2"/>
  </colFields>
  <colItems count="2">
    <i>
      <x/>
    </i>
    <i i="1">
      <x v="1"/>
    </i>
  </colItems>
  <dataFields count="2">
    <dataField name="Number of Dengue Patients" fld="1" subtotal="count" baseField="0" baseItem="0"/>
    <dataField name="% of Dengue Patients" fld="3" subtotal="count" showDataAs="percentOfTotal" baseField="0" baseItem="0" numFmtId="164">
      <extLst>
        <ext xmlns:x14="http://schemas.microsoft.com/office/spreadsheetml/2009/9/main" uri="{E15A36E0-9728-4e99-A89B-3F7291B0FE68}">
          <x14:dataField sourceField="1" uniqueName="[__Xl2].[Measures].[Count of Age_Group]"/>
        </ext>
      </extLst>
    </dataField>
  </dataFields>
  <formats count="8">
    <format dxfId="158">
      <pivotArea collapsedLevelsAreSubtotals="1" fieldPosition="0">
        <references count="2">
          <reference field="4294967294" count="1" selected="0">
            <x v="1"/>
          </reference>
          <reference field="0" count="1">
            <x v="0"/>
          </reference>
        </references>
      </pivotArea>
    </format>
    <format dxfId="157">
      <pivotArea outline="0" collapsedLevelsAreSubtotals="1" fieldPosition="0">
        <references count="1">
          <reference field="4294967294" count="1" selected="0">
            <x v="1"/>
          </reference>
        </references>
      </pivotArea>
    </format>
    <format dxfId="156">
      <pivotArea type="all" dataOnly="0" outline="0" fieldPosition="0"/>
    </format>
    <format dxfId="155">
      <pivotArea outline="0" collapsedLevelsAreSubtotals="1" fieldPosition="0"/>
    </format>
    <format dxfId="154">
      <pivotArea field="0" type="button" dataOnly="0" labelOnly="1" outline="0" axis="axisRow" fieldPosition="0"/>
    </format>
    <format dxfId="153">
      <pivotArea dataOnly="0" labelOnly="1" fieldPosition="0">
        <references count="1">
          <reference field="0" count="0"/>
        </references>
      </pivotArea>
    </format>
    <format dxfId="152">
      <pivotArea dataOnly="0" labelOnly="1" grandRow="1" outline="0" fieldPosition="0"/>
    </format>
    <format dxfId="151">
      <pivotArea dataOnly="0" labelOnly="1" outline="0" fieldPosition="0">
        <references count="1">
          <reference field="4294967294" count="2">
            <x v="0"/>
            <x v="1"/>
          </reference>
        </references>
      </pivotArea>
    </format>
  </formats>
  <conditionalFormats count="1">
    <conditionalFormat priority="21">
      <pivotAreas count="1">
        <pivotArea type="data" collapsedLevelsAreSubtotals="1" fieldPosition="0">
          <references count="2">
            <reference field="4294967294" count="1" selected="0">
              <x v="1"/>
            </reference>
            <reference field="0" count="6">
              <x v="0"/>
              <x v="1"/>
              <x v="2"/>
              <x v="3"/>
              <x v="4"/>
              <x v="5"/>
            </reference>
          </references>
        </pivotArea>
      </pivotAreas>
    </conditionalFormat>
  </conditionalFormats>
  <chartFormats count="8">
    <chartFormat chart="38" format="2" series="1">
      <pivotArea type="data" outline="0" fieldPosition="0">
        <references count="1">
          <reference field="4294967294" count="1" selected="0">
            <x v="0"/>
          </reference>
        </references>
      </pivotArea>
    </chartFormat>
    <chartFormat chart="38" format="3" series="1">
      <pivotArea type="data" outline="0" fieldPosition="0">
        <references count="1">
          <reference field="4294967294" count="1" selected="0">
            <x v="1"/>
          </reference>
        </references>
      </pivotArea>
    </chartFormat>
    <chartFormat chart="39" format="4"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1"/>
          </reference>
        </references>
      </pivotArea>
    </chartFormat>
    <chartFormat chart="50" format="0" series="1">
      <pivotArea type="data" outline="0" fieldPosition="0">
        <references count="1">
          <reference field="4294967294" count="1" selected="0">
            <x v="0"/>
          </reference>
        </references>
      </pivotArea>
    </chartFormat>
    <chartFormat chart="50" format="1" series="1">
      <pivotArea type="data" outline="0" fieldPosition="0">
        <references count="1">
          <reference field="4294967294" count="1" selected="0">
            <x v="1"/>
          </reference>
        </references>
      </pivotArea>
    </chartFormat>
    <chartFormat chart="60" format="4" series="1">
      <pivotArea type="data" outline="0" fieldPosition="0">
        <references count="1">
          <reference field="4294967294" count="1" selected="0">
            <x v="0"/>
          </reference>
        </references>
      </pivotArea>
    </chartFormat>
    <chartFormat chart="60" format="5"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 of Dengue Patie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0609A1-E4CE-44E2-8E39-FDC5AD3C3197}" name="PivotTable19" cacheId="2954" applyNumberFormats="0" applyBorderFormats="0" applyFontFormats="0" applyPatternFormats="0" applyAlignmentFormats="0" applyWidthHeightFormats="1" dataCaption="Values" tag="7ec77ddb-dc21-4200-8d22-bc2a676e54a0" updatedVersion="8" minRefreshableVersion="3" useAutoFormatting="1" itemPrintTitles="1" createdVersion="5" indent="0" outline="1" outlineData="1" multipleFieldFilters="0" chartFormat="9" rowHeaderCaption="Area Type Wise Infection Status">
  <location ref="J63:K70"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2">
    <field x="1"/>
    <field x="2"/>
  </rowFields>
  <rowItems count="7">
    <i>
      <x/>
    </i>
    <i r="1">
      <x/>
    </i>
    <i r="1">
      <x v="1"/>
    </i>
    <i>
      <x v="1"/>
    </i>
    <i r="1">
      <x/>
    </i>
    <i r="1">
      <x v="1"/>
    </i>
    <i t="grand">
      <x/>
    </i>
  </rowItems>
  <colItems count="1">
    <i/>
  </colItems>
  <dataFields count="1">
    <dataField name="Count of Dengue_Result" fld="0" subtotal="count" baseField="0" baseItem="0"/>
  </dataFields>
  <formats count="8">
    <format dxfId="166">
      <pivotArea type="all" dataOnly="0" outline="0" fieldPosition="0"/>
    </format>
    <format dxfId="165">
      <pivotArea outline="0" collapsedLevelsAreSubtotals="1" fieldPosition="0"/>
    </format>
    <format dxfId="164">
      <pivotArea field="1" type="button" dataOnly="0" labelOnly="1" outline="0" axis="axisRow" fieldPosition="0"/>
    </format>
    <format dxfId="163">
      <pivotArea dataOnly="0" labelOnly="1" fieldPosition="0">
        <references count="1">
          <reference field="1" count="0"/>
        </references>
      </pivotArea>
    </format>
    <format dxfId="162">
      <pivotArea dataOnly="0" labelOnly="1" grandRow="1" outline="0" fieldPosition="0"/>
    </format>
    <format dxfId="161">
      <pivotArea dataOnly="0" labelOnly="1" fieldPosition="0">
        <references count="2">
          <reference field="1" count="1" selected="0">
            <x v="0"/>
          </reference>
          <reference field="2" count="0"/>
        </references>
      </pivotArea>
    </format>
    <format dxfId="160">
      <pivotArea dataOnly="0" labelOnly="1" fieldPosition="0">
        <references count="2">
          <reference field="1" count="1" selected="0">
            <x v="1"/>
          </reference>
          <reference field="2" count="0"/>
        </references>
      </pivotArea>
    </format>
    <format dxfId="159">
      <pivotArea dataOnly="0" labelOnly="1" outline="0" axis="axisValues" fieldPosition="0"/>
    </format>
  </formats>
  <conditionalFormats count="1">
    <conditionalFormat priority="15">
      <pivotAreas count="3">
        <pivotArea type="data" collapsedLevelsAreSubtotals="1" fieldPosition="0">
          <references count="3">
            <reference field="4294967294" count="1" selected="0">
              <x v="0"/>
            </reference>
            <reference field="1" count="1" selected="0">
              <x v="0"/>
            </reference>
            <reference field="2" count="2">
              <x v="0"/>
              <x v="1"/>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1" count="1" selected="0">
              <x v="1"/>
            </reference>
            <reference field="2" count="2">
              <x v="0"/>
              <x v="1"/>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ABA3D5D-3A32-467B-954E-48DF46F3ABF0}" name="PivotTable25" cacheId="207" applyNumberFormats="0" applyBorderFormats="0" applyFontFormats="0" applyPatternFormats="0" applyAlignmentFormats="0" applyWidthHeightFormats="1" dataCaption="Values" tag="22998705-55b3-4837-88f4-5b1943e5f7bb" updatedVersion="8" minRefreshableVersion="3" useAutoFormatting="1" rowGrandTotals="0" colGrandTotals="0" itemPrintTitles="1" createdVersion="5" indent="0" outline="1" outlineData="1" multipleFieldFilters="0">
  <location ref="J109:L115"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s="1" x="0"/>
        <item s="1" x="1"/>
      </items>
    </pivotField>
    <pivotField axis="axisRow" allDrilled="1" subtotalTop="0" showAll="0" dataSourceSort="1" defaultSubtotal="0" defaultAttributeDrillState="1">
      <items count="2">
        <item x="0"/>
        <item x="1"/>
      </items>
    </pivotField>
    <pivotField dataField="1" subtotalTop="0" showAll="0" defaultSubtotal="0"/>
  </pivotFields>
  <rowFields count="2">
    <field x="2"/>
    <field x="3"/>
  </rowFields>
  <rowItems count="6">
    <i>
      <x/>
    </i>
    <i r="1">
      <x/>
    </i>
    <i r="1">
      <x v="1"/>
    </i>
    <i>
      <x v="1"/>
    </i>
    <i r="1">
      <x/>
    </i>
    <i r="1">
      <x v="1"/>
    </i>
  </rowItems>
  <colFields count="1">
    <field x="-2"/>
  </colFields>
  <colItems count="2">
    <i>
      <x/>
    </i>
    <i i="1">
      <x v="1"/>
    </i>
  </colItems>
  <dataFields count="2">
    <dataField name="Count of Dengue_Result" fld="1" subtotal="count" baseField="0" baseItem="0"/>
    <dataField name="Count of Non_Structural_Protein_Result" fld="4" subtotal="count" showDataAs="percentOfTotal" baseField="0" baseItem="0" numFmtId="10"/>
  </dataFields>
  <formats count="8">
    <format dxfId="174">
      <pivotArea type="all" dataOnly="0" outline="0" fieldPosition="0"/>
    </format>
    <format dxfId="173">
      <pivotArea outline="0" collapsedLevelsAreSubtotals="1" fieldPosition="0"/>
    </format>
    <format dxfId="172">
      <pivotArea field="2" type="button" dataOnly="0" labelOnly="1" outline="0" axis="axisRow" fieldPosition="0"/>
    </format>
    <format dxfId="171">
      <pivotArea dataOnly="0" labelOnly="1" fieldPosition="0">
        <references count="1">
          <reference field="2" count="0"/>
        </references>
      </pivotArea>
    </format>
    <format dxfId="170">
      <pivotArea dataOnly="0" labelOnly="1" grandRow="1" outline="0" fieldPosition="0"/>
    </format>
    <format dxfId="169">
      <pivotArea dataOnly="0" labelOnly="1" fieldPosition="0">
        <references count="2">
          <reference field="2" count="1" selected="0">
            <x v="0"/>
          </reference>
          <reference field="3" count="0"/>
        </references>
      </pivotArea>
    </format>
    <format dxfId="168">
      <pivotArea dataOnly="0" labelOnly="1" fieldPosition="0">
        <references count="2">
          <reference field="2" count="1" selected="0">
            <x v="1"/>
          </reference>
          <reference field="3" count="0"/>
        </references>
      </pivotArea>
    </format>
    <format dxfId="167">
      <pivotArea dataOnly="0" labelOnly="1" outline="0" fieldPosition="0">
        <references count="1">
          <reference field="4294967294" count="2">
            <x v="0"/>
            <x v="1"/>
          </reference>
        </references>
      </pivotArea>
    </format>
  </formats>
  <conditionalFormats count="2">
    <conditionalFormat priority="6">
      <pivotAreas count="3">
        <pivotArea type="data" collapsedLevelsAreSubtotals="1" fieldPosition="0">
          <references count="3">
            <reference field="4294967294" count="1" selected="0">
              <x v="0"/>
            </reference>
            <reference field="2" count="1" selected="0">
              <x v="0"/>
            </reference>
            <reference field="3" count="2">
              <x v="0"/>
              <x v="1"/>
            </reference>
          </references>
        </pivotArea>
        <pivotArea type="data" collapsedLevelsAreSubtotals="1" fieldPosition="0">
          <references count="2">
            <reference field="4294967294" count="1" selected="0">
              <x v="0"/>
            </reference>
            <reference field="2" count="1">
              <x v="1"/>
            </reference>
          </references>
        </pivotArea>
        <pivotArea type="data" collapsedLevelsAreSubtotals="1" fieldPosition="0">
          <references count="3">
            <reference field="4294967294" count="1" selected="0">
              <x v="0"/>
            </reference>
            <reference field="2" count="1" selected="0">
              <x v="1"/>
            </reference>
            <reference field="3" count="2">
              <x v="0"/>
              <x v="1"/>
            </reference>
          </references>
        </pivotArea>
      </pivotAreas>
    </conditionalFormat>
    <conditionalFormat priority="5">
      <pivotAreas count="3">
        <pivotArea type="data" collapsedLevelsAreSubtotals="1" fieldPosition="0">
          <references count="3">
            <reference field="4294967294" count="1" selected="0">
              <x v="1"/>
            </reference>
            <reference field="2" count="1" selected="0">
              <x v="0"/>
            </reference>
            <reference field="3" count="2">
              <x v="0"/>
              <x v="1"/>
            </reference>
          </references>
        </pivotArea>
        <pivotArea type="data" collapsedLevelsAreSubtotals="1" fieldPosition="0">
          <references count="2">
            <reference field="4294967294" count="1" selected="0">
              <x v="1"/>
            </reference>
            <reference field="2" count="1">
              <x v="1"/>
            </reference>
          </references>
        </pivotArea>
        <pivotArea type="data" collapsedLevelsAreSubtotals="1" fieldPosition="0">
          <references count="3">
            <reference field="4294967294" count="1" selected="0">
              <x v="1"/>
            </reference>
            <reference field="2" count="1" selected="0">
              <x v="1"/>
            </reference>
            <reference field="3" count="2">
              <x v="0"/>
              <x v="1"/>
            </reference>
          </references>
        </pivotArea>
      </pivotAreas>
    </conditionalFormat>
  </conditionalFormats>
  <pivotHierarchies count="4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0320340-C875-4E03-A556-B365EC570D93}" name="PivotTable30" cacheId="208" applyNumberFormats="0" applyBorderFormats="0" applyFontFormats="0" applyPatternFormats="0" applyAlignmentFormats="0" applyWidthHeightFormats="1" dataCaption="Values" tag="5581c439-9a55-42e0-bc37-a834b50ad245" updatedVersion="8" minRefreshableVersion="3" useAutoFormatting="1" subtotalHiddenItems="1" itemPrintTitles="1" createdVersion="5" indent="0" outline="1" outlineData="1" multipleFieldFilters="0">
  <location ref="B17:B18"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fld="1" subtotal="count" baseField="0" baseItem="0"/>
  </dataFields>
  <formats count="3">
    <format dxfId="76">
      <pivotArea type="all" dataOnly="0" outline="0" fieldPosition="0"/>
    </format>
    <format dxfId="75">
      <pivotArea outline="0" collapsedLevelsAreSubtotals="1" fieldPosition="0"/>
    </format>
    <format dxfId="74">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6C62232-201B-47EB-8346-75D2A4FDD8C7}" name="PivotTable9" cacheId="2978" applyNumberFormats="0" applyBorderFormats="0" applyFontFormats="0" applyPatternFormats="0" applyAlignmentFormats="0" applyWidthHeightFormats="1" dataCaption="Values" tag="24c414c5-fc22-4d91-91d7-b0176c60aca0" updatedVersion="8" minRefreshableVersion="3" useAutoFormatting="1" rowGrandTotals="0" colGrandTotals="0" itemPrintTitles="1" createdVersion="5" indent="0" outline="1" outlineData="1" multipleFieldFilters="0" chartFormat="5" rowHeaderCaption="Recent Dengue Infection">
  <location ref="J192:L193"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
    <i>
      <x/>
    </i>
  </rowItems>
  <colFields count="1">
    <field x="-2"/>
  </colFields>
  <colItems count="2">
    <i>
      <x/>
    </i>
    <i i="1">
      <x v="1"/>
    </i>
  </colItems>
  <dataFields count="2">
    <dataField name="Number of Respondents" fld="0" subtotal="count" baseField="1" baseItem="0"/>
    <dataField name="Count of Dengue_Result" fld="3" subtotal="count" showDataAs="percentOfTotal" baseField="0" baseItem="0" numFmtId="164">
      <extLst>
        <ext xmlns:x14="http://schemas.microsoft.com/office/spreadsheetml/2009/9/main" uri="{E15A36E0-9728-4e99-A89B-3F7291B0FE68}">
          <x14:dataField sourceField="0" uniqueName="[__Xl2].[Measures].[Count of Dengue_Result]"/>
        </ext>
      </extLst>
    </dataField>
  </dataFields>
  <formats count="8">
    <format dxfId="180">
      <pivotArea type="all" dataOnly="0" outline="0" fieldPosition="0"/>
    </format>
    <format dxfId="179">
      <pivotArea outline="0" collapsedLevelsAreSubtotals="1" fieldPosition="0"/>
    </format>
    <format dxfId="178">
      <pivotArea field="1" type="button" dataOnly="0" labelOnly="1" outline="0" axis="axisRow" fieldPosition="0"/>
    </format>
    <format dxfId="177">
      <pivotArea dataOnly="0" labelOnly="1" fieldPosition="0">
        <references count="1">
          <reference field="1" count="0"/>
        </references>
      </pivotArea>
    </format>
    <format dxfId="176">
      <pivotArea dataOnly="0" labelOnly="1" grandRow="1" outline="0" fieldPosition="0"/>
    </format>
    <format dxfId="175">
      <pivotArea dataOnly="0" labelOnly="1" outline="0" axis="axisValues" fieldPosition="0"/>
    </format>
    <format dxfId="86">
      <pivotArea outline="0" fieldPosition="0">
        <references count="1">
          <reference field="4294967294" count="1">
            <x v="1"/>
          </reference>
        </references>
      </pivotArea>
    </format>
    <format dxfId="85">
      <pivotArea outline="0" collapsedLevelsAreSubtotals="1" fieldPosition="0">
        <references count="1">
          <reference field="4294967294" count="1" selected="0">
            <x v="1"/>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 count="1" selected="0">
            <x v="1"/>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1"/>
          </reference>
          <reference field="1" count="1" selected="0">
            <x v="0"/>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 count="1" selected="0">
            <x v="1"/>
          </reference>
        </references>
      </pivotArea>
    </chartFormat>
    <chartFormat chart="4" format="14">
      <pivotArea type="data" outline="0" fieldPosition="0">
        <references count="2">
          <reference field="4294967294" count="1" selected="0">
            <x v="0"/>
          </reference>
          <reference field="1" count="1" selected="0">
            <x v="0"/>
          </reference>
        </references>
      </pivotArea>
    </chartFormat>
    <chartFormat chart="4" format="15" series="1">
      <pivotArea type="data" outline="0" fieldPosition="0">
        <references count="1">
          <reference field="4294967294" count="1" selected="0">
            <x v="1"/>
          </reference>
        </references>
      </pivotArea>
    </chartFormat>
    <chartFormat chart="4" format="16">
      <pivotArea type="data" outline="0" fieldPosition="0">
        <references count="2">
          <reference field="4294967294" count="1" selected="0">
            <x v="1"/>
          </reference>
          <reference field="1" count="1" selected="0">
            <x v="1"/>
          </reference>
        </references>
      </pivotArea>
    </chartFormat>
    <chartFormat chart="4" format="17">
      <pivotArea type="data" outline="0" fieldPosition="0">
        <references count="2">
          <reference field="4294967294" count="1" selected="0">
            <x v="1"/>
          </reference>
          <reference field="1" count="1" selected="0">
            <x v="0"/>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Number of Respondents"/>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B79059-ED3E-4103-A46F-EDA6B7BE4289}" name="PivotTable14" cacheId="210" applyNumberFormats="0" applyBorderFormats="0" applyFontFormats="0" applyPatternFormats="0" applyAlignmentFormats="0" applyWidthHeightFormats="1" dataCaption="Values" tag="394e971e-5a54-45df-b9ef-1ad6d39f68be" updatedVersion="8" minRefreshableVersion="3" useAutoFormatting="1" subtotalHiddenItems="1" itemPrintTitles="1" createdVersion="5" indent="0" outline="1" outlineData="1" multipleFieldFilters="0" chartFormat="7">
  <location ref="M7:N22"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2">
    <field x="0"/>
    <field x="2"/>
  </rowFields>
  <rowItems count="15">
    <i>
      <x/>
    </i>
    <i r="1">
      <x/>
    </i>
    <i r="1">
      <x v="1"/>
    </i>
    <i r="1">
      <x v="2"/>
    </i>
    <i r="1">
      <x v="3"/>
    </i>
    <i r="1">
      <x v="4"/>
    </i>
    <i r="1">
      <x v="5"/>
    </i>
    <i>
      <x v="1"/>
    </i>
    <i r="1">
      <x/>
    </i>
    <i r="1">
      <x v="1"/>
    </i>
    <i r="1">
      <x v="2"/>
    </i>
    <i r="1">
      <x v="3"/>
    </i>
    <i r="1">
      <x v="4"/>
    </i>
    <i r="1">
      <x v="5"/>
    </i>
    <i t="grand">
      <x/>
    </i>
  </rowItems>
  <colItems count="1">
    <i/>
  </colItems>
  <dataFields count="1">
    <dataField name="Count of Dengue_Result" fld="1" subtotal="count" baseField="0" baseItem="0"/>
  </dataFields>
  <formats count="8">
    <format dxfId="188">
      <pivotArea type="all" dataOnly="0" outline="0" fieldPosition="0"/>
    </format>
    <format dxfId="187">
      <pivotArea outline="0" collapsedLevelsAreSubtotals="1" fieldPosition="0"/>
    </format>
    <format dxfId="186">
      <pivotArea field="0" type="button" dataOnly="0" labelOnly="1" outline="0" axis="axisRow" fieldPosition="0"/>
    </format>
    <format dxfId="185">
      <pivotArea dataOnly="0" labelOnly="1" fieldPosition="0">
        <references count="1">
          <reference field="0" count="0"/>
        </references>
      </pivotArea>
    </format>
    <format dxfId="184">
      <pivotArea dataOnly="0" labelOnly="1" grandRow="1" outline="0" fieldPosition="0"/>
    </format>
    <format dxfId="183">
      <pivotArea dataOnly="0" labelOnly="1" fieldPosition="0">
        <references count="2">
          <reference field="0" count="1" selected="0">
            <x v="0"/>
          </reference>
          <reference field="2" count="0"/>
        </references>
      </pivotArea>
    </format>
    <format dxfId="182">
      <pivotArea dataOnly="0" labelOnly="1" fieldPosition="0">
        <references count="2">
          <reference field="0" count="1" selected="0">
            <x v="1"/>
          </reference>
          <reference field="2" count="0"/>
        </references>
      </pivotArea>
    </format>
    <format dxfId="181">
      <pivotArea dataOnly="0" labelOnly="1" outline="0" axis="axisValues" fieldPosition="0"/>
    </format>
  </formats>
  <conditionalFormats count="1">
    <conditionalFormat priority="20">
      <pivotAreas count="3">
        <pivotArea type="data" collapsedLevelsAreSubtotals="1" fieldPosition="0">
          <references count="3">
            <reference field="4294967294" count="1" selected="0">
              <x v="0"/>
            </reference>
            <reference field="0" count="1" selected="0">
              <x v="0"/>
            </reference>
            <reference field="2" count="6">
              <x v="0"/>
              <x v="1"/>
              <x v="2"/>
              <x v="3"/>
              <x v="4"/>
              <x v="5"/>
            </reference>
          </references>
        </pivotArea>
        <pivotArea type="data" collapsedLevelsAreSubtotals="1" fieldPosition="0">
          <references count="2">
            <reference field="4294967294" count="1" selected="0">
              <x v="0"/>
            </reference>
            <reference field="0" count="1">
              <x v="1"/>
            </reference>
          </references>
        </pivotArea>
        <pivotArea type="data" collapsedLevelsAreSubtotals="1" fieldPosition="0">
          <references count="3">
            <reference field="4294967294" count="1" selected="0">
              <x v="0"/>
            </reference>
            <reference field="0" count="1" selected="0">
              <x v="1"/>
            </reference>
            <reference field="2" count="6">
              <x v="0"/>
              <x v="1"/>
              <x v="2"/>
              <x v="3"/>
              <x v="4"/>
              <x v="5"/>
            </reference>
          </references>
        </pivotArea>
      </pivotAreas>
    </conditionalFormat>
  </conditionalFormats>
  <chartFormats count="1">
    <chartFormat chart="2" format="0"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7FFF55C-1C3E-4611-9CC4-9B41858BDE2F}" name="PivotTable23" cacheId="211" applyNumberFormats="0" applyBorderFormats="0" applyFontFormats="0" applyPatternFormats="0" applyAlignmentFormats="0" applyWidthHeightFormats="1" dataCaption="Values" tag="23567b66-4dc5-4eb3-93a2-e0acd78f118c" updatedVersion="8" minRefreshableVersion="3" useAutoFormatting="1" rowGrandTotals="0" colGrandTotals="0" itemPrintTitles="1" createdVersion="5" indent="0" showHeaders="0" outline="1" outlineData="1" multipleFieldFilters="0" chartFormat="9" rowHeaderCaption="Dengue Infection History">
  <location ref="F108:H11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s="1" x="0"/>
        <item s="1" x="1"/>
      </items>
    </pivotField>
    <pivotField axis="axisRow" allDrilled="1" subtotalTop="0" showAll="0" dataSourceSort="1" defaultSubtotal="0" defaultAttributeDrillState="1">
      <items count="2">
        <item x="0"/>
        <item x="1"/>
      </items>
    </pivotField>
    <pivotField dataField="1" subtotalTop="0" showAll="0" defaultSubtotal="0"/>
  </pivotFields>
  <rowFields count="2">
    <field x="2"/>
    <field x="3"/>
  </rowFields>
  <rowItems count="6">
    <i>
      <x/>
    </i>
    <i r="1">
      <x/>
    </i>
    <i r="1">
      <x v="1"/>
    </i>
    <i>
      <x v="1"/>
    </i>
    <i r="1">
      <x/>
    </i>
    <i r="1">
      <x v="1"/>
    </i>
  </rowItems>
  <colFields count="1">
    <field x="-2"/>
  </colFields>
  <colItems count="2">
    <i>
      <x/>
    </i>
    <i i="1">
      <x v="1"/>
    </i>
  </colItems>
  <dataFields count="2">
    <dataField name="Number Infection" fld="1" subtotal="count" baseField="2" baseItem="0"/>
    <dataField name="% of Infection" fld="4" subtotal="count" showDataAs="percentOfTotal" baseField="0" baseItem="0" numFmtId="10"/>
  </dataFields>
  <formats count="8">
    <format dxfId="196">
      <pivotArea type="all" dataOnly="0" outline="0" fieldPosition="0"/>
    </format>
    <format dxfId="195">
      <pivotArea outline="0" collapsedLevelsAreSubtotals="1" fieldPosition="0"/>
    </format>
    <format dxfId="194">
      <pivotArea field="2" type="button" dataOnly="0" labelOnly="1" outline="0" axis="axisRow" fieldPosition="0"/>
    </format>
    <format dxfId="193">
      <pivotArea dataOnly="0" labelOnly="1" fieldPosition="0">
        <references count="1">
          <reference field="2" count="0"/>
        </references>
      </pivotArea>
    </format>
    <format dxfId="192">
      <pivotArea dataOnly="0" labelOnly="1" grandRow="1" outline="0" fieldPosition="0"/>
    </format>
    <format dxfId="191">
      <pivotArea dataOnly="0" labelOnly="1" fieldPosition="0">
        <references count="2">
          <reference field="2" count="1" selected="0">
            <x v="0"/>
          </reference>
          <reference field="3" count="0"/>
        </references>
      </pivotArea>
    </format>
    <format dxfId="190">
      <pivotArea dataOnly="0" labelOnly="1" fieldPosition="0">
        <references count="2">
          <reference field="2" count="1" selected="0">
            <x v="1"/>
          </reference>
          <reference field="3" count="0"/>
        </references>
      </pivotArea>
    </format>
    <format dxfId="189">
      <pivotArea dataOnly="0" labelOnly="1" outline="0" fieldPosition="0">
        <references count="1">
          <reference field="4294967294" count="2">
            <x v="0"/>
            <x v="1"/>
          </reference>
        </references>
      </pivotArea>
    </format>
  </formats>
  <conditionalFormats count="1">
    <conditionalFormat priority="18">
      <pivotAreas count="3">
        <pivotArea type="data" collapsedLevelsAreSubtotals="1" fieldPosition="0">
          <references count="3">
            <reference field="4294967294" count="1" selected="0">
              <x v="1"/>
            </reference>
            <reference field="2" count="1" selected="0">
              <x v="0"/>
            </reference>
            <reference field="3" count="2">
              <x v="0"/>
              <x v="1"/>
            </reference>
          </references>
        </pivotArea>
        <pivotArea type="data" collapsedLevelsAreSubtotals="1" fieldPosition="0">
          <references count="2">
            <reference field="4294967294" count="1" selected="0">
              <x v="1"/>
            </reference>
            <reference field="2" count="1">
              <x v="1"/>
            </reference>
          </references>
        </pivotArea>
        <pivotArea type="data" collapsedLevelsAreSubtotals="1" fieldPosition="0">
          <references count="3">
            <reference field="4294967294" count="1" selected="0">
              <x v="1"/>
            </reference>
            <reference field="2" count="1" selected="0">
              <x v="1"/>
            </reference>
            <reference field="3" count="2">
              <x v="0"/>
              <x v="1"/>
            </reference>
          </references>
        </pivotArea>
      </pivotAreas>
    </conditionalFormat>
  </conditional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Number Infection"/>
    <pivotHierarchy dragToData="1" caption="% of Infectio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AE03029-ED49-4744-88B2-0B6B21E4E938}" name="PivotTable29" cacheId="212" applyNumberFormats="0" applyBorderFormats="0" applyFontFormats="0" applyPatternFormats="0" applyAlignmentFormats="0" applyWidthHeightFormats="1" dataCaption="Values" tag="eb659461-4efc-4765-8fb1-9741e1f4ed4c" updatedVersion="8" minRefreshableVersion="3" useAutoFormatting="1" itemPrintTitles="1" createdVersion="5" indent="0" outline="1" outlineData="1" multipleFieldFilters="0">
  <location ref="B7:B8"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fld="1" subtotal="count" baseField="0" baseItem="0"/>
  </dataFields>
  <formats count="3">
    <format dxfId="73">
      <pivotArea type="all" dataOnly="0" outline="0" fieldPosition="0"/>
    </format>
    <format dxfId="72">
      <pivotArea outline="0" collapsedLevelsAreSubtotals="1" fieldPosition="0"/>
    </format>
    <format dxfId="71">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1B70006-B3FA-43A2-BC28-133C2D3393C9}" name="PivotTable35" cacheId="2984" applyNumberFormats="0" applyBorderFormats="0" applyFontFormats="0" applyPatternFormats="0" applyAlignmentFormats="0" applyWidthHeightFormats="1" dataCaption="Values" tag="f0baeb98-e3f2-41a0-b919-c4cd95996bf7" updatedVersion="8" minRefreshableVersion="3" useAutoFormatting="1" subtotalHiddenItems="1" rowGrandTotals="0" colGrandTotals="0" itemPrintTitles="1" createdVersion="5" indent="0" outline="1" outlineData="1" multipleFieldFilters="0" chartFormat="58" rowHeaderCaption="Age Ranges">
  <location ref="B163:C199"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allDrilled="1" subtotalTop="0" showAll="0" dataSourceSort="1" defaultSubtotal="0" defaultAttributeDrillState="1"/>
  </pivotFields>
  <rowFields count="1">
    <field x="2"/>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rowItems>
  <colItems count="1">
    <i/>
  </colItems>
  <dataFields count="1">
    <dataField name="Number of Dengue Patients" fld="0" subtotal="count" baseField="0" baseItem="0"/>
  </dataFields>
  <formats count="5">
    <format dxfId="31">
      <pivotArea type="all" dataOnly="0" outline="0" fieldPosition="0"/>
    </format>
    <format dxfId="26">
      <pivotArea outline="0" collapsedLevelsAreSubtotals="1" fieldPosition="0"/>
    </format>
    <format dxfId="25">
      <pivotArea field="2" type="button" dataOnly="0" labelOnly="1" outline="0" axis="axisRow" fieldPosition="0"/>
    </format>
    <format dxfId="24">
      <pivotArea dataOnly="0" labelOnly="1" fieldPosition="0">
        <references count="1">
          <reference field="2" count="0"/>
        </references>
      </pivotArea>
    </format>
    <format dxfId="23">
      <pivotArea dataOnly="0" labelOnly="1" outline="0" axis="axisValues" fieldPosition="0"/>
    </format>
  </formats>
  <chartFormats count="3">
    <chartFormat chart="20"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Dengue].[AreaType].&amp;[Developed]"/>
      </members>
    </pivotHierarchy>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 of Dengue Patie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95CBDC5-95B9-44BE-9DF9-8AA8CA58339E}" name="PivotTable18" cacheId="2969" applyNumberFormats="0" applyBorderFormats="0" applyFontFormats="0" applyPatternFormats="0" applyAlignmentFormats="0" applyWidthHeightFormats="1" dataCaption="Values" tag="c5e12148-0ba0-4de6-9e5d-1984af95a4b1" updatedVersion="8" minRefreshableVersion="3" useAutoFormatting="1" subtotalHiddenItems="1" rowGrandTotals="0" colGrandTotals="0" itemPrintTitles="1" createdVersion="5" indent="0" outline="1" outlineData="1" multipleFieldFilters="0" chartFormat="13">
  <location ref="F66:H68"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2">
    <i>
      <x/>
    </i>
    <i>
      <x v="1"/>
    </i>
  </rowItems>
  <colFields count="1">
    <field x="-2"/>
  </colFields>
  <colItems count="2">
    <i>
      <x/>
    </i>
    <i i="1">
      <x v="1"/>
    </i>
  </colItems>
  <dataFields count="2">
    <dataField name="% of Dengue Infection" fld="0" subtotal="count" showDataAs="percentOfTotal" baseField="0" baseItem="0" numFmtId="10"/>
    <dataField name="Count of Non_Structural_Protein_Result" fld="2" subtotal="count" baseField="0" baseItem="0"/>
  </dataFields>
  <formats count="11">
    <format dxfId="202">
      <pivotArea type="all" dataOnly="0" outline="0" fieldPosition="0"/>
    </format>
    <format dxfId="201">
      <pivotArea dataOnly="0" labelOnly="1" grandRow="1" outline="0" fieldPosition="0"/>
    </format>
    <format dxfId="200">
      <pivotArea dataOnly="0" labelOnly="1" outline="0" axis="axisValues" fieldPosition="0"/>
    </format>
    <format dxfId="199">
      <pivotArea outline="0" fieldPosition="0">
        <references count="1">
          <reference field="4294967294" count="1">
            <x v="0"/>
          </reference>
        </references>
      </pivotArea>
    </format>
    <format dxfId="198">
      <pivotArea collapsedLevelsAreSubtotals="1" fieldPosition="0">
        <references count="2">
          <reference field="4294967294" count="1" selected="0">
            <x v="0"/>
          </reference>
          <reference field="1" count="1">
            <x v="0"/>
          </reference>
        </references>
      </pivotArea>
    </format>
    <format dxfId="197">
      <pivotArea collapsedLevelsAreSubtotals="1" fieldPosition="0">
        <references count="2">
          <reference field="4294967294" count="1" selected="0">
            <x v="0"/>
          </reference>
          <reference field="1" count="1">
            <x v="1"/>
          </reference>
        </references>
      </pivotArea>
    </format>
    <format dxfId="63">
      <pivotArea type="all" dataOnly="0" outline="0" fieldPosition="0"/>
    </format>
    <format dxfId="62">
      <pivotArea outline="0" collapsedLevelsAreSubtotals="1" fieldPosition="0"/>
    </format>
    <format dxfId="60">
      <pivotArea field="1" type="button" dataOnly="0" labelOnly="1" outline="0" axis="axisRow" fieldPosition="0"/>
    </format>
    <format dxfId="58">
      <pivotArea dataOnly="0" labelOnly="1" fieldPosition="0">
        <references count="1">
          <reference field="1" count="0"/>
        </references>
      </pivotArea>
    </format>
    <format dxfId="56">
      <pivotArea dataOnly="0" labelOnly="1" outline="0" fieldPosition="0">
        <references count="1">
          <reference field="4294967294" count="2">
            <x v="0"/>
            <x v="1"/>
          </reference>
        </references>
      </pivotArea>
    </format>
  </formats>
  <conditionalFormats count="1">
    <conditionalFormat priority="14">
      <pivotAreas count="1">
        <pivotArea type="data" outline="0" collapsedLevelsAreSubtotals="1" fieldPosition="0">
          <references count="1">
            <reference field="4294967294" count="1" selected="0">
              <x v="0"/>
            </reference>
          </references>
        </pivotArea>
      </pivotAreas>
    </conditionalFormat>
  </conditionalFormats>
  <chartFormats count="1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1"/>
          </reference>
          <reference field="1" count="1" selected="0">
            <x v="0"/>
          </reference>
        </references>
      </pivotArea>
    </chartFormat>
    <chartFormat chart="6" format="3">
      <pivotArea type="data" outline="0" fieldPosition="0">
        <references count="2">
          <reference field="4294967294" count="1" selected="0">
            <x v="0"/>
          </reference>
          <reference field="1" count="1" selected="0">
            <x v="0"/>
          </reference>
        </references>
      </pivotArea>
    </chartFormat>
    <chartFormat chart="6" format="4">
      <pivotArea type="data" outline="0" fieldPosition="0">
        <references count="2">
          <reference field="4294967294" count="1" selected="0">
            <x v="1"/>
          </reference>
          <reference field="1" count="1" selected="0">
            <x v="1"/>
          </reference>
        </references>
      </pivotArea>
    </chartFormat>
    <chartFormat chart="6" format="5">
      <pivotArea type="data" outline="0" fieldPosition="0">
        <references count="2">
          <reference field="4294967294" count="1" selected="0">
            <x v="0"/>
          </reference>
          <reference field="1"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 count="1" selected="0">
            <x v="0"/>
          </reference>
        </references>
      </pivotArea>
    </chartFormat>
    <chartFormat chart="10" format="14">
      <pivotArea type="data" outline="0" fieldPosition="0">
        <references count="2">
          <reference field="4294967294" count="1" selected="0">
            <x v="0"/>
          </reference>
          <reference field="1" count="1" selected="0">
            <x v="1"/>
          </reference>
        </references>
      </pivotArea>
    </chartFormat>
    <chartFormat chart="10" format="15" series="1">
      <pivotArea type="data" outline="0" fieldPosition="0">
        <references count="1">
          <reference field="4294967294" count="1" selected="0">
            <x v="1"/>
          </reference>
        </references>
      </pivotArea>
    </chartFormat>
    <chartFormat chart="10" format="16">
      <pivotArea type="data" outline="0" fieldPosition="0">
        <references count="2">
          <reference field="4294967294" count="1" selected="0">
            <x v="1"/>
          </reference>
          <reference field="1" count="1" selected="0">
            <x v="0"/>
          </reference>
        </references>
      </pivotArea>
    </chartFormat>
    <chartFormat chart="10" format="17">
      <pivotArea type="data" outline="0" fieldPosition="0">
        <references count="2">
          <reference field="4294967294" count="1" selected="0">
            <x v="1"/>
          </reference>
          <reference field="1" count="1" selected="0">
            <x v="1"/>
          </reference>
        </references>
      </pivotArea>
    </chartFormat>
  </chartFormats>
  <pivotHierarchies count="4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 of Dengue Infection"/>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54CC357-C87B-4AD3-8586-A9689427D6E2}" name="PivotTable28" cacheId="215" applyNumberFormats="0" applyBorderFormats="0" applyFontFormats="0" applyPatternFormats="0" applyAlignmentFormats="0" applyWidthHeightFormats="1" dataCaption="Values" tag="0d06b48c-6edc-467d-a9cb-8696fbbb1fa4" updatedVersion="8" minRefreshableVersion="3" useAutoFormatting="1" itemPrintTitles="1" createdVersion="5" indent="0" outline="1" outlineData="1" multipleFieldFilters="0">
  <location ref="Y109:Z118" firstHeaderRow="1" firstDataRow="1" firstDataCol="1" rowPageCount="1" colPageCount="1"/>
  <pivotFields count="4">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s="1" x="0"/>
        <item s="1" x="1"/>
      </items>
    </pivotField>
    <pivotField axis="axisRow" allDrilled="1" subtotalTop="0" showAll="0" dataSourceSort="1" defaultSubtotal="0" defaultAttributeDrillState="1">
      <items count="3">
        <item x="0"/>
        <item x="1"/>
        <item x="2"/>
      </items>
    </pivotField>
  </pivotFields>
  <rowFields count="2">
    <field x="2"/>
    <field x="3"/>
  </rowFields>
  <rowItems count="9">
    <i>
      <x/>
    </i>
    <i r="1">
      <x/>
    </i>
    <i r="1">
      <x v="1"/>
    </i>
    <i r="1">
      <x v="2"/>
    </i>
    <i>
      <x v="1"/>
    </i>
    <i r="1">
      <x/>
    </i>
    <i r="1">
      <x v="1"/>
    </i>
    <i r="1">
      <x v="2"/>
    </i>
    <i t="grand">
      <x/>
    </i>
  </rowItems>
  <colItems count="1">
    <i/>
  </colItems>
  <pageFields count="1">
    <pageField fld="0" hier="14" name="[Dengue].[Dengue_Result].&amp;[Positive]" cap="Positive"/>
  </pageFields>
  <dataFields count="1">
    <dataField name="Count of Dengue_Result" fld="1" subtotal="count" baseField="0" baseItem="0"/>
  </dataFields>
  <formats count="8">
    <format dxfId="210">
      <pivotArea type="all" dataOnly="0" outline="0" fieldPosition="0"/>
    </format>
    <format dxfId="209">
      <pivotArea outline="0" collapsedLevelsAreSubtotals="1" fieldPosition="0"/>
    </format>
    <format dxfId="208">
      <pivotArea field="2" type="button" dataOnly="0" labelOnly="1" outline="0" axis="axisRow" fieldPosition="0"/>
    </format>
    <format dxfId="207">
      <pivotArea dataOnly="0" labelOnly="1" fieldPosition="0">
        <references count="1">
          <reference field="2" count="0"/>
        </references>
      </pivotArea>
    </format>
    <format dxfId="206">
      <pivotArea dataOnly="0" labelOnly="1" grandRow="1" outline="0" fieldPosition="0"/>
    </format>
    <format dxfId="205">
      <pivotArea dataOnly="0" labelOnly="1" fieldPosition="0">
        <references count="2">
          <reference field="2" count="1" selected="0">
            <x v="0"/>
          </reference>
          <reference field="3" count="0"/>
        </references>
      </pivotArea>
    </format>
    <format dxfId="204">
      <pivotArea dataOnly="0" labelOnly="1" fieldPosition="0">
        <references count="2">
          <reference field="2" count="1" selected="0">
            <x v="1"/>
          </reference>
          <reference field="3" count="0"/>
        </references>
      </pivotArea>
    </format>
    <format dxfId="203">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02977B1-A70B-4465-9C1A-324BF549C168}" name="PivotTable8" cacheId="2981" applyNumberFormats="0" applyBorderFormats="0" applyFontFormats="0" applyPatternFormats="0" applyAlignmentFormats="0" applyWidthHeightFormats="1" dataCaption="Values" tag="b3f33250-15de-4244-af73-015a162d7b74" updatedVersion="8" minRefreshableVersion="3" useAutoFormatting="1" itemPrintTitles="1" createdVersion="5" indent="0" outline="1" outlineData="1" multipleFieldFilters="0" chartFormat="10">
  <location ref="F5:H8"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Dengue_Result" fld="0" subtotal="count" baseField="0" baseItem="0"/>
    <dataField name="Count of Dengue_Result2" fld="3" subtotal="count" showDataAs="percentOfTotal" baseField="0" baseItem="0" numFmtId="10">
      <extLst>
        <ext xmlns:x14="http://schemas.microsoft.com/office/spreadsheetml/2009/9/main" uri="{E15A36E0-9728-4e99-A89B-3F7291B0FE68}">
          <x14:dataField sourceField="0" uniqueName="[__Xl2].[Measures].[Count of Dengue_Result]"/>
        </ext>
      </extLst>
    </dataField>
  </dataFields>
  <formats count="8">
    <format dxfId="89">
      <pivotArea type="all" dataOnly="0" outline="0" fieldPosition="0"/>
    </format>
    <format dxfId="90">
      <pivotArea outline="0" collapsedLevelsAreSubtotals="1" fieldPosition="0"/>
    </format>
    <format dxfId="91">
      <pivotArea field="1" type="button" dataOnly="0" labelOnly="1" outline="0" axis="axisRow" fieldPosition="0"/>
    </format>
    <format dxfId="92">
      <pivotArea dataOnly="0" labelOnly="1" fieldPosition="0">
        <references count="1">
          <reference field="1" count="0"/>
        </references>
      </pivotArea>
    </format>
    <format dxfId="93">
      <pivotArea dataOnly="0" labelOnly="1" grandRow="1" outline="0" fieldPosition="0"/>
    </format>
    <format dxfId="94">
      <pivotArea dataOnly="0" labelOnly="1" outline="0" axis="axisValues" fieldPosition="0"/>
    </format>
    <format dxfId="88">
      <pivotArea outline="0" fieldPosition="0">
        <references count="1">
          <reference field="4294967294" count="1">
            <x v="1"/>
          </reference>
        </references>
      </pivotArea>
    </format>
    <format dxfId="87">
      <pivotArea collapsedLevelsAreSubtotals="1" fieldPosition="0">
        <references count="2">
          <reference field="4294967294" count="1" selected="0">
            <x v="1"/>
          </reference>
          <reference field="1" count="0"/>
        </references>
      </pivotArea>
    </format>
  </formats>
  <chartFormats count="1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1"/>
          </reference>
          <reference field="1" count="1" selected="0">
            <x v="0"/>
          </reference>
        </references>
      </pivotArea>
    </chartFormat>
    <chartFormat chart="4" format="3">
      <pivotArea type="data" outline="0" fieldPosition="0">
        <references count="2">
          <reference field="4294967294" count="1" selected="0">
            <x v="0"/>
          </reference>
          <reference field="1" count="1" selected="0">
            <x v="0"/>
          </reference>
        </references>
      </pivotArea>
    </chartFormat>
    <chartFormat chart="4" format="4">
      <pivotArea type="data" outline="0" fieldPosition="0">
        <references count="2">
          <reference field="4294967294" count="1" selected="0">
            <x v="1"/>
          </reference>
          <reference field="1" count="1" selected="0">
            <x v="1"/>
          </reference>
        </references>
      </pivotArea>
    </chartFormat>
    <chartFormat chart="4" format="5">
      <pivotArea type="data" outline="0" fieldPosition="0">
        <references count="2">
          <reference field="4294967294" count="1" selected="0">
            <x v="0"/>
          </reference>
          <reference field="1" count="1" selected="0">
            <x v="1"/>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 count="1" selected="0">
            <x v="0"/>
          </reference>
        </references>
      </pivotArea>
    </chartFormat>
    <chartFormat chart="9" format="14">
      <pivotArea type="data" outline="0" fieldPosition="0">
        <references count="2">
          <reference field="4294967294" count="1" selected="0">
            <x v="0"/>
          </reference>
          <reference field="1" count="1" selected="0">
            <x v="1"/>
          </reference>
        </references>
      </pivotArea>
    </chartFormat>
    <chartFormat chart="9" format="15" series="1">
      <pivotArea type="data" outline="0" fieldPosition="0">
        <references count="1">
          <reference field="4294967294" count="1" selected="0">
            <x v="1"/>
          </reference>
        </references>
      </pivotArea>
    </chartFormat>
    <chartFormat chart="9" format="16">
      <pivotArea type="data" outline="0" fieldPosition="0">
        <references count="2">
          <reference field="4294967294" count="1" selected="0">
            <x v="1"/>
          </reference>
          <reference field="1" count="1" selected="0">
            <x v="0"/>
          </reference>
        </references>
      </pivotArea>
    </chartFormat>
    <chartFormat chart="9" format="17">
      <pivotArea type="data" outline="0" fieldPosition="0">
        <references count="2">
          <reference field="4294967294" count="1" selected="0">
            <x v="1"/>
          </reference>
          <reference field="1" count="1" selected="0">
            <x v="1"/>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B339C4D-90D5-463F-8FCA-301ECD1915D0}" name="PivotTable13" cacheId="2966" applyNumberFormats="0" applyBorderFormats="0" applyFontFormats="0" applyPatternFormats="0" applyAlignmentFormats="0" applyWidthHeightFormats="1" dataCaption="Values" tag="a9e50ea1-b486-4ce6-9d4a-f634fb334a7b" updatedVersion="8" minRefreshableVersion="3" useAutoFormatting="1" subtotalHiddenItems="1" rowGrandTotals="0" colGrandTotals="0" itemPrintTitles="1" createdVersion="5" indent="0" outline="1" outlineData="1" multipleFieldFilters="0" chartFormat="17" rowHeaderCaption="Area Type Wise Dengue Infection Frequency">
  <location ref="J7:K1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2">
        <item x="0"/>
        <item x="1"/>
      </items>
    </pivotField>
  </pivotFields>
  <rowFields count="2">
    <field x="1"/>
    <field x="3"/>
  </rowFields>
  <rowItems count="6">
    <i>
      <x/>
    </i>
    <i r="1">
      <x/>
    </i>
    <i r="1">
      <x v="1"/>
    </i>
    <i>
      <x v="1"/>
    </i>
    <i r="1">
      <x/>
    </i>
    <i r="1">
      <x v="1"/>
    </i>
  </rowItems>
  <colItems count="1">
    <i/>
  </colItems>
  <dataFields count="1">
    <dataField name="Number of Infection" fld="2" subtotal="count" baseField="1" baseItem="0"/>
  </dataFields>
  <formats count="8">
    <format dxfId="218">
      <pivotArea type="all" dataOnly="0" outline="0" fieldPosition="0"/>
    </format>
    <format dxfId="217">
      <pivotArea outline="0" collapsedLevelsAreSubtotals="1" fieldPosition="0"/>
    </format>
    <format dxfId="216">
      <pivotArea field="1" type="button" dataOnly="0" labelOnly="1" outline="0" axis="axisRow" fieldPosition="0"/>
    </format>
    <format dxfId="215">
      <pivotArea dataOnly="0" labelOnly="1" fieldPosition="0">
        <references count="1">
          <reference field="1" count="0"/>
        </references>
      </pivotArea>
    </format>
    <format dxfId="214">
      <pivotArea dataOnly="0" labelOnly="1" grandRow="1" outline="0" fieldPosition="0"/>
    </format>
    <format dxfId="213">
      <pivotArea dataOnly="0" labelOnly="1" fieldPosition="0">
        <references count="2">
          <reference field="1" count="1" selected="0">
            <x v="0"/>
          </reference>
          <reference field="3" count="0"/>
        </references>
      </pivotArea>
    </format>
    <format dxfId="212">
      <pivotArea dataOnly="0" labelOnly="1" fieldPosition="0">
        <references count="2">
          <reference field="1" count="1" selected="0">
            <x v="1"/>
          </reference>
          <reference field="3" count="0"/>
        </references>
      </pivotArea>
    </format>
    <format dxfId="211">
      <pivotArea dataOnly="0" labelOnly="1" outline="0" axis="axisValues" fieldPosition="0"/>
    </format>
  </formats>
  <conditionalFormats count="1">
    <conditionalFormat priority="10">
      <pivotAreas count="3">
        <pivotArea type="data" collapsedLevelsAreSubtotals="1" fieldPosition="0">
          <references count="3">
            <reference field="4294967294" count="1" selected="0">
              <x v="0"/>
            </reference>
            <reference field="1" count="1" selected="0">
              <x v="0"/>
            </reference>
            <reference field="3" count="2">
              <x v="0"/>
              <x v="1"/>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1" count="1" selected="0">
              <x v="1"/>
            </reference>
            <reference field="3" count="2">
              <x v="0"/>
              <x v="1"/>
            </reference>
          </references>
        </pivotArea>
      </pivotAreas>
    </conditionalFormat>
  </conditionalFormats>
  <chartFormats count="1">
    <chartFormat chart="6" format="0"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Number of Infection"/>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5CFFA6C-840E-4B66-8735-6CE7CE40A857}" name="PivotTable22" cacheId="218" applyNumberFormats="0" applyBorderFormats="0" applyFontFormats="0" applyPatternFormats="0" applyAlignmentFormats="0" applyWidthHeightFormats="1" dataCaption="Values" tag="25019e65-724e-45e1-a47e-e5d489569de9" updatedVersion="8" minRefreshableVersion="3" useAutoFormatting="1" itemPrintTitles="1" createdVersion="5" indent="0" outline="1" outlineData="1" multipleFieldFilters="0">
  <location ref="V64:W71" firstHeaderRow="1" firstDataRow="1" firstDataCol="1" rowPageCount="1" colPageCount="1"/>
  <pivotFields count="4">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s>
  <rowFields count="2">
    <field x="2"/>
    <field x="3"/>
  </rowFields>
  <rowItems count="7">
    <i>
      <x/>
    </i>
    <i r="1">
      <x/>
    </i>
    <i r="1">
      <x v="1"/>
    </i>
    <i>
      <x v="1"/>
    </i>
    <i r="1">
      <x/>
    </i>
    <i r="1">
      <x v="1"/>
    </i>
    <i t="grand">
      <x/>
    </i>
  </rowItems>
  <colItems count="1">
    <i/>
  </colItems>
  <pageFields count="1">
    <pageField fld="0" hier="14" name="[Dengue].[Dengue_Result].&amp;[Positive]" cap="Positive"/>
  </pageFields>
  <dataFields count="1">
    <dataField name="Count of Dengue_Result" fld="1" subtotal="count" baseField="0" baseItem="0"/>
  </dataFields>
  <formats count="8">
    <format dxfId="226">
      <pivotArea type="all" dataOnly="0" outline="0" fieldPosition="0"/>
    </format>
    <format dxfId="225">
      <pivotArea outline="0" collapsedLevelsAreSubtotals="1" fieldPosition="0"/>
    </format>
    <format dxfId="224">
      <pivotArea field="2" type="button" dataOnly="0" labelOnly="1" outline="0" axis="axisRow" fieldPosition="0"/>
    </format>
    <format dxfId="223">
      <pivotArea dataOnly="0" labelOnly="1" fieldPosition="0">
        <references count="1">
          <reference field="2" count="0"/>
        </references>
      </pivotArea>
    </format>
    <format dxfId="222">
      <pivotArea dataOnly="0" labelOnly="1" grandRow="1" outline="0" fieldPosition="0"/>
    </format>
    <format dxfId="221">
      <pivotArea dataOnly="0" labelOnly="1" fieldPosition="0">
        <references count="2">
          <reference field="2" count="1" selected="0">
            <x v="0"/>
          </reference>
          <reference field="3" count="0"/>
        </references>
      </pivotArea>
    </format>
    <format dxfId="220">
      <pivotArea dataOnly="0" labelOnly="1" fieldPosition="0">
        <references count="2">
          <reference field="2" count="1" selected="0">
            <x v="1"/>
          </reference>
          <reference field="3" count="0"/>
        </references>
      </pivotArea>
    </format>
    <format dxfId="219">
      <pivotArea dataOnly="0" labelOnly="1" outline="0" axis="axisValues" fieldPosition="0"/>
    </format>
  </formats>
  <conditionalFormats count="1">
    <conditionalFormat priority="11">
      <pivotAreas count="3">
        <pivotArea type="data" collapsedLevelsAreSubtotals="1" fieldPosition="0">
          <references count="3">
            <reference field="4294967294" count="1" selected="0">
              <x v="0"/>
            </reference>
            <reference field="2" count="1" selected="0">
              <x v="0"/>
            </reference>
            <reference field="3" count="2">
              <x v="0"/>
              <x v="1"/>
            </reference>
          </references>
        </pivotArea>
        <pivotArea type="data" collapsedLevelsAreSubtotals="1" fieldPosition="0">
          <references count="2">
            <reference field="4294967294" count="1" selected="0">
              <x v="0"/>
            </reference>
            <reference field="2" count="1">
              <x v="1"/>
            </reference>
          </references>
        </pivotArea>
        <pivotArea type="data" collapsedLevelsAreSubtotals="1" fieldPosition="0">
          <references count="3">
            <reference field="4294967294" count="1" selected="0">
              <x v="0"/>
            </reference>
            <reference field="2" count="1" selected="0">
              <x v="1"/>
            </reference>
            <reference field="3" count="2">
              <x v="0"/>
              <x v="1"/>
            </reference>
          </references>
        </pivotArea>
      </pivotAreas>
    </conditionalFormat>
  </conditionalFormats>
  <pivotHierarchies count="4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11266DC-D652-4FFB-B66D-5DF9D12A3170}" name="PivotTable34" cacheId="219" applyNumberFormats="0" applyBorderFormats="0" applyFontFormats="0" applyPatternFormats="0" applyAlignmentFormats="0" applyWidthHeightFormats="1" dataCaption="Values" tag="a4138808-7cb4-469b-b1fc-872f51e234a9" updatedVersion="8" minRefreshableVersion="3" useAutoFormatting="1" subtotalHiddenItems="1" itemPrintTitles="1" createdVersion="5" indent="0" outline="1" outlineData="1" multipleFieldFilters="0">
  <location ref="B11:B12"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fld="1" subtotal="count" baseField="0" baseItem="0" numFmtId="9"/>
  </dataFields>
  <formats count="7">
    <format dxfId="230">
      <pivotArea type="all" dataOnly="0" outline="0" fieldPosition="0"/>
    </format>
    <format dxfId="229">
      <pivotArea outline="0" collapsedLevelsAreSubtotals="1" fieldPosition="0"/>
    </format>
    <format dxfId="228">
      <pivotArea dataOnly="0" labelOnly="1" grandRow="1" outline="0" fieldPosition="0"/>
    </format>
    <format dxfId="227">
      <pivotArea outline="0" collapsedLevelsAreSubtotals="1" fieldPosition="0"/>
    </format>
    <format dxfId="70">
      <pivotArea type="all" dataOnly="0" outline="0" fieldPosition="0"/>
    </format>
    <format dxfId="69">
      <pivotArea outline="0" collapsedLevelsAreSubtotals="1" fieldPosition="0"/>
    </format>
    <format dxfId="68">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E53C34F-119C-4B88-B872-FA68C93C764C}" name="PivotTable12" cacheId="2972" applyNumberFormats="0" applyBorderFormats="0" applyFontFormats="0" applyPatternFormats="0" applyAlignmentFormats="0" applyWidthHeightFormats="1" dataCaption="Values" tag="c4e5ec36-b464-4ea8-b263-1265a38d0b2c" updatedVersion="8" minRefreshableVersion="3" useAutoFormatting="1" rowGrandTotals="0" colGrandTotals="0" itemPrintTitles="1" createdVersion="5" indent="0" outline="1" outlineData="1" multipleFieldFilters="0" chartFormat="14">
  <location ref="B135:D138" firstHeaderRow="0" firstDataRow="1" firstDataCol="1"/>
  <pivotFields count="5">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x v="2"/>
    </i>
  </rowItems>
  <colFields count="1">
    <field x="-2"/>
  </colFields>
  <colItems count="2">
    <i>
      <x/>
    </i>
    <i i="1">
      <x v="1"/>
    </i>
  </colItems>
  <dataFields count="2">
    <dataField name="Count of HouseType2" fld="3" subtotal="count" showDataAs="percentOfTotal" baseField="0" baseItem="0" numFmtId="164"/>
    <dataField name="Count of HouseType" fld="4" subtotal="count" baseField="0" baseItem="0">
      <extLst>
        <ext xmlns:x14="http://schemas.microsoft.com/office/spreadsheetml/2009/9/main" uri="{E15A36E0-9728-4e99-A89B-3F7291B0FE68}">
          <x14:dataField sourceField="3" uniqueName="[__Xl2].[Measures].[Count of HouseType]"/>
        </ext>
      </extLst>
    </dataField>
  </dataFields>
  <formats count="10">
    <format dxfId="234">
      <pivotArea type="all" dataOnly="0" outline="0" fieldPosition="0"/>
    </format>
    <format dxfId="233">
      <pivotArea outline="0" collapsedLevelsAreSubtotals="1" fieldPosition="0"/>
    </format>
    <format dxfId="232">
      <pivotArea dataOnly="0" labelOnly="1" grandRow="1" outline="0" fieldPosition="0"/>
    </format>
    <format dxfId="231">
      <pivotArea outline="0" collapsedLevelsAreSubtotals="1" fieldPosition="0">
        <references count="1">
          <reference field="4294967294" count="1" selected="0">
            <x v="0"/>
          </reference>
        </references>
      </pivotArea>
    </format>
    <format dxfId="21">
      <pivotArea outline="0" collapsedLevelsAreSubtotals="1" fieldPosition="0">
        <references count="1">
          <reference field="4294967294" count="1" selected="0">
            <x v="0"/>
          </reference>
        </references>
      </pivotArea>
    </format>
    <format dxfId="20">
      <pivotArea field="2" type="button" dataOnly="0" labelOnly="1" outline="0" axis="axisRow" fieldPosition="0"/>
    </format>
    <format dxfId="18">
      <pivotArea dataOnly="0" labelOnly="1" fieldPosition="0">
        <references count="1">
          <reference field="2" count="0"/>
        </references>
      </pivotArea>
    </format>
    <format dxfId="16">
      <pivotArea dataOnly="0" labelOnly="1" outline="0" fieldPosition="0">
        <references count="1">
          <reference field="4294967294" count="1">
            <x v="0"/>
          </reference>
        </references>
      </pivotArea>
    </format>
    <format dxfId="14">
      <pivotArea outline="0" collapsedLevelsAreSubtotals="1" fieldPosition="0">
        <references count="1">
          <reference field="4294967294" count="1" selected="0">
            <x v="1"/>
          </reference>
        </references>
      </pivotArea>
    </format>
    <format dxfId="13">
      <pivotArea dataOnly="0" labelOnly="1" outline="0" fieldPosition="0">
        <references count="1">
          <reference field="4294967294" count="1">
            <x v="1"/>
          </reference>
        </references>
      </pivotArea>
    </format>
  </formats>
  <chartFormats count="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1"/>
          </reference>
          <reference field="2" count="1" selected="0">
            <x v="2"/>
          </reference>
        </references>
      </pivotArea>
    </chartFormat>
    <chartFormat chart="2" format="4">
      <pivotArea type="data" outline="0" fieldPosition="0">
        <references count="2">
          <reference field="4294967294" count="1" selected="0">
            <x v="0"/>
          </reference>
          <reference field="2" count="1" selected="0">
            <x v="0"/>
          </reference>
        </references>
      </pivotArea>
    </chartFormat>
    <chartFormat chart="2" format="5">
      <pivotArea type="data" outline="0" fieldPosition="0">
        <references count="2">
          <reference field="4294967294" count="1" selected="0">
            <x v="1"/>
          </reference>
          <reference field="2" count="1" selected="0">
            <x v="0"/>
          </reference>
        </references>
      </pivotArea>
    </chartFormat>
    <chartFormat chart="2" format="6">
      <pivotArea type="data" outline="0" fieldPosition="0">
        <references count="2">
          <reference field="4294967294" count="1" selected="0">
            <x v="0"/>
          </reference>
          <reference field="2" count="1" selected="0">
            <x v="2"/>
          </reference>
        </references>
      </pivotArea>
    </chartFormat>
    <chartFormat chart="2" format="7">
      <pivotArea type="data" outline="0" fieldPosition="0">
        <references count="2">
          <reference field="4294967294" count="1" selected="0">
            <x v="1"/>
          </reference>
          <reference field="2" count="1" selected="0">
            <x v="1"/>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Dengue].[AreaType].&amp;[Developed]"/>
      </members>
    </pivotHierarchy>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8696DAF-6FD8-4288-BA54-2C5020D74E5D}" name="PivotTable27" cacheId="221" applyNumberFormats="0" applyBorderFormats="0" applyFontFormats="0" applyPatternFormats="0" applyAlignmentFormats="0" applyWidthHeightFormats="1" dataCaption="Values" tag="e5adb080-f6c7-4752-9ba5-801c8a4a1308" updatedVersion="8" minRefreshableVersion="3" useAutoFormatting="1" itemPrintTitles="1" createdVersion="5" indent="0" outline="1" outlineData="1" multipleFieldFilters="0">
  <location ref="S110:T117" firstHeaderRow="1" firstDataRow="1" firstDataCol="1" rowPageCount="1" colPageCount="1"/>
  <pivotFields count="4">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s="1" x="0"/>
        <item s="1" x="1"/>
      </items>
    </pivotField>
    <pivotField axis="axisRow" allDrilled="1" subtotalTop="0" showAll="0" dataSourceSort="1" defaultSubtotal="0" defaultAttributeDrillState="1">
      <items count="2">
        <item x="0"/>
        <item x="1"/>
      </items>
    </pivotField>
  </pivotFields>
  <rowFields count="2">
    <field x="2"/>
    <field x="3"/>
  </rowFields>
  <rowItems count="7">
    <i>
      <x/>
    </i>
    <i r="1">
      <x/>
    </i>
    <i r="1">
      <x v="1"/>
    </i>
    <i>
      <x v="1"/>
    </i>
    <i r="1">
      <x/>
    </i>
    <i r="1">
      <x v="1"/>
    </i>
    <i t="grand">
      <x/>
    </i>
  </rowItems>
  <colItems count="1">
    <i/>
  </colItems>
  <pageFields count="1">
    <pageField fld="0" hier="14" name="[Dengue].[Dengue_Result].&amp;[Positive]" cap="Positive"/>
  </pageFields>
  <dataFields count="1">
    <dataField name="Count of Dengue_Result" fld="1" subtotal="count" baseField="0" baseItem="0"/>
  </dataFields>
  <formats count="8">
    <format dxfId="242">
      <pivotArea type="all" dataOnly="0" outline="0" fieldPosition="0"/>
    </format>
    <format dxfId="241">
      <pivotArea outline="0" collapsedLevelsAreSubtotals="1" fieldPosition="0"/>
    </format>
    <format dxfId="240">
      <pivotArea field="2" type="button" dataOnly="0" labelOnly="1" outline="0" axis="axisRow" fieldPosition="0"/>
    </format>
    <format dxfId="239">
      <pivotArea dataOnly="0" labelOnly="1" fieldPosition="0">
        <references count="1">
          <reference field="2" count="0"/>
        </references>
      </pivotArea>
    </format>
    <format dxfId="238">
      <pivotArea dataOnly="0" labelOnly="1" grandRow="1" outline="0" fieldPosition="0"/>
    </format>
    <format dxfId="237">
      <pivotArea dataOnly="0" labelOnly="1" fieldPosition="0">
        <references count="2">
          <reference field="2" count="1" selected="0">
            <x v="0"/>
          </reference>
          <reference field="3" count="0"/>
        </references>
      </pivotArea>
    </format>
    <format dxfId="236">
      <pivotArea dataOnly="0" labelOnly="1" fieldPosition="0">
        <references count="2">
          <reference field="2" count="1" selected="0">
            <x v="1"/>
          </reference>
          <reference field="3" count="0"/>
        </references>
      </pivotArea>
    </format>
    <format dxfId="235">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66B6BB1A-4517-46DE-B3CA-B6B30AC73BC1}" name="PivotTable32" cacheId="222" applyNumberFormats="0" applyBorderFormats="0" applyFontFormats="0" applyPatternFormats="0" applyAlignmentFormats="0" applyWidthHeightFormats="1" dataCaption="Values" tag="4580a8cb-5fd1-4c31-993f-3736c245ac7c" updatedVersion="8" minRefreshableVersion="3" useAutoFormatting="1" subtotalHiddenItems="1" itemPrintTitles="1" createdVersion="5" indent="0" outline="1" outlineData="1" multipleFieldFilters="0">
  <location ref="B19:B20"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fld="1" subtotal="count" baseField="0" baseItem="0" numFmtId="1"/>
  </dataFields>
  <formats count="7">
    <format dxfId="246">
      <pivotArea type="all" dataOnly="0" outline="0" fieldPosition="0"/>
    </format>
    <format dxfId="245">
      <pivotArea outline="0" collapsedLevelsAreSubtotals="1" fieldPosition="0"/>
    </format>
    <format dxfId="244">
      <pivotArea dataOnly="0" labelOnly="1" grandRow="1" outline="0" fieldPosition="0"/>
    </format>
    <format dxfId="243">
      <pivotArea outline="0" collapsedLevelsAreSubtotals="1" fieldPosition="0"/>
    </format>
    <format dxfId="67">
      <pivotArea type="all" dataOnly="0" outline="0" fieldPosition="0"/>
    </format>
    <format dxfId="66">
      <pivotArea outline="0" collapsedLevelsAreSubtotals="1" fieldPosition="0"/>
    </format>
    <format dxfId="65">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6D43517B-B23B-4CBB-95D8-704B13BBD1F8}" name="PivotTable7" cacheId="2957" applyNumberFormats="0" applyBorderFormats="0" applyFontFormats="0" applyPatternFormats="0" applyAlignmentFormats="0" applyWidthHeightFormats="1" dataCaption="Values" tag="ace9e9d1-ee5e-408f-b21c-a437eee5f430" updatedVersion="8" minRefreshableVersion="3" useAutoFormatting="1" subtotalHiddenItems="1" rowGrandTotals="0" colGrandTotals="0" itemPrintTitles="1" createdVersion="5" indent="0" outline="1" outlineData="1" multipleFieldFilters="0" chartFormat="21" rowHeaderCaption="Area Type">
  <location ref="B64:D66"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2">
    <i>
      <x/>
    </i>
    <i>
      <x v="1"/>
    </i>
  </rowItems>
  <colFields count="1">
    <field x="-2"/>
  </colFields>
  <colItems count="2">
    <i>
      <x/>
    </i>
    <i i="1">
      <x v="1"/>
    </i>
  </colItems>
  <dataFields count="2">
    <dataField name="% of Dengue Patients" fld="1" subtotal="count" showDataAs="percentOfTotal" baseField="0" baseItem="0" numFmtId="164"/>
    <dataField name="Number of Infection" fld="3" subtotal="count" baseField="0" baseItem="0">
      <extLst>
        <ext xmlns:x14="http://schemas.microsoft.com/office/spreadsheetml/2009/9/main" uri="{E15A36E0-9728-4e99-A89B-3F7291B0FE68}">
          <x14:dataField sourceField="1" uniqueName="[__Xl2].[Measures].[Count of AreaType]"/>
        </ext>
      </extLst>
    </dataField>
  </dataFields>
  <formats count="7">
    <format dxfId="253">
      <pivotArea type="all" dataOnly="0" outline="0" fieldPosition="0"/>
    </format>
    <format dxfId="252">
      <pivotArea outline="0" collapsedLevelsAreSubtotals="1" fieldPosition="0"/>
    </format>
    <format dxfId="251">
      <pivotArea field="0" type="button" dataOnly="0" labelOnly="1" outline="0" axis="axisRow" fieldPosition="0"/>
    </format>
    <format dxfId="250">
      <pivotArea dataOnly="0" labelOnly="1" fieldPosition="0">
        <references count="1">
          <reference field="0" count="0"/>
        </references>
      </pivotArea>
    </format>
    <format dxfId="249">
      <pivotArea dataOnly="0" labelOnly="1" grandRow="1" outline="0" fieldPosition="0"/>
    </format>
    <format dxfId="248">
      <pivotArea dataOnly="0" labelOnly="1" outline="0" fieldPosition="0">
        <references count="1">
          <reference field="4294967294" count="1">
            <x v="0"/>
          </reference>
        </references>
      </pivotArea>
    </format>
    <format dxfId="247">
      <pivotArea outline="0" collapsedLevelsAreSubtotals="1" fieldPosition="0">
        <references count="1">
          <reference field="4294967294" count="1" selected="0">
            <x v="0"/>
          </reference>
        </references>
      </pivotArea>
    </format>
  </formats>
  <chartFormats count="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pivotArea type="data" outline="0" fieldPosition="0">
        <references count="2">
          <reference field="4294967294" count="1" selected="0">
            <x v="1"/>
          </reference>
          <reference field="0" count="1" selected="0">
            <x v="0"/>
          </reference>
        </references>
      </pivotArea>
    </chartFormat>
    <chartFormat chart="7" format="3">
      <pivotArea type="data" outline="0" fieldPosition="0">
        <references count="2">
          <reference field="4294967294" count="1" selected="0">
            <x v="0"/>
          </reference>
          <reference field="0" count="1" selected="0">
            <x v="0"/>
          </reference>
        </references>
      </pivotArea>
    </chartFormat>
    <chartFormat chart="7" format="4">
      <pivotArea type="data" outline="0" fieldPosition="0">
        <references count="2">
          <reference field="4294967294" count="1" selected="0">
            <x v="1"/>
          </reference>
          <reference field="0" count="1" selected="0">
            <x v="1"/>
          </reference>
        </references>
      </pivotArea>
    </chartFormat>
    <chartFormat chart="7" format="5">
      <pivotArea type="data" outline="0" fieldPosition="0">
        <references count="2">
          <reference field="4294967294" count="1" selected="0">
            <x v="0"/>
          </reference>
          <reference field="0" count="1" selected="0">
            <x v="1"/>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Number of Infection"/>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3FF030EC-7263-40B9-88D5-7D3E09CBBEA7}" name="PivotTable16" cacheId="224" applyNumberFormats="0" applyBorderFormats="0" applyFontFormats="0" applyPatternFormats="0" applyAlignmentFormats="0" applyWidthHeightFormats="1" dataCaption="Values" tag="bbd35414-e0c8-4daf-89a1-40252da0b450" updatedVersion="8" minRefreshableVersion="3" useAutoFormatting="1" subtotalHiddenItems="1" itemPrintTitles="1" createdVersion="5" indent="0" outline="1" outlineData="1" multipleFieldFilters="0">
  <location ref="S7:T1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2">
        <item x="0"/>
        <item x="1"/>
      </items>
    </pivotField>
  </pivotFields>
  <rowFields count="2">
    <field x="1"/>
    <field x="3"/>
  </rowFields>
  <rowItems count="7">
    <i>
      <x/>
    </i>
    <i r="1">
      <x/>
    </i>
    <i r="1">
      <x v="1"/>
    </i>
    <i>
      <x v="1"/>
    </i>
    <i r="1">
      <x/>
    </i>
    <i r="1">
      <x v="1"/>
    </i>
    <i t="grand">
      <x/>
    </i>
  </rowItems>
  <colItems count="1">
    <i/>
  </colItems>
  <dataFields count="1">
    <dataField name="Count of Dengue_Result" fld="2" subtotal="count" baseField="0" baseItem="0"/>
  </dataFields>
  <formats count="8">
    <format dxfId="261">
      <pivotArea type="all" dataOnly="0" outline="0" fieldPosition="0"/>
    </format>
    <format dxfId="260">
      <pivotArea outline="0" collapsedLevelsAreSubtotals="1" fieldPosition="0"/>
    </format>
    <format dxfId="259">
      <pivotArea field="1" type="button" dataOnly="0" labelOnly="1" outline="0" axis="axisRow" fieldPosition="0"/>
    </format>
    <format dxfId="258">
      <pivotArea dataOnly="0" labelOnly="1" fieldPosition="0">
        <references count="1">
          <reference field="1" count="0"/>
        </references>
      </pivotArea>
    </format>
    <format dxfId="257">
      <pivotArea dataOnly="0" labelOnly="1" grandRow="1" outline="0" fieldPosition="0"/>
    </format>
    <format dxfId="256">
      <pivotArea dataOnly="0" labelOnly="1" fieldPosition="0">
        <references count="2">
          <reference field="1" count="1" selected="0">
            <x v="0"/>
          </reference>
          <reference field="3" count="0"/>
        </references>
      </pivotArea>
    </format>
    <format dxfId="255">
      <pivotArea dataOnly="0" labelOnly="1" fieldPosition="0">
        <references count="2">
          <reference field="1" count="1" selected="0">
            <x v="1"/>
          </reference>
          <reference field="3" count="0"/>
        </references>
      </pivotArea>
    </format>
    <format dxfId="254">
      <pivotArea dataOnly="0" labelOnly="1" outline="0" axis="axisValues" fieldPosition="0"/>
    </format>
  </formats>
  <conditionalFormats count="1">
    <conditionalFormat priority="8">
      <pivotAreas count="3">
        <pivotArea type="data" collapsedLevelsAreSubtotals="1" fieldPosition="0">
          <references count="3">
            <reference field="4294967294" count="1" selected="0">
              <x v="0"/>
            </reference>
            <reference field="1" count="1" selected="0">
              <x v="0"/>
            </reference>
            <reference field="3" count="2">
              <x v="0"/>
              <x v="1"/>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1" count="1" selected="0">
              <x v="1"/>
            </reference>
            <reference field="3" count="2">
              <x v="0"/>
              <x v="1"/>
            </reference>
          </references>
        </pivotArea>
      </pivotAreas>
    </conditionalFormat>
  </conditionalFormats>
  <pivotHierarchies count="4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8681E537-5806-4EC6-A73F-DE3182191E15}" name="PivotTable21" cacheId="225" applyNumberFormats="0" applyBorderFormats="0" applyFontFormats="0" applyPatternFormats="0" applyAlignmentFormats="0" applyWidthHeightFormats="1" dataCaption="Values" tag="65b6da9f-4fe7-415e-8222-18670e033c1b" updatedVersion="8" minRefreshableVersion="3" useAutoFormatting="1" itemPrintTitles="1" createdVersion="5" indent="0" outline="1" outlineData="1" multipleFieldFilters="0" rowHeaderCaption="House Type Wise Dengue Status ">
  <location ref="Q64:R73"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s>
  <rowFields count="2">
    <field x="2"/>
    <field x="3"/>
  </rowFields>
  <rowItems count="9">
    <i>
      <x/>
    </i>
    <i r="1">
      <x/>
    </i>
    <i r="1">
      <x v="1"/>
    </i>
    <i r="1">
      <x v="2"/>
    </i>
    <i>
      <x v="1"/>
    </i>
    <i r="1">
      <x/>
    </i>
    <i r="1">
      <x v="1"/>
    </i>
    <i r="1">
      <x v="2"/>
    </i>
    <i t="grand">
      <x/>
    </i>
  </rowItems>
  <colItems count="1">
    <i/>
  </colItems>
  <dataFields count="1">
    <dataField name="Number of Infection" fld="1" subtotal="count" baseField="2" baseItem="0"/>
  </dataFields>
  <formats count="8">
    <format dxfId="269">
      <pivotArea type="all" dataOnly="0" outline="0" fieldPosition="0"/>
    </format>
    <format dxfId="268">
      <pivotArea outline="0" collapsedLevelsAreSubtotals="1" fieldPosition="0"/>
    </format>
    <format dxfId="267">
      <pivotArea field="2" type="button" dataOnly="0" labelOnly="1" outline="0" axis="axisRow" fieldPosition="0"/>
    </format>
    <format dxfId="266">
      <pivotArea dataOnly="0" labelOnly="1" fieldPosition="0">
        <references count="1">
          <reference field="2" count="0"/>
        </references>
      </pivotArea>
    </format>
    <format dxfId="265">
      <pivotArea dataOnly="0" labelOnly="1" grandRow="1" outline="0" fieldPosition="0"/>
    </format>
    <format dxfId="264">
      <pivotArea dataOnly="0" labelOnly="1" fieldPosition="0">
        <references count="2">
          <reference field="2" count="1" selected="0">
            <x v="0"/>
          </reference>
          <reference field="3" count="0"/>
        </references>
      </pivotArea>
    </format>
    <format dxfId="263">
      <pivotArea dataOnly="0" labelOnly="1" fieldPosition="0">
        <references count="2">
          <reference field="2" count="1" selected="0">
            <x v="1"/>
          </reference>
          <reference field="3" count="0"/>
        </references>
      </pivotArea>
    </format>
    <format dxfId="262">
      <pivotArea dataOnly="0" labelOnly="1" outline="0" axis="axisValues" fieldPosition="0"/>
    </format>
  </formats>
  <conditionalFormats count="1">
    <conditionalFormat priority="12">
      <pivotAreas count="3">
        <pivotArea type="data" collapsedLevelsAreSubtotals="1" fieldPosition="0">
          <references count="3">
            <reference field="4294967294" count="1" selected="0">
              <x v="0"/>
            </reference>
            <reference field="2" count="1" selected="0">
              <x v="0"/>
            </reference>
            <reference field="3" count="3">
              <x v="0"/>
              <x v="1"/>
              <x v="2"/>
            </reference>
          </references>
        </pivotArea>
        <pivotArea type="data" collapsedLevelsAreSubtotals="1" fieldPosition="0">
          <references count="2">
            <reference field="4294967294" count="1" selected="0">
              <x v="0"/>
            </reference>
            <reference field="2" count="1">
              <x v="1"/>
            </reference>
          </references>
        </pivotArea>
        <pivotArea type="data" collapsedLevelsAreSubtotals="1" fieldPosition="0">
          <references count="3">
            <reference field="4294967294" count="1" selected="0">
              <x v="0"/>
            </reference>
            <reference field="2" count="1" selected="0">
              <x v="1"/>
            </reference>
            <reference field="3" count="3">
              <x v="0"/>
              <x v="1"/>
              <x v="2"/>
            </reference>
          </references>
        </pivotArea>
      </pivotAreas>
    </conditionalFormat>
  </conditionalFormats>
  <pivotHierarchies count="4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engue].[Dengue_Result].&amp;[Positive]"/>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Number of Infection"/>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ngu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A00ABB0-30C1-496D-A52B-95AB02779DAB}" autoFormatId="16" applyNumberFormats="0" applyBorderFormats="0" applyFontFormats="0" applyPatternFormats="0" applyAlignmentFormats="0" applyWidthHeightFormats="0">
  <queryTableRefresh nextId="18">
    <queryTableFields count="15">
      <queryTableField id="1" name="Gender" tableColumnId="1"/>
      <queryTableField id="2" name="Age" tableColumnId="2"/>
      <queryTableField id="3" name="Non_Structural_Protein_1" tableColumnId="3"/>
      <queryTableField id="4" name="Immunoglobulin_G" tableColumnId="4"/>
      <queryTableField id="5" name="Immunoglobulin_M" tableColumnId="5"/>
      <queryTableField id="6" name="Area" tableColumnId="6"/>
      <queryTableField id="7" name="AreaType" tableColumnId="7"/>
      <queryTableField id="8" name="HouseType" tableColumnId="8"/>
      <queryTableField id="9" name="District" tableColumnId="9"/>
      <queryTableField id="10" name="Outcome" tableColumnId="10"/>
      <queryTableField id="11" name="Age_Group" tableColumnId="11"/>
      <queryTableField id="12" name="Immunoglobulin_G_Result" tableColumnId="12"/>
      <queryTableField id="14" name="Immunoglobulin_M_Result" tableColumnId="14"/>
      <queryTableField id="15" name="Non_Structural_Protein_Result" tableColumnId="15"/>
      <queryTableField id="13" name="Dengue_Result"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ngue_Result" xr10:uid="{3016A4A3-BF32-4BBF-8D4A-9673D16D3634}" sourceName="[Dengue].[Dengue_Result]">
  <pivotTables>
    <pivotTable tabId="27" name="PivotTable6"/>
    <pivotTable tabId="27" name="PivotTable19"/>
    <pivotTable tabId="27" name="PivotTable7"/>
    <pivotTable tabId="27" name="PivotTable36"/>
    <pivotTable tabId="27" name="PivotTable37"/>
    <pivotTable tabId="27" name="PivotTable13"/>
    <pivotTable tabId="27" name="PivotTable18"/>
    <pivotTable tabId="27" name="PivotTable12"/>
    <pivotTable tabId="27" name="PivotTable11"/>
    <pivotTable tabId="27" name="PivotTable9"/>
    <pivotTable tabId="27" name="PivotTable8"/>
    <pivotTable tabId="27" name="PivotTable35"/>
    <pivotTable tabId="27" name="PivotTable1"/>
  </pivotTables>
  <data>
    <olap pivotCacheId="520860403">
      <levels count="2">
        <level uniqueName="[Dengue].[Dengue_Result].[(All)]" sourceCaption="(All)" count="0"/>
        <level uniqueName="[Dengue].[Dengue_Result].[Dengue_Result]" sourceCaption="Dengue_Result" count="2">
          <ranges>
            <range startItem="0">
              <i n="[Dengue].[Dengue_Result].&amp;[Negative]" c="Negative"/>
              <i n="[Dengue].[Dengue_Result].&amp;[Positive]" c="Positive"/>
            </range>
          </ranges>
        </level>
      </levels>
      <selections count="1">
        <selection n="[Dengue].[Dengue_Result].&amp;[Positiv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37D30FFC-095C-48BA-A90A-39B9E681D57D}" sourceName="[Dengue].[Area]">
  <pivotTables>
    <pivotTable tabId="27" name="PivotTable7"/>
    <pivotTable tabId="27" name="PivotTable11"/>
    <pivotTable tabId="27" name="PivotTable9"/>
    <pivotTable tabId="27" name="PivotTable8"/>
    <pivotTable tabId="27" name="PivotTable18"/>
    <pivotTable tabId="27" name="PivotTable35"/>
    <pivotTable tabId="27" name="PivotTable6"/>
    <pivotTable tabId="27" name="PivotTable1"/>
  </pivotTables>
  <data>
    <olap pivotCacheId="560091232">
      <levels count="2">
        <level uniqueName="[Dengue].[Area].[(All)]" sourceCaption="(All)" count="0"/>
        <level uniqueName="[Dengue].[Area].[Area]" sourceCaption="Area" count="36">
          <ranges>
            <range startItem="0">
              <i n="[Dengue].[Area].&amp;[Adabor]" c="Adabor"/>
              <i n="[Dengue].[Area].&amp;[Badda]" c="Badda"/>
              <i n="[Dengue].[Area].&amp;[Banasree]" c="Banasree"/>
              <i n="[Dengue].[Area].&amp;[Bangshal]" c="Bangshal"/>
              <i n="[Dengue].[Area].&amp;[Biman Bandar]" c="Biman Bandar"/>
              <i n="[Dengue].[Area].&amp;[Bosila]" c="Bosila"/>
              <i n="[Dengue].[Area].&amp;[Cantonment]" c="Cantonment"/>
              <i n="[Dengue].[Area].&amp;[Chawkbazar]" c="Chawkbazar"/>
              <i n="[Dengue].[Area].&amp;[Demra]" c="Demra"/>
              <i n="[Dengue].[Area].&amp;[Dhanmondi]" c="Dhanmondi"/>
              <i n="[Dengue].[Area].&amp;[Gendaria]" c="Gendaria"/>
              <i n="[Dengue].[Area].&amp;[Gulshan]" c="Gulshan"/>
              <i n="[Dengue].[Area].&amp;[Hazaribagh]" c="Hazaribagh"/>
              <i n="[Dengue].[Area].&amp;[Jatrabari]" c="Jatrabari"/>
              <i n="[Dengue].[Area].&amp;[Kadamtali]" c="Kadamtali"/>
              <i n="[Dengue].[Area].&amp;[Kafrul]" c="Kafrul"/>
              <i n="[Dengue].[Area].&amp;[Kalabagan]" c="Kalabagan"/>
              <i n="[Dengue].[Area].&amp;[Kamrangirchar]" c="Kamrangirchar"/>
              <i n="[Dengue].[Area].&amp;[Keraniganj]" c="Keraniganj"/>
              <i n="[Dengue].[Area].&amp;[Khilgaon]" c="Khilgaon"/>
              <i n="[Dengue].[Area].&amp;[Khilkhet]" c="Khilkhet"/>
              <i n="[Dengue].[Area].&amp;[Lalbagh]" c="Lalbagh"/>
              <i n="[Dengue].[Area].&amp;[Mirpur]" c="Mirpur"/>
              <i n="[Dengue].[Area].&amp;[Mohammadpur]" c="Mohammadpur"/>
              <i n="[Dengue].[Area].&amp;[Motijheel]" c="Motijheel"/>
              <i n="[Dengue].[Area].&amp;[New Market]" c="New Market"/>
              <i n="[Dengue].[Area].&amp;[Pallabi]" c="Pallabi"/>
              <i n="[Dengue].[Area].&amp;[Paltan]" c="Paltan"/>
              <i n="[Dengue].[Area].&amp;[Ramna]" c="Ramna"/>
              <i n="[Dengue].[Area].&amp;[Rampura]" c="Rampura"/>
              <i n="[Dengue].[Area].&amp;[Sabujbagh]" c="Sabujbagh"/>
              <i n="[Dengue].[Area].&amp;[Shahbagh]" c="Shahbagh"/>
              <i n="[Dengue].[Area].&amp;[Sher-e-Bangla Nagar]" c="Sher-e-Bangla Nagar"/>
              <i n="[Dengue].[Area].&amp;[Shyampur]" c="Shyampur"/>
              <i n="[Dengue].[Area].&amp;[Sutrapur]" c="Sutrapur"/>
              <i n="[Dengue].[Area].&amp;[Tejgaon]" c="Tejgaon"/>
            </range>
          </ranges>
        </level>
      </levels>
      <selections count="1">
        <selection n="[Dengue].[Area].[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ngue_Result" xr10:uid="{1C849351-87CB-47B7-A029-92970788B755}" cache="Slicer_Dengue_Result" caption="Dengue_Result" level="1" style="SlicerStyleDark1" rowHeight="234950"/>
  <slicer name="Infected Areas in Dhaka City Bangladesh" xr10:uid="{95DD028A-F382-48AD-85FA-A51912A2BA36}" cache="Slicer_Area" caption="Infected Areas in Dhaka City" columnCount="3" level="1" style="SlicerStyleDark1"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B6339F9-FABE-4E9F-8D3F-7F093F17B777}" name="Dengue6711" displayName="Dengue6711" ref="A1:J1001" totalsRowShown="0">
  <autoFilter ref="A1:J1001" xr:uid="{CB9A6C60-5CC3-4332-B8DC-EF92A64EFFA3}"/>
  <tableColumns count="10">
    <tableColumn id="1" xr3:uid="{11F24641-1DFE-48BA-94B4-D53D258C1BED}" name="Gender" dataDxfId="274"/>
    <tableColumn id="2" xr3:uid="{0971B3DC-85E9-4263-828F-B6E40A3492E9}" name="Age"/>
    <tableColumn id="3" xr3:uid="{09A6E1BE-6BF6-4AA5-9ED8-7921999426C4}" name="Non_Structural_Protein_1"/>
    <tableColumn id="4" xr3:uid="{E9AE9C28-5B50-4BA2-838C-A90CFD5EF5A2}" name="Immunoglobulin_G"/>
    <tableColumn id="5" xr3:uid="{A899B254-02D8-4E3F-9372-71D0FA637BE8}" name="Immunoglobulin_M"/>
    <tableColumn id="6" xr3:uid="{D9113DEE-9DF9-4CED-B069-D672A4D16FE2}" name="Area" dataDxfId="273"/>
    <tableColumn id="7" xr3:uid="{97154995-6C7E-45A8-B523-EA2FDCE9BFAE}" name="AreaType" dataDxfId="272"/>
    <tableColumn id="8" xr3:uid="{23BEC10D-F78D-4BCA-A4F8-181EA6F50714}" name="HouseType" dataDxfId="271"/>
    <tableColumn id="9" xr3:uid="{FFA8B9D9-C0CC-4111-83FB-15E99C843A3F}" name="District" dataDxfId="270"/>
    <tableColumn id="10" xr3:uid="{68EF54CD-017D-4344-9DAF-05EBA14DB1E9}" name="Outcome"/>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712EE26-13CF-4412-8092-43BBEA510BC2}" name="Dengue67" displayName="Dengue67" ref="A1:J1001" totalsRowShown="0">
  <autoFilter ref="A1:J1001" xr:uid="{CB9A6C60-5CC3-4332-B8DC-EF92A64EFFA3}"/>
  <tableColumns count="10">
    <tableColumn id="1" xr3:uid="{DA0FB35A-6212-4DCE-9E21-1865D46F1BC9}" name="Gender" dataDxfId="109"/>
    <tableColumn id="2" xr3:uid="{80BCD592-958A-4877-8598-A1E51A69D8E7}" name="Age"/>
    <tableColumn id="3" xr3:uid="{7BCD3654-960D-49BA-B5AF-CA293EC6B3B6}" name="Non_Structural_Protein_1"/>
    <tableColumn id="4" xr3:uid="{36E03685-3AA0-4580-8137-BFA22829A3D1}" name="Immunoglobulin_G"/>
    <tableColumn id="5" xr3:uid="{6BC8BA70-70F1-4384-B557-3889EC6E3529}" name="Immunoglobulin_M"/>
    <tableColumn id="6" xr3:uid="{A4B0B749-EF37-49D4-8A3D-D8C03F95A530}" name="Area" dataDxfId="108"/>
    <tableColumn id="7" xr3:uid="{AAA0FAD6-85D5-48FE-AECD-E453602E56D8}" name="AreaType" dataDxfId="107"/>
    <tableColumn id="8" xr3:uid="{BA2B4218-4406-41D0-BED1-6750BC37245A}" name="HouseType" dataDxfId="106"/>
    <tableColumn id="9" xr3:uid="{E9014225-19CB-42B4-B2EE-A35567FDF220}" name="District" dataDxfId="105"/>
    <tableColumn id="10" xr3:uid="{38CE8DB6-5EB3-4FBD-BC96-4B290F3881AE}" name="Outcom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1CE848B-14E7-4A13-9AD0-DD2AD88519CD}" name="Dengue" displayName="Dengue" ref="A1:O1001" tableType="queryTable" totalsRowShown="0">
  <autoFilter ref="A1:O1001" xr:uid="{41CE848B-14E7-4A13-9AD0-DD2AD88519CD}"/>
  <tableColumns count="15">
    <tableColumn id="1" xr3:uid="{C27F4B88-9686-4A61-932C-222570E03525}" uniqueName="1" name="Gender" queryTableFieldId="1" dataDxfId="104"/>
    <tableColumn id="2" xr3:uid="{F081001E-AC9E-4A2F-9207-A2B1121A8BD8}" uniqueName="2" name="Age" queryTableFieldId="2"/>
    <tableColumn id="3" xr3:uid="{33C40895-6C2A-4FFF-8C55-88C9AAD2607C}" uniqueName="3" name="Non_Structural_Protein_1" queryTableFieldId="3"/>
    <tableColumn id="4" xr3:uid="{EA085564-9429-410D-AFBC-F9D2FA05561E}" uniqueName="4" name="Immunoglobulin_G" queryTableFieldId="4"/>
    <tableColumn id="5" xr3:uid="{E4D69F66-E133-4358-A96C-9CB42591D582}" uniqueName="5" name="Immunoglobulin_M" queryTableFieldId="5"/>
    <tableColumn id="6" xr3:uid="{A5D17A3C-BEED-4AE1-876E-FEF65AFF8EA8}" uniqueName="6" name="Area" queryTableFieldId="6" dataDxfId="103"/>
    <tableColumn id="7" xr3:uid="{8202991D-05DA-4F65-9A22-BDA5F97DA8C5}" uniqueName="7" name="AreaType" queryTableFieldId="7" dataDxfId="102"/>
    <tableColumn id="8" xr3:uid="{0295475F-7D19-450A-94FD-1559A73AFC3E}" uniqueName="8" name="HouseType" queryTableFieldId="8" dataDxfId="101"/>
    <tableColumn id="9" xr3:uid="{B0204C83-23D6-48E0-8342-05295109E626}" uniqueName="9" name="District" queryTableFieldId="9" dataDxfId="100"/>
    <tableColumn id="10" xr3:uid="{4604F52A-FBF6-40FC-A0B9-3436DF45D55C}" uniqueName="10" name="Outcome" queryTableFieldId="10"/>
    <tableColumn id="11" xr3:uid="{95192D66-C2EF-4C47-A673-1F1052772D03}" uniqueName="11" name="Age_Group" queryTableFieldId="11"/>
    <tableColumn id="12" xr3:uid="{8F855A3F-B6B1-4F9C-B8E2-FF55400E5148}" uniqueName="12" name="Immunoglobulin_G_Result" queryTableFieldId="12"/>
    <tableColumn id="14" xr3:uid="{FA7B0C8F-D1ED-42C8-9799-E9E6CE04BB91}" uniqueName="14" name="Immunoglobulin_M_Result" queryTableFieldId="14"/>
    <tableColumn id="15" xr3:uid="{7742818B-268C-42E0-888E-47DFCC021A56}" uniqueName="15" name="Non_Structural_Protein_Result" queryTableFieldId="15"/>
    <tableColumn id="13" xr3:uid="{697753E0-9156-4215-B081-4B0774254F48}" uniqueName="13" name="Dengue_Result"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09BE3-32EC-47DC-98ED-DD06BD87306E}">
  <sheetPr>
    <tabColor theme="7" tint="0.59999389629810485"/>
  </sheetPr>
  <dimension ref="A1:J1001"/>
  <sheetViews>
    <sheetView topLeftCell="A22" workbookViewId="0">
      <selection activeCell="A48" sqref="A48:XFD48"/>
    </sheetView>
  </sheetViews>
  <sheetFormatPr defaultRowHeight="14.4" x14ac:dyDescent="0.3"/>
  <cols>
    <col min="1" max="1" width="9.33203125" bestFit="1" customWidth="1"/>
    <col min="2" max="2" width="6.44140625" bestFit="1" customWidth="1"/>
    <col min="3" max="3" width="25.44140625" bestFit="1" customWidth="1"/>
    <col min="4" max="4" width="19" bestFit="1" customWidth="1"/>
    <col min="5" max="5" width="20.21875" bestFit="1" customWidth="1"/>
    <col min="6" max="6" width="17.88671875" bestFit="1" customWidth="1"/>
    <col min="7" max="7" width="11.77734375" bestFit="1" customWidth="1"/>
    <col min="8" max="8" width="12.5546875" bestFit="1" customWidth="1"/>
    <col min="9" max="9" width="9" bestFit="1" customWidth="1"/>
    <col min="10" max="10" width="11" bestFit="1" customWidth="1"/>
  </cols>
  <sheetData>
    <row r="1" spans="1:10" x14ac:dyDescent="0.3">
      <c r="A1" t="s">
        <v>0</v>
      </c>
      <c r="B1" t="s">
        <v>1</v>
      </c>
      <c r="C1" t="s">
        <v>74</v>
      </c>
      <c r="D1" t="s">
        <v>75</v>
      </c>
      <c r="E1" t="s">
        <v>76</v>
      </c>
      <c r="F1" t="s">
        <v>4</v>
      </c>
      <c r="G1" t="s">
        <v>5</v>
      </c>
      <c r="H1" t="s">
        <v>6</v>
      </c>
      <c r="I1" t="s">
        <v>7</v>
      </c>
      <c r="J1" t="s">
        <v>8</v>
      </c>
    </row>
    <row r="2" spans="1:10" x14ac:dyDescent="0.3">
      <c r="A2" t="s">
        <v>9</v>
      </c>
      <c r="B2">
        <v>45</v>
      </c>
      <c r="C2">
        <v>0</v>
      </c>
      <c r="D2">
        <v>0</v>
      </c>
      <c r="E2">
        <v>0</v>
      </c>
      <c r="F2" t="s">
        <v>10</v>
      </c>
      <c r="G2" t="s">
        <v>11</v>
      </c>
      <c r="H2" t="s">
        <v>12</v>
      </c>
      <c r="I2" t="s">
        <v>13</v>
      </c>
      <c r="J2">
        <v>0</v>
      </c>
    </row>
    <row r="3" spans="1:10" x14ac:dyDescent="0.3">
      <c r="A3" t="s">
        <v>14</v>
      </c>
      <c r="B3">
        <v>17</v>
      </c>
      <c r="C3">
        <v>0</v>
      </c>
      <c r="D3">
        <v>0</v>
      </c>
      <c r="E3">
        <v>1</v>
      </c>
      <c r="F3" t="s">
        <v>15</v>
      </c>
      <c r="G3" t="s">
        <v>16</v>
      </c>
      <c r="H3" t="s">
        <v>12</v>
      </c>
      <c r="I3" t="s">
        <v>13</v>
      </c>
      <c r="J3">
        <v>0</v>
      </c>
    </row>
    <row r="4" spans="1:10" x14ac:dyDescent="0.3">
      <c r="A4" t="s">
        <v>9</v>
      </c>
      <c r="B4">
        <v>29</v>
      </c>
      <c r="C4">
        <v>0</v>
      </c>
      <c r="D4">
        <v>0</v>
      </c>
      <c r="E4">
        <v>0</v>
      </c>
      <c r="F4" t="s">
        <v>17</v>
      </c>
      <c r="G4" t="s">
        <v>11</v>
      </c>
      <c r="H4" t="s">
        <v>18</v>
      </c>
      <c r="I4" t="s">
        <v>13</v>
      </c>
      <c r="J4">
        <v>0</v>
      </c>
    </row>
    <row r="5" spans="1:10" x14ac:dyDescent="0.3">
      <c r="A5" t="s">
        <v>9</v>
      </c>
      <c r="B5">
        <v>63</v>
      </c>
      <c r="C5">
        <v>1</v>
      </c>
      <c r="D5">
        <v>1</v>
      </c>
      <c r="E5">
        <v>0</v>
      </c>
      <c r="F5" t="s">
        <v>19</v>
      </c>
      <c r="G5" t="s">
        <v>16</v>
      </c>
      <c r="H5" t="s">
        <v>18</v>
      </c>
      <c r="I5" t="s">
        <v>13</v>
      </c>
      <c r="J5">
        <v>1</v>
      </c>
    </row>
    <row r="6" spans="1:10" x14ac:dyDescent="0.3">
      <c r="A6" t="s">
        <v>14</v>
      </c>
      <c r="B6">
        <v>22</v>
      </c>
      <c r="C6">
        <v>0</v>
      </c>
      <c r="D6">
        <v>0</v>
      </c>
      <c r="E6">
        <v>0</v>
      </c>
      <c r="F6" t="s">
        <v>20</v>
      </c>
      <c r="G6" t="s">
        <v>11</v>
      </c>
      <c r="H6" t="s">
        <v>12</v>
      </c>
      <c r="I6" t="s">
        <v>13</v>
      </c>
      <c r="J6">
        <v>0</v>
      </c>
    </row>
    <row r="7" spans="1:10" x14ac:dyDescent="0.3">
      <c r="A7" t="s">
        <v>9</v>
      </c>
      <c r="B7">
        <v>36</v>
      </c>
      <c r="C7">
        <v>0</v>
      </c>
      <c r="D7">
        <v>0</v>
      </c>
      <c r="E7">
        <v>1</v>
      </c>
      <c r="F7" t="s">
        <v>21</v>
      </c>
      <c r="G7" t="s">
        <v>16</v>
      </c>
      <c r="H7" t="s">
        <v>18</v>
      </c>
      <c r="I7" t="s">
        <v>13</v>
      </c>
      <c r="J7">
        <v>0</v>
      </c>
    </row>
    <row r="8" spans="1:10" x14ac:dyDescent="0.3">
      <c r="A8" t="s">
        <v>9</v>
      </c>
      <c r="B8">
        <v>15</v>
      </c>
      <c r="C8">
        <v>0</v>
      </c>
      <c r="D8">
        <v>0</v>
      </c>
      <c r="E8">
        <v>1</v>
      </c>
      <c r="F8" t="s">
        <v>22</v>
      </c>
      <c r="G8" t="s">
        <v>11</v>
      </c>
      <c r="H8" t="s">
        <v>12</v>
      </c>
      <c r="I8" t="s">
        <v>13</v>
      </c>
      <c r="J8">
        <v>0</v>
      </c>
    </row>
    <row r="9" spans="1:10" x14ac:dyDescent="0.3">
      <c r="A9" t="s">
        <v>14</v>
      </c>
      <c r="B9">
        <v>26</v>
      </c>
      <c r="C9">
        <v>0</v>
      </c>
      <c r="D9">
        <v>0</v>
      </c>
      <c r="E9">
        <v>0</v>
      </c>
      <c r="F9" t="s">
        <v>22</v>
      </c>
      <c r="G9" t="s">
        <v>16</v>
      </c>
      <c r="H9" t="s">
        <v>18</v>
      </c>
      <c r="I9" t="s">
        <v>13</v>
      </c>
      <c r="J9">
        <v>0</v>
      </c>
    </row>
    <row r="10" spans="1:10" x14ac:dyDescent="0.3">
      <c r="A10" t="s">
        <v>9</v>
      </c>
      <c r="B10">
        <v>31</v>
      </c>
      <c r="C10">
        <v>0</v>
      </c>
      <c r="D10">
        <v>0</v>
      </c>
      <c r="E10">
        <v>1</v>
      </c>
      <c r="F10" t="s">
        <v>21</v>
      </c>
      <c r="G10" t="s">
        <v>11</v>
      </c>
      <c r="H10" t="s">
        <v>23</v>
      </c>
      <c r="I10" t="s">
        <v>13</v>
      </c>
      <c r="J10">
        <v>0</v>
      </c>
    </row>
    <row r="11" spans="1:10" x14ac:dyDescent="0.3">
      <c r="A11" t="s">
        <v>9</v>
      </c>
      <c r="B11">
        <v>10</v>
      </c>
      <c r="C11">
        <v>0</v>
      </c>
      <c r="D11">
        <v>0</v>
      </c>
      <c r="E11">
        <v>1</v>
      </c>
      <c r="F11" t="s">
        <v>24</v>
      </c>
      <c r="G11" t="s">
        <v>16</v>
      </c>
      <c r="H11" t="s">
        <v>23</v>
      </c>
      <c r="I11" t="s">
        <v>13</v>
      </c>
      <c r="J11">
        <v>0</v>
      </c>
    </row>
    <row r="12" spans="1:10" x14ac:dyDescent="0.3">
      <c r="A12" t="s">
        <v>9</v>
      </c>
      <c r="B12">
        <v>31</v>
      </c>
      <c r="C12">
        <v>1</v>
      </c>
      <c r="D12">
        <v>1</v>
      </c>
      <c r="E12">
        <v>0</v>
      </c>
      <c r="F12" t="s">
        <v>25</v>
      </c>
      <c r="G12" t="s">
        <v>11</v>
      </c>
      <c r="H12" t="s">
        <v>12</v>
      </c>
      <c r="I12" t="s">
        <v>13</v>
      </c>
      <c r="J12">
        <v>1</v>
      </c>
    </row>
    <row r="13" spans="1:10" x14ac:dyDescent="0.3">
      <c r="A13" t="s">
        <v>14</v>
      </c>
      <c r="B13">
        <v>10</v>
      </c>
      <c r="C13">
        <v>0</v>
      </c>
      <c r="D13">
        <v>0</v>
      </c>
      <c r="E13">
        <v>0</v>
      </c>
      <c r="F13" t="s">
        <v>21</v>
      </c>
      <c r="G13" t="s">
        <v>16</v>
      </c>
      <c r="H13" t="s">
        <v>23</v>
      </c>
      <c r="I13" t="s">
        <v>13</v>
      </c>
      <c r="J13">
        <v>0</v>
      </c>
    </row>
    <row r="14" spans="1:10" x14ac:dyDescent="0.3">
      <c r="A14" t="s">
        <v>9</v>
      </c>
      <c r="B14">
        <v>13</v>
      </c>
      <c r="C14">
        <v>1</v>
      </c>
      <c r="D14">
        <v>1</v>
      </c>
      <c r="E14">
        <v>0</v>
      </c>
      <c r="F14" t="s">
        <v>26</v>
      </c>
      <c r="G14" t="s">
        <v>11</v>
      </c>
      <c r="H14" t="s">
        <v>12</v>
      </c>
      <c r="I14" t="s">
        <v>13</v>
      </c>
      <c r="J14">
        <v>1</v>
      </c>
    </row>
    <row r="15" spans="1:10" x14ac:dyDescent="0.3">
      <c r="A15" t="s">
        <v>9</v>
      </c>
      <c r="B15">
        <v>43</v>
      </c>
      <c r="C15">
        <v>1</v>
      </c>
      <c r="D15">
        <v>1</v>
      </c>
      <c r="E15">
        <v>0</v>
      </c>
      <c r="F15" t="s">
        <v>27</v>
      </c>
      <c r="G15" t="s">
        <v>16</v>
      </c>
      <c r="H15" t="s">
        <v>12</v>
      </c>
      <c r="I15" t="s">
        <v>13</v>
      </c>
      <c r="J15">
        <v>1</v>
      </c>
    </row>
    <row r="16" spans="1:10" x14ac:dyDescent="0.3">
      <c r="A16" t="s">
        <v>14</v>
      </c>
      <c r="B16">
        <v>52</v>
      </c>
      <c r="C16">
        <v>0</v>
      </c>
      <c r="D16">
        <v>0</v>
      </c>
      <c r="E16">
        <v>0</v>
      </c>
      <c r="F16" t="s">
        <v>28</v>
      </c>
      <c r="G16" t="s">
        <v>11</v>
      </c>
      <c r="H16" t="s">
        <v>18</v>
      </c>
      <c r="I16" t="s">
        <v>13</v>
      </c>
      <c r="J16">
        <v>0</v>
      </c>
    </row>
    <row r="17" spans="1:10" x14ac:dyDescent="0.3">
      <c r="A17" t="s">
        <v>9</v>
      </c>
      <c r="B17">
        <v>12</v>
      </c>
      <c r="C17">
        <v>1</v>
      </c>
      <c r="D17">
        <v>1</v>
      </c>
      <c r="E17">
        <v>1</v>
      </c>
      <c r="F17" t="s">
        <v>29</v>
      </c>
      <c r="G17" t="s">
        <v>16</v>
      </c>
      <c r="H17" t="s">
        <v>23</v>
      </c>
      <c r="I17" t="s">
        <v>13</v>
      </c>
      <c r="J17">
        <v>1</v>
      </c>
    </row>
    <row r="18" spans="1:10" x14ac:dyDescent="0.3">
      <c r="A18" t="s">
        <v>14</v>
      </c>
      <c r="B18">
        <v>18</v>
      </c>
      <c r="C18">
        <v>0</v>
      </c>
      <c r="D18">
        <v>0</v>
      </c>
      <c r="E18">
        <v>1</v>
      </c>
      <c r="F18" t="s">
        <v>30</v>
      </c>
      <c r="G18" t="s">
        <v>11</v>
      </c>
      <c r="H18" t="s">
        <v>23</v>
      </c>
      <c r="I18" t="s">
        <v>13</v>
      </c>
      <c r="J18">
        <v>0</v>
      </c>
    </row>
    <row r="19" spans="1:10" x14ac:dyDescent="0.3">
      <c r="A19" t="s">
        <v>14</v>
      </c>
      <c r="B19">
        <v>56</v>
      </c>
      <c r="C19">
        <v>0</v>
      </c>
      <c r="D19">
        <v>0</v>
      </c>
      <c r="E19">
        <v>1</v>
      </c>
      <c r="F19" t="s">
        <v>31</v>
      </c>
      <c r="G19" t="s">
        <v>16</v>
      </c>
      <c r="H19" t="s">
        <v>12</v>
      </c>
      <c r="I19" t="s">
        <v>13</v>
      </c>
      <c r="J19">
        <v>0</v>
      </c>
    </row>
    <row r="20" spans="1:10" x14ac:dyDescent="0.3">
      <c r="A20" t="s">
        <v>14</v>
      </c>
      <c r="B20">
        <v>9</v>
      </c>
      <c r="C20">
        <v>1</v>
      </c>
      <c r="D20">
        <v>1</v>
      </c>
      <c r="E20">
        <v>1</v>
      </c>
      <c r="F20" t="s">
        <v>10</v>
      </c>
      <c r="G20" t="s">
        <v>11</v>
      </c>
      <c r="H20" t="s">
        <v>23</v>
      </c>
      <c r="I20" t="s">
        <v>13</v>
      </c>
      <c r="J20">
        <v>1</v>
      </c>
    </row>
    <row r="21" spans="1:10" x14ac:dyDescent="0.3">
      <c r="A21" t="s">
        <v>14</v>
      </c>
      <c r="B21">
        <v>27</v>
      </c>
      <c r="C21">
        <v>1</v>
      </c>
      <c r="D21">
        <v>1</v>
      </c>
      <c r="E21">
        <v>0</v>
      </c>
      <c r="F21" t="s">
        <v>10</v>
      </c>
      <c r="G21" t="s">
        <v>16</v>
      </c>
      <c r="H21" t="s">
        <v>23</v>
      </c>
      <c r="I21" t="s">
        <v>13</v>
      </c>
      <c r="J21">
        <v>1</v>
      </c>
    </row>
    <row r="22" spans="1:10" x14ac:dyDescent="0.3">
      <c r="A22" t="s">
        <v>9</v>
      </c>
      <c r="B22">
        <v>31</v>
      </c>
      <c r="C22">
        <v>0</v>
      </c>
      <c r="D22">
        <v>1</v>
      </c>
      <c r="E22">
        <v>0</v>
      </c>
      <c r="F22" t="s">
        <v>32</v>
      </c>
      <c r="G22" t="s">
        <v>11</v>
      </c>
      <c r="H22" t="s">
        <v>23</v>
      </c>
      <c r="I22" t="s">
        <v>13</v>
      </c>
      <c r="J22">
        <v>1</v>
      </c>
    </row>
    <row r="23" spans="1:10" x14ac:dyDescent="0.3">
      <c r="A23" t="s">
        <v>9</v>
      </c>
      <c r="B23">
        <v>23</v>
      </c>
      <c r="C23">
        <v>0</v>
      </c>
      <c r="D23">
        <v>0</v>
      </c>
      <c r="E23">
        <v>0</v>
      </c>
      <c r="F23" t="s">
        <v>33</v>
      </c>
      <c r="G23" t="s">
        <v>16</v>
      </c>
      <c r="H23" t="s">
        <v>18</v>
      </c>
      <c r="I23" t="s">
        <v>13</v>
      </c>
      <c r="J23">
        <v>0</v>
      </c>
    </row>
    <row r="24" spans="1:10" x14ac:dyDescent="0.3">
      <c r="A24" t="s">
        <v>9</v>
      </c>
      <c r="B24">
        <v>37</v>
      </c>
      <c r="C24">
        <v>0</v>
      </c>
      <c r="D24">
        <v>0</v>
      </c>
      <c r="E24">
        <v>1</v>
      </c>
      <c r="F24" t="s">
        <v>34</v>
      </c>
      <c r="G24" t="s">
        <v>11</v>
      </c>
      <c r="H24" t="s">
        <v>23</v>
      </c>
      <c r="I24" t="s">
        <v>13</v>
      </c>
      <c r="J24">
        <v>0</v>
      </c>
    </row>
    <row r="25" spans="1:10" x14ac:dyDescent="0.3">
      <c r="A25" t="s">
        <v>14</v>
      </c>
      <c r="B25">
        <v>44</v>
      </c>
      <c r="C25">
        <v>0</v>
      </c>
      <c r="D25">
        <v>0</v>
      </c>
      <c r="E25">
        <v>1</v>
      </c>
      <c r="F25" t="s">
        <v>35</v>
      </c>
      <c r="G25" t="s">
        <v>16</v>
      </c>
      <c r="H25" t="s">
        <v>18</v>
      </c>
      <c r="I25" t="s">
        <v>13</v>
      </c>
      <c r="J25">
        <v>0</v>
      </c>
    </row>
    <row r="26" spans="1:10" x14ac:dyDescent="0.3">
      <c r="A26" t="s">
        <v>9</v>
      </c>
      <c r="B26">
        <v>17</v>
      </c>
      <c r="C26">
        <v>1</v>
      </c>
      <c r="D26">
        <v>1</v>
      </c>
      <c r="E26">
        <v>0</v>
      </c>
      <c r="F26" t="s">
        <v>26</v>
      </c>
      <c r="G26" t="s">
        <v>11</v>
      </c>
      <c r="H26" t="s">
        <v>12</v>
      </c>
      <c r="I26" t="s">
        <v>13</v>
      </c>
      <c r="J26">
        <v>1</v>
      </c>
    </row>
    <row r="27" spans="1:10" x14ac:dyDescent="0.3">
      <c r="A27" t="s">
        <v>9</v>
      </c>
      <c r="B27">
        <v>64</v>
      </c>
      <c r="C27">
        <v>1</v>
      </c>
      <c r="D27">
        <v>1</v>
      </c>
      <c r="E27">
        <v>1</v>
      </c>
      <c r="F27" t="s">
        <v>32</v>
      </c>
      <c r="G27" t="s">
        <v>16</v>
      </c>
      <c r="H27" t="s">
        <v>18</v>
      </c>
      <c r="I27" t="s">
        <v>13</v>
      </c>
      <c r="J27">
        <v>1</v>
      </c>
    </row>
    <row r="28" spans="1:10" x14ac:dyDescent="0.3">
      <c r="A28" t="s">
        <v>9</v>
      </c>
      <c r="B28">
        <v>65</v>
      </c>
      <c r="C28">
        <v>0</v>
      </c>
      <c r="D28">
        <v>0</v>
      </c>
      <c r="E28">
        <v>0</v>
      </c>
      <c r="F28" t="s">
        <v>20</v>
      </c>
      <c r="G28" t="s">
        <v>11</v>
      </c>
      <c r="H28" t="s">
        <v>23</v>
      </c>
      <c r="I28" t="s">
        <v>13</v>
      </c>
      <c r="J28">
        <v>0</v>
      </c>
    </row>
    <row r="29" spans="1:10" x14ac:dyDescent="0.3">
      <c r="A29" t="s">
        <v>9</v>
      </c>
      <c r="B29">
        <v>60</v>
      </c>
      <c r="C29">
        <v>0</v>
      </c>
      <c r="D29">
        <v>0</v>
      </c>
      <c r="E29">
        <v>0</v>
      </c>
      <c r="F29" t="s">
        <v>26</v>
      </c>
      <c r="G29" t="s">
        <v>16</v>
      </c>
      <c r="H29" t="s">
        <v>18</v>
      </c>
      <c r="I29" t="s">
        <v>13</v>
      </c>
      <c r="J29">
        <v>0</v>
      </c>
    </row>
    <row r="30" spans="1:10" x14ac:dyDescent="0.3">
      <c r="A30" t="s">
        <v>9</v>
      </c>
      <c r="B30">
        <v>44</v>
      </c>
      <c r="C30">
        <v>1</v>
      </c>
      <c r="D30">
        <v>1</v>
      </c>
      <c r="E30">
        <v>1</v>
      </c>
      <c r="F30" t="s">
        <v>25</v>
      </c>
      <c r="G30" t="s">
        <v>11</v>
      </c>
      <c r="H30" t="s">
        <v>23</v>
      </c>
      <c r="I30" t="s">
        <v>13</v>
      </c>
      <c r="J30">
        <v>1</v>
      </c>
    </row>
    <row r="31" spans="1:10" x14ac:dyDescent="0.3">
      <c r="A31" t="s">
        <v>9</v>
      </c>
      <c r="B31">
        <v>13</v>
      </c>
      <c r="C31">
        <v>0</v>
      </c>
      <c r="D31">
        <v>1</v>
      </c>
      <c r="E31">
        <v>0</v>
      </c>
      <c r="F31" t="s">
        <v>27</v>
      </c>
      <c r="G31" t="s">
        <v>16</v>
      </c>
      <c r="H31" t="s">
        <v>12</v>
      </c>
      <c r="I31" t="s">
        <v>13</v>
      </c>
      <c r="J31">
        <v>1</v>
      </c>
    </row>
    <row r="32" spans="1:10" x14ac:dyDescent="0.3">
      <c r="A32" t="s">
        <v>9</v>
      </c>
      <c r="B32">
        <v>35</v>
      </c>
      <c r="C32">
        <v>0</v>
      </c>
      <c r="D32">
        <v>0</v>
      </c>
      <c r="E32">
        <v>0</v>
      </c>
      <c r="F32" t="s">
        <v>36</v>
      </c>
      <c r="G32" t="s">
        <v>11</v>
      </c>
      <c r="H32" t="s">
        <v>12</v>
      </c>
      <c r="I32" t="s">
        <v>13</v>
      </c>
      <c r="J32">
        <v>0</v>
      </c>
    </row>
    <row r="33" spans="1:10" x14ac:dyDescent="0.3">
      <c r="A33" t="s">
        <v>14</v>
      </c>
      <c r="B33">
        <v>13</v>
      </c>
      <c r="C33">
        <v>1</v>
      </c>
      <c r="D33">
        <v>1</v>
      </c>
      <c r="E33">
        <v>1</v>
      </c>
      <c r="F33" t="s">
        <v>32</v>
      </c>
      <c r="G33" t="s">
        <v>16</v>
      </c>
      <c r="H33" t="s">
        <v>23</v>
      </c>
      <c r="I33" t="s">
        <v>13</v>
      </c>
      <c r="J33">
        <v>1</v>
      </c>
    </row>
    <row r="34" spans="1:10" x14ac:dyDescent="0.3">
      <c r="A34" t="s">
        <v>9</v>
      </c>
      <c r="B34">
        <v>39</v>
      </c>
      <c r="C34">
        <v>0</v>
      </c>
      <c r="D34">
        <v>0</v>
      </c>
      <c r="E34">
        <v>1</v>
      </c>
      <c r="F34" t="s">
        <v>37</v>
      </c>
      <c r="G34" t="s">
        <v>11</v>
      </c>
      <c r="H34" t="s">
        <v>12</v>
      </c>
      <c r="I34" t="s">
        <v>13</v>
      </c>
      <c r="J34">
        <v>0</v>
      </c>
    </row>
    <row r="35" spans="1:10" x14ac:dyDescent="0.3">
      <c r="A35" t="s">
        <v>9</v>
      </c>
      <c r="B35">
        <v>27</v>
      </c>
      <c r="C35">
        <v>0</v>
      </c>
      <c r="D35">
        <v>0</v>
      </c>
      <c r="E35">
        <v>1</v>
      </c>
      <c r="F35" t="s">
        <v>38</v>
      </c>
      <c r="G35" t="s">
        <v>16</v>
      </c>
      <c r="H35" t="s">
        <v>18</v>
      </c>
      <c r="I35" t="s">
        <v>13</v>
      </c>
      <c r="J35">
        <v>0</v>
      </c>
    </row>
    <row r="36" spans="1:10" x14ac:dyDescent="0.3">
      <c r="A36" t="s">
        <v>14</v>
      </c>
      <c r="B36">
        <v>11</v>
      </c>
      <c r="C36">
        <v>1</v>
      </c>
      <c r="D36">
        <v>1</v>
      </c>
      <c r="E36">
        <v>1</v>
      </c>
      <c r="F36" t="s">
        <v>39</v>
      </c>
      <c r="G36" t="s">
        <v>11</v>
      </c>
      <c r="H36" t="s">
        <v>23</v>
      </c>
      <c r="I36" t="s">
        <v>13</v>
      </c>
      <c r="J36">
        <v>1</v>
      </c>
    </row>
    <row r="37" spans="1:10" x14ac:dyDescent="0.3">
      <c r="A37" t="s">
        <v>9</v>
      </c>
      <c r="B37">
        <v>46</v>
      </c>
      <c r="C37">
        <v>1</v>
      </c>
      <c r="D37">
        <v>1</v>
      </c>
      <c r="E37">
        <v>1</v>
      </c>
      <c r="F37" t="s">
        <v>36</v>
      </c>
      <c r="G37" t="s">
        <v>16</v>
      </c>
      <c r="H37" t="s">
        <v>18</v>
      </c>
      <c r="I37" t="s">
        <v>13</v>
      </c>
      <c r="J37">
        <v>1</v>
      </c>
    </row>
    <row r="38" spans="1:10" x14ac:dyDescent="0.3">
      <c r="A38" t="s">
        <v>14</v>
      </c>
      <c r="B38">
        <v>10</v>
      </c>
      <c r="C38">
        <v>1</v>
      </c>
      <c r="D38">
        <v>1</v>
      </c>
      <c r="E38">
        <v>0</v>
      </c>
      <c r="F38" t="s">
        <v>40</v>
      </c>
      <c r="G38" t="s">
        <v>11</v>
      </c>
      <c r="H38" t="s">
        <v>23</v>
      </c>
      <c r="I38" t="s">
        <v>13</v>
      </c>
      <c r="J38">
        <v>1</v>
      </c>
    </row>
    <row r="39" spans="1:10" x14ac:dyDescent="0.3">
      <c r="A39" t="s">
        <v>9</v>
      </c>
      <c r="B39">
        <v>13</v>
      </c>
      <c r="C39">
        <v>0</v>
      </c>
      <c r="D39">
        <v>0</v>
      </c>
      <c r="E39">
        <v>1</v>
      </c>
      <c r="F39" t="s">
        <v>41</v>
      </c>
      <c r="G39" t="s">
        <v>16</v>
      </c>
      <c r="H39" t="s">
        <v>12</v>
      </c>
      <c r="I39" t="s">
        <v>13</v>
      </c>
      <c r="J39">
        <v>0</v>
      </c>
    </row>
    <row r="40" spans="1:10" x14ac:dyDescent="0.3">
      <c r="A40" t="s">
        <v>14</v>
      </c>
      <c r="B40">
        <v>50</v>
      </c>
      <c r="C40">
        <v>0</v>
      </c>
      <c r="D40">
        <v>1</v>
      </c>
      <c r="E40">
        <v>0</v>
      </c>
      <c r="F40" t="s">
        <v>39</v>
      </c>
      <c r="G40" t="s">
        <v>11</v>
      </c>
      <c r="H40" t="s">
        <v>18</v>
      </c>
      <c r="I40" t="s">
        <v>13</v>
      </c>
      <c r="J40">
        <v>1</v>
      </c>
    </row>
    <row r="41" spans="1:10" x14ac:dyDescent="0.3">
      <c r="A41" t="s">
        <v>14</v>
      </c>
      <c r="B41">
        <v>34</v>
      </c>
      <c r="C41">
        <v>1</v>
      </c>
      <c r="D41">
        <v>1</v>
      </c>
      <c r="E41">
        <v>0</v>
      </c>
      <c r="F41" t="s">
        <v>10</v>
      </c>
      <c r="G41" t="s">
        <v>16</v>
      </c>
      <c r="H41" t="s">
        <v>18</v>
      </c>
      <c r="I41" t="s">
        <v>13</v>
      </c>
      <c r="J41">
        <v>1</v>
      </c>
    </row>
    <row r="42" spans="1:10" x14ac:dyDescent="0.3">
      <c r="A42" t="s">
        <v>9</v>
      </c>
      <c r="B42">
        <v>54</v>
      </c>
      <c r="C42">
        <v>0</v>
      </c>
      <c r="D42">
        <v>0</v>
      </c>
      <c r="E42">
        <v>1</v>
      </c>
      <c r="F42" t="s">
        <v>30</v>
      </c>
      <c r="G42" t="s">
        <v>11</v>
      </c>
      <c r="H42" t="s">
        <v>23</v>
      </c>
      <c r="I42" t="s">
        <v>13</v>
      </c>
      <c r="J42">
        <v>0</v>
      </c>
    </row>
    <row r="43" spans="1:10" x14ac:dyDescent="0.3">
      <c r="A43" t="s">
        <v>9</v>
      </c>
      <c r="B43">
        <v>16</v>
      </c>
      <c r="C43">
        <v>0</v>
      </c>
      <c r="D43">
        <v>0</v>
      </c>
      <c r="E43">
        <v>1</v>
      </c>
      <c r="F43" t="s">
        <v>36</v>
      </c>
      <c r="G43" t="s">
        <v>16</v>
      </c>
      <c r="H43" t="s">
        <v>18</v>
      </c>
      <c r="I43" t="s">
        <v>13</v>
      </c>
      <c r="J43">
        <v>0</v>
      </c>
    </row>
    <row r="44" spans="1:10" x14ac:dyDescent="0.3">
      <c r="A44" t="s">
        <v>14</v>
      </c>
      <c r="B44">
        <v>51</v>
      </c>
      <c r="C44">
        <v>1</v>
      </c>
      <c r="D44">
        <v>1</v>
      </c>
      <c r="E44">
        <v>0</v>
      </c>
      <c r="F44" t="s">
        <v>38</v>
      </c>
      <c r="G44" t="s">
        <v>11</v>
      </c>
      <c r="H44" t="s">
        <v>23</v>
      </c>
      <c r="I44" t="s">
        <v>13</v>
      </c>
      <c r="J44">
        <v>1</v>
      </c>
    </row>
    <row r="45" spans="1:10" x14ac:dyDescent="0.3">
      <c r="A45" t="s">
        <v>9</v>
      </c>
      <c r="B45">
        <v>9</v>
      </c>
      <c r="C45">
        <v>1</v>
      </c>
      <c r="D45">
        <v>1</v>
      </c>
      <c r="E45">
        <v>1</v>
      </c>
      <c r="F45" t="s">
        <v>42</v>
      </c>
      <c r="G45" t="s">
        <v>16</v>
      </c>
      <c r="H45" t="s">
        <v>23</v>
      </c>
      <c r="I45" t="s">
        <v>13</v>
      </c>
      <c r="J45">
        <v>1</v>
      </c>
    </row>
    <row r="46" spans="1:10" x14ac:dyDescent="0.3">
      <c r="A46" t="s">
        <v>9</v>
      </c>
      <c r="B46">
        <v>37</v>
      </c>
      <c r="C46">
        <v>0</v>
      </c>
      <c r="D46">
        <v>0</v>
      </c>
      <c r="E46">
        <v>0</v>
      </c>
      <c r="F46" t="s">
        <v>43</v>
      </c>
      <c r="G46" t="s">
        <v>11</v>
      </c>
      <c r="H46" t="s">
        <v>12</v>
      </c>
      <c r="I46" t="s">
        <v>13</v>
      </c>
      <c r="J46">
        <v>0</v>
      </c>
    </row>
    <row r="47" spans="1:10" x14ac:dyDescent="0.3">
      <c r="A47" t="s">
        <v>9</v>
      </c>
      <c r="B47">
        <v>13</v>
      </c>
      <c r="C47">
        <v>0</v>
      </c>
      <c r="D47">
        <v>0</v>
      </c>
      <c r="E47">
        <v>0</v>
      </c>
      <c r="F47" t="s">
        <v>44</v>
      </c>
      <c r="G47" t="s">
        <v>16</v>
      </c>
      <c r="H47" t="s">
        <v>23</v>
      </c>
      <c r="I47" t="s">
        <v>13</v>
      </c>
      <c r="J47">
        <v>0</v>
      </c>
    </row>
    <row r="48" spans="1:10" x14ac:dyDescent="0.3">
      <c r="A48" t="s">
        <v>14</v>
      </c>
      <c r="B48">
        <v>62</v>
      </c>
      <c r="C48">
        <v>0</v>
      </c>
      <c r="D48">
        <v>1</v>
      </c>
      <c r="E48">
        <v>0</v>
      </c>
      <c r="F48" t="s">
        <v>39</v>
      </c>
      <c r="G48" t="s">
        <v>11</v>
      </c>
      <c r="H48" t="s">
        <v>23</v>
      </c>
      <c r="I48" t="s">
        <v>13</v>
      </c>
      <c r="J48">
        <v>1</v>
      </c>
    </row>
    <row r="49" spans="1:10" x14ac:dyDescent="0.3">
      <c r="A49" t="s">
        <v>14</v>
      </c>
      <c r="B49">
        <v>17</v>
      </c>
      <c r="C49">
        <v>0</v>
      </c>
      <c r="D49">
        <v>0</v>
      </c>
      <c r="E49">
        <v>1</v>
      </c>
      <c r="F49" t="s">
        <v>36</v>
      </c>
      <c r="G49" t="s">
        <v>16</v>
      </c>
      <c r="H49" t="s">
        <v>12</v>
      </c>
      <c r="I49" t="s">
        <v>13</v>
      </c>
      <c r="J49">
        <v>0</v>
      </c>
    </row>
    <row r="50" spans="1:10" x14ac:dyDescent="0.3">
      <c r="A50" t="s">
        <v>9</v>
      </c>
      <c r="B50">
        <v>35</v>
      </c>
      <c r="C50">
        <v>0</v>
      </c>
      <c r="D50">
        <v>0</v>
      </c>
      <c r="E50">
        <v>1</v>
      </c>
      <c r="F50" t="s">
        <v>31</v>
      </c>
      <c r="G50" t="s">
        <v>11</v>
      </c>
      <c r="H50" t="s">
        <v>23</v>
      </c>
      <c r="I50" t="s">
        <v>13</v>
      </c>
      <c r="J50">
        <v>0</v>
      </c>
    </row>
    <row r="51" spans="1:10" x14ac:dyDescent="0.3">
      <c r="A51" t="s">
        <v>14</v>
      </c>
      <c r="B51">
        <v>9</v>
      </c>
      <c r="C51">
        <v>1</v>
      </c>
      <c r="D51">
        <v>1</v>
      </c>
      <c r="E51">
        <v>0</v>
      </c>
      <c r="F51" t="s">
        <v>45</v>
      </c>
      <c r="G51" t="s">
        <v>16</v>
      </c>
      <c r="H51" t="s">
        <v>23</v>
      </c>
      <c r="I51" t="s">
        <v>13</v>
      </c>
      <c r="J51">
        <v>1</v>
      </c>
    </row>
    <row r="52" spans="1:10" x14ac:dyDescent="0.3">
      <c r="A52" t="s">
        <v>14</v>
      </c>
      <c r="B52">
        <v>14</v>
      </c>
      <c r="C52">
        <v>1</v>
      </c>
      <c r="D52">
        <v>1</v>
      </c>
      <c r="E52">
        <v>0</v>
      </c>
      <c r="F52" t="s">
        <v>32</v>
      </c>
      <c r="G52" t="s">
        <v>11</v>
      </c>
      <c r="H52" t="s">
        <v>23</v>
      </c>
      <c r="I52" t="s">
        <v>13</v>
      </c>
      <c r="J52">
        <v>1</v>
      </c>
    </row>
    <row r="53" spans="1:10" x14ac:dyDescent="0.3">
      <c r="A53" t="s">
        <v>14</v>
      </c>
      <c r="B53">
        <v>37</v>
      </c>
      <c r="C53">
        <v>0</v>
      </c>
      <c r="D53">
        <v>0</v>
      </c>
      <c r="E53">
        <v>0</v>
      </c>
      <c r="F53" t="s">
        <v>30</v>
      </c>
      <c r="G53" t="s">
        <v>16</v>
      </c>
      <c r="H53" t="s">
        <v>23</v>
      </c>
      <c r="I53" t="s">
        <v>13</v>
      </c>
      <c r="J53">
        <v>0</v>
      </c>
    </row>
    <row r="54" spans="1:10" x14ac:dyDescent="0.3">
      <c r="A54" t="s">
        <v>14</v>
      </c>
      <c r="B54">
        <v>13</v>
      </c>
      <c r="C54">
        <v>0</v>
      </c>
      <c r="D54">
        <v>0</v>
      </c>
      <c r="E54">
        <v>0</v>
      </c>
      <c r="F54" t="s">
        <v>46</v>
      </c>
      <c r="G54" t="s">
        <v>11</v>
      </c>
      <c r="H54" t="s">
        <v>18</v>
      </c>
      <c r="I54" t="s">
        <v>13</v>
      </c>
      <c r="J54">
        <v>0</v>
      </c>
    </row>
    <row r="55" spans="1:10" x14ac:dyDescent="0.3">
      <c r="A55" t="s">
        <v>14</v>
      </c>
      <c r="B55">
        <v>57</v>
      </c>
      <c r="C55">
        <v>0</v>
      </c>
      <c r="D55">
        <v>0</v>
      </c>
      <c r="E55">
        <v>0</v>
      </c>
      <c r="F55" t="s">
        <v>29</v>
      </c>
      <c r="G55" t="s">
        <v>16</v>
      </c>
      <c r="H55" t="s">
        <v>12</v>
      </c>
      <c r="I55" t="s">
        <v>13</v>
      </c>
      <c r="J55">
        <v>0</v>
      </c>
    </row>
    <row r="56" spans="1:10" x14ac:dyDescent="0.3">
      <c r="A56" t="s">
        <v>9</v>
      </c>
      <c r="B56">
        <v>41</v>
      </c>
      <c r="C56">
        <v>0</v>
      </c>
      <c r="D56">
        <v>0</v>
      </c>
      <c r="E56">
        <v>0</v>
      </c>
      <c r="F56" t="s">
        <v>19</v>
      </c>
      <c r="G56" t="s">
        <v>11</v>
      </c>
      <c r="H56" t="s">
        <v>12</v>
      </c>
      <c r="I56" t="s">
        <v>13</v>
      </c>
      <c r="J56">
        <v>0</v>
      </c>
    </row>
    <row r="57" spans="1:10" x14ac:dyDescent="0.3">
      <c r="A57" t="s">
        <v>14</v>
      </c>
      <c r="B57">
        <v>24</v>
      </c>
      <c r="C57">
        <v>1</v>
      </c>
      <c r="D57">
        <v>1</v>
      </c>
      <c r="E57">
        <v>1</v>
      </c>
      <c r="F57" t="s">
        <v>31</v>
      </c>
      <c r="G57" t="s">
        <v>16</v>
      </c>
      <c r="H57" t="s">
        <v>12</v>
      </c>
      <c r="I57" t="s">
        <v>13</v>
      </c>
      <c r="J57">
        <v>1</v>
      </c>
    </row>
    <row r="58" spans="1:10" x14ac:dyDescent="0.3">
      <c r="A58" t="s">
        <v>14</v>
      </c>
      <c r="B58">
        <v>28</v>
      </c>
      <c r="C58">
        <v>0</v>
      </c>
      <c r="D58">
        <v>0</v>
      </c>
      <c r="E58">
        <v>0</v>
      </c>
      <c r="F58" t="s">
        <v>20</v>
      </c>
      <c r="G58" t="s">
        <v>11</v>
      </c>
      <c r="H58" t="s">
        <v>18</v>
      </c>
      <c r="I58" t="s">
        <v>13</v>
      </c>
      <c r="J58">
        <v>0</v>
      </c>
    </row>
    <row r="59" spans="1:10" x14ac:dyDescent="0.3">
      <c r="A59" t="s">
        <v>14</v>
      </c>
      <c r="B59">
        <v>25</v>
      </c>
      <c r="C59">
        <v>0</v>
      </c>
      <c r="D59">
        <v>0</v>
      </c>
      <c r="E59">
        <v>1</v>
      </c>
      <c r="F59" t="s">
        <v>26</v>
      </c>
      <c r="G59" t="s">
        <v>16</v>
      </c>
      <c r="H59" t="s">
        <v>18</v>
      </c>
      <c r="I59" t="s">
        <v>13</v>
      </c>
      <c r="J59">
        <v>0</v>
      </c>
    </row>
    <row r="60" spans="1:10" x14ac:dyDescent="0.3">
      <c r="A60" t="s">
        <v>14</v>
      </c>
      <c r="B60">
        <v>44</v>
      </c>
      <c r="C60">
        <v>0</v>
      </c>
      <c r="D60">
        <v>0</v>
      </c>
      <c r="E60">
        <v>1</v>
      </c>
      <c r="F60" t="s">
        <v>41</v>
      </c>
      <c r="G60" t="s">
        <v>11</v>
      </c>
      <c r="H60" t="s">
        <v>23</v>
      </c>
      <c r="I60" t="s">
        <v>13</v>
      </c>
      <c r="J60">
        <v>0</v>
      </c>
    </row>
    <row r="61" spans="1:10" x14ac:dyDescent="0.3">
      <c r="A61" t="s">
        <v>14</v>
      </c>
      <c r="B61">
        <v>10</v>
      </c>
      <c r="C61">
        <v>1</v>
      </c>
      <c r="D61">
        <v>1</v>
      </c>
      <c r="E61">
        <v>1</v>
      </c>
      <c r="F61" t="s">
        <v>38</v>
      </c>
      <c r="G61" t="s">
        <v>16</v>
      </c>
      <c r="H61" t="s">
        <v>23</v>
      </c>
      <c r="I61" t="s">
        <v>13</v>
      </c>
      <c r="J61">
        <v>1</v>
      </c>
    </row>
    <row r="62" spans="1:10" x14ac:dyDescent="0.3">
      <c r="A62" t="s">
        <v>9</v>
      </c>
      <c r="B62">
        <v>13</v>
      </c>
      <c r="C62">
        <v>1</v>
      </c>
      <c r="D62">
        <v>1</v>
      </c>
      <c r="E62">
        <v>1</v>
      </c>
      <c r="F62" t="s">
        <v>21</v>
      </c>
      <c r="G62" t="s">
        <v>11</v>
      </c>
      <c r="H62" t="s">
        <v>18</v>
      </c>
      <c r="I62" t="s">
        <v>13</v>
      </c>
      <c r="J62">
        <v>1</v>
      </c>
    </row>
    <row r="63" spans="1:10" x14ac:dyDescent="0.3">
      <c r="A63" t="s">
        <v>9</v>
      </c>
      <c r="B63">
        <v>65</v>
      </c>
      <c r="C63">
        <v>1</v>
      </c>
      <c r="D63">
        <v>1</v>
      </c>
      <c r="E63">
        <v>0</v>
      </c>
      <c r="F63" t="s">
        <v>47</v>
      </c>
      <c r="G63" t="s">
        <v>16</v>
      </c>
      <c r="H63" t="s">
        <v>12</v>
      </c>
      <c r="I63" t="s">
        <v>13</v>
      </c>
      <c r="J63">
        <v>1</v>
      </c>
    </row>
    <row r="64" spans="1:10" x14ac:dyDescent="0.3">
      <c r="A64" t="s">
        <v>14</v>
      </c>
      <c r="B64">
        <v>53</v>
      </c>
      <c r="C64">
        <v>0</v>
      </c>
      <c r="D64">
        <v>0</v>
      </c>
      <c r="E64">
        <v>0</v>
      </c>
      <c r="F64" t="s">
        <v>37</v>
      </c>
      <c r="G64" t="s">
        <v>11</v>
      </c>
      <c r="H64" t="s">
        <v>18</v>
      </c>
      <c r="I64" t="s">
        <v>13</v>
      </c>
      <c r="J64">
        <v>0</v>
      </c>
    </row>
    <row r="65" spans="1:10" x14ac:dyDescent="0.3">
      <c r="A65" t="s">
        <v>14</v>
      </c>
      <c r="B65">
        <v>54</v>
      </c>
      <c r="C65">
        <v>0</v>
      </c>
      <c r="D65">
        <v>0</v>
      </c>
      <c r="E65">
        <v>1</v>
      </c>
      <c r="F65" t="s">
        <v>43</v>
      </c>
      <c r="G65" t="s">
        <v>16</v>
      </c>
      <c r="H65" t="s">
        <v>18</v>
      </c>
      <c r="I65" t="s">
        <v>13</v>
      </c>
      <c r="J65">
        <v>0</v>
      </c>
    </row>
    <row r="66" spans="1:10" x14ac:dyDescent="0.3">
      <c r="A66" t="s">
        <v>9</v>
      </c>
      <c r="B66">
        <v>59</v>
      </c>
      <c r="C66">
        <v>0</v>
      </c>
      <c r="D66">
        <v>0</v>
      </c>
      <c r="E66">
        <v>1</v>
      </c>
      <c r="F66" t="s">
        <v>48</v>
      </c>
      <c r="G66" t="s">
        <v>11</v>
      </c>
      <c r="H66" t="s">
        <v>12</v>
      </c>
      <c r="I66" t="s">
        <v>13</v>
      </c>
      <c r="J66">
        <v>0</v>
      </c>
    </row>
    <row r="67" spans="1:10" x14ac:dyDescent="0.3">
      <c r="A67" t="s">
        <v>14</v>
      </c>
      <c r="B67">
        <v>47</v>
      </c>
      <c r="C67">
        <v>1</v>
      </c>
      <c r="D67">
        <v>1</v>
      </c>
      <c r="E67">
        <v>1</v>
      </c>
      <c r="F67" t="s">
        <v>49</v>
      </c>
      <c r="G67" t="s">
        <v>16</v>
      </c>
      <c r="H67" t="s">
        <v>12</v>
      </c>
      <c r="I67" t="s">
        <v>13</v>
      </c>
      <c r="J67">
        <v>1</v>
      </c>
    </row>
    <row r="68" spans="1:10" x14ac:dyDescent="0.3">
      <c r="A68" t="s">
        <v>9</v>
      </c>
      <c r="B68">
        <v>28</v>
      </c>
      <c r="C68">
        <v>1</v>
      </c>
      <c r="D68">
        <v>1</v>
      </c>
      <c r="E68">
        <v>1</v>
      </c>
      <c r="F68" t="s">
        <v>38</v>
      </c>
      <c r="G68" t="s">
        <v>11</v>
      </c>
      <c r="H68" t="s">
        <v>18</v>
      </c>
      <c r="I68" t="s">
        <v>13</v>
      </c>
      <c r="J68">
        <v>1</v>
      </c>
    </row>
    <row r="69" spans="1:10" x14ac:dyDescent="0.3">
      <c r="A69" t="s">
        <v>9</v>
      </c>
      <c r="B69">
        <v>38</v>
      </c>
      <c r="C69">
        <v>1</v>
      </c>
      <c r="D69">
        <v>1</v>
      </c>
      <c r="E69">
        <v>0</v>
      </c>
      <c r="F69" t="s">
        <v>49</v>
      </c>
      <c r="G69" t="s">
        <v>16</v>
      </c>
      <c r="H69" t="s">
        <v>23</v>
      </c>
      <c r="I69" t="s">
        <v>13</v>
      </c>
      <c r="J69">
        <v>1</v>
      </c>
    </row>
    <row r="70" spans="1:10" x14ac:dyDescent="0.3">
      <c r="A70" t="s">
        <v>9</v>
      </c>
      <c r="B70">
        <v>11</v>
      </c>
      <c r="C70">
        <v>1</v>
      </c>
      <c r="D70">
        <v>1</v>
      </c>
      <c r="E70">
        <v>0</v>
      </c>
      <c r="F70" t="s">
        <v>25</v>
      </c>
      <c r="G70" t="s">
        <v>11</v>
      </c>
      <c r="H70" t="s">
        <v>23</v>
      </c>
      <c r="I70" t="s">
        <v>13</v>
      </c>
      <c r="J70">
        <v>1</v>
      </c>
    </row>
    <row r="71" spans="1:10" x14ac:dyDescent="0.3">
      <c r="A71" t="s">
        <v>9</v>
      </c>
      <c r="B71">
        <v>65</v>
      </c>
      <c r="C71">
        <v>0</v>
      </c>
      <c r="D71">
        <v>0</v>
      </c>
      <c r="E71">
        <v>0</v>
      </c>
      <c r="F71" t="s">
        <v>28</v>
      </c>
      <c r="G71" t="s">
        <v>16</v>
      </c>
      <c r="H71" t="s">
        <v>23</v>
      </c>
      <c r="I71" t="s">
        <v>13</v>
      </c>
      <c r="J71">
        <v>0</v>
      </c>
    </row>
    <row r="72" spans="1:10" x14ac:dyDescent="0.3">
      <c r="A72" t="s">
        <v>14</v>
      </c>
      <c r="B72">
        <v>17</v>
      </c>
      <c r="C72">
        <v>1</v>
      </c>
      <c r="D72">
        <v>1</v>
      </c>
      <c r="E72">
        <v>0</v>
      </c>
      <c r="F72" t="s">
        <v>19</v>
      </c>
      <c r="G72" t="s">
        <v>11</v>
      </c>
      <c r="H72" t="s">
        <v>18</v>
      </c>
      <c r="I72" t="s">
        <v>13</v>
      </c>
      <c r="J72">
        <v>1</v>
      </c>
    </row>
    <row r="73" spans="1:10" x14ac:dyDescent="0.3">
      <c r="A73" t="s">
        <v>14</v>
      </c>
      <c r="B73">
        <v>64</v>
      </c>
      <c r="C73">
        <v>0</v>
      </c>
      <c r="D73">
        <v>0</v>
      </c>
      <c r="E73">
        <v>0</v>
      </c>
      <c r="F73" t="s">
        <v>50</v>
      </c>
      <c r="G73" t="s">
        <v>16</v>
      </c>
      <c r="H73" t="s">
        <v>23</v>
      </c>
      <c r="I73" t="s">
        <v>13</v>
      </c>
      <c r="J73">
        <v>0</v>
      </c>
    </row>
    <row r="74" spans="1:10" x14ac:dyDescent="0.3">
      <c r="A74" t="s">
        <v>9</v>
      </c>
      <c r="B74">
        <v>45</v>
      </c>
      <c r="C74">
        <v>1</v>
      </c>
      <c r="D74">
        <v>1</v>
      </c>
      <c r="E74">
        <v>1</v>
      </c>
      <c r="F74" t="s">
        <v>34</v>
      </c>
      <c r="G74" t="s">
        <v>11</v>
      </c>
      <c r="H74" t="s">
        <v>23</v>
      </c>
      <c r="I74" t="s">
        <v>13</v>
      </c>
      <c r="J74">
        <v>1</v>
      </c>
    </row>
    <row r="75" spans="1:10" x14ac:dyDescent="0.3">
      <c r="A75" t="s">
        <v>9</v>
      </c>
      <c r="B75">
        <v>10</v>
      </c>
      <c r="C75">
        <v>1</v>
      </c>
      <c r="D75">
        <v>1</v>
      </c>
      <c r="E75">
        <v>0</v>
      </c>
      <c r="F75" t="s">
        <v>48</v>
      </c>
      <c r="G75" t="s">
        <v>16</v>
      </c>
      <c r="H75" t="s">
        <v>12</v>
      </c>
      <c r="I75" t="s">
        <v>13</v>
      </c>
      <c r="J75">
        <v>1</v>
      </c>
    </row>
    <row r="76" spans="1:10" x14ac:dyDescent="0.3">
      <c r="A76" t="s">
        <v>14</v>
      </c>
      <c r="B76">
        <v>49</v>
      </c>
      <c r="C76">
        <v>1</v>
      </c>
      <c r="D76">
        <v>1</v>
      </c>
      <c r="E76">
        <v>1</v>
      </c>
      <c r="F76" t="s">
        <v>43</v>
      </c>
      <c r="G76" t="s">
        <v>11</v>
      </c>
      <c r="H76" t="s">
        <v>18</v>
      </c>
      <c r="I76" t="s">
        <v>13</v>
      </c>
      <c r="J76">
        <v>1</v>
      </c>
    </row>
    <row r="77" spans="1:10" x14ac:dyDescent="0.3">
      <c r="A77" t="s">
        <v>14</v>
      </c>
      <c r="B77">
        <v>61</v>
      </c>
      <c r="C77">
        <v>0</v>
      </c>
      <c r="D77">
        <v>0</v>
      </c>
      <c r="E77">
        <v>1</v>
      </c>
      <c r="F77" t="s">
        <v>36</v>
      </c>
      <c r="G77" t="s">
        <v>16</v>
      </c>
      <c r="H77" t="s">
        <v>23</v>
      </c>
      <c r="I77" t="s">
        <v>13</v>
      </c>
      <c r="J77">
        <v>0</v>
      </c>
    </row>
    <row r="78" spans="1:10" x14ac:dyDescent="0.3">
      <c r="A78" t="s">
        <v>9</v>
      </c>
      <c r="B78">
        <v>61</v>
      </c>
      <c r="C78">
        <v>1</v>
      </c>
      <c r="D78">
        <v>1</v>
      </c>
      <c r="E78">
        <v>1</v>
      </c>
      <c r="F78" t="s">
        <v>38</v>
      </c>
      <c r="G78" t="s">
        <v>11</v>
      </c>
      <c r="H78" t="s">
        <v>18</v>
      </c>
      <c r="I78" t="s">
        <v>13</v>
      </c>
      <c r="J78">
        <v>1</v>
      </c>
    </row>
    <row r="79" spans="1:10" x14ac:dyDescent="0.3">
      <c r="A79" t="s">
        <v>14</v>
      </c>
      <c r="B79">
        <v>21</v>
      </c>
      <c r="C79">
        <v>0</v>
      </c>
      <c r="D79">
        <v>0</v>
      </c>
      <c r="E79">
        <v>1</v>
      </c>
      <c r="F79" t="s">
        <v>21</v>
      </c>
      <c r="G79" t="s">
        <v>16</v>
      </c>
      <c r="H79" t="s">
        <v>12</v>
      </c>
      <c r="I79" t="s">
        <v>13</v>
      </c>
      <c r="J79">
        <v>0</v>
      </c>
    </row>
    <row r="80" spans="1:10" x14ac:dyDescent="0.3">
      <c r="A80" t="s">
        <v>14</v>
      </c>
      <c r="B80">
        <v>64</v>
      </c>
      <c r="C80">
        <v>1</v>
      </c>
      <c r="D80">
        <v>1</v>
      </c>
      <c r="E80">
        <v>1</v>
      </c>
      <c r="F80" t="s">
        <v>32</v>
      </c>
      <c r="G80" t="s">
        <v>11</v>
      </c>
      <c r="H80" t="s">
        <v>18</v>
      </c>
      <c r="I80" t="s">
        <v>13</v>
      </c>
      <c r="J80">
        <v>1</v>
      </c>
    </row>
    <row r="81" spans="1:10" x14ac:dyDescent="0.3">
      <c r="A81" t="s">
        <v>9</v>
      </c>
      <c r="B81">
        <v>24</v>
      </c>
      <c r="C81">
        <v>0</v>
      </c>
      <c r="D81">
        <v>0</v>
      </c>
      <c r="E81">
        <v>0</v>
      </c>
      <c r="F81" t="s">
        <v>31</v>
      </c>
      <c r="G81" t="s">
        <v>16</v>
      </c>
      <c r="H81" t="s">
        <v>23</v>
      </c>
      <c r="I81" t="s">
        <v>13</v>
      </c>
      <c r="J81">
        <v>0</v>
      </c>
    </row>
    <row r="82" spans="1:10" x14ac:dyDescent="0.3">
      <c r="A82" t="s">
        <v>9</v>
      </c>
      <c r="B82">
        <v>62</v>
      </c>
      <c r="C82">
        <v>1</v>
      </c>
      <c r="D82">
        <v>1</v>
      </c>
      <c r="E82">
        <v>0</v>
      </c>
      <c r="F82" t="s">
        <v>31</v>
      </c>
      <c r="G82" t="s">
        <v>11</v>
      </c>
      <c r="H82" t="s">
        <v>12</v>
      </c>
      <c r="I82" t="s">
        <v>13</v>
      </c>
      <c r="J82">
        <v>1</v>
      </c>
    </row>
    <row r="83" spans="1:10" x14ac:dyDescent="0.3">
      <c r="A83" t="s">
        <v>14</v>
      </c>
      <c r="B83">
        <v>59</v>
      </c>
      <c r="C83">
        <v>1</v>
      </c>
      <c r="D83">
        <v>1</v>
      </c>
      <c r="E83">
        <v>1</v>
      </c>
      <c r="F83" t="s">
        <v>28</v>
      </c>
      <c r="G83" t="s">
        <v>16</v>
      </c>
      <c r="H83" t="s">
        <v>18</v>
      </c>
      <c r="I83" t="s">
        <v>13</v>
      </c>
      <c r="J83">
        <v>1</v>
      </c>
    </row>
    <row r="84" spans="1:10" x14ac:dyDescent="0.3">
      <c r="A84" t="s">
        <v>14</v>
      </c>
      <c r="B84">
        <v>44</v>
      </c>
      <c r="C84">
        <v>0</v>
      </c>
      <c r="D84">
        <v>0</v>
      </c>
      <c r="E84">
        <v>0</v>
      </c>
      <c r="F84" t="s">
        <v>22</v>
      </c>
      <c r="G84" t="s">
        <v>11</v>
      </c>
      <c r="H84" t="s">
        <v>23</v>
      </c>
      <c r="I84" t="s">
        <v>13</v>
      </c>
      <c r="J84">
        <v>0</v>
      </c>
    </row>
    <row r="85" spans="1:10" x14ac:dyDescent="0.3">
      <c r="A85" t="s">
        <v>9</v>
      </c>
      <c r="B85">
        <v>12</v>
      </c>
      <c r="C85">
        <v>1</v>
      </c>
      <c r="D85">
        <v>1</v>
      </c>
      <c r="E85">
        <v>0</v>
      </c>
      <c r="F85" t="s">
        <v>47</v>
      </c>
      <c r="G85" t="s">
        <v>16</v>
      </c>
      <c r="H85" t="s">
        <v>18</v>
      </c>
      <c r="I85" t="s">
        <v>13</v>
      </c>
      <c r="J85">
        <v>1</v>
      </c>
    </row>
    <row r="86" spans="1:10" x14ac:dyDescent="0.3">
      <c r="A86" t="s">
        <v>9</v>
      </c>
      <c r="B86">
        <v>29</v>
      </c>
      <c r="C86">
        <v>1</v>
      </c>
      <c r="D86">
        <v>1</v>
      </c>
      <c r="E86">
        <v>1</v>
      </c>
      <c r="F86" t="s">
        <v>30</v>
      </c>
      <c r="G86" t="s">
        <v>11</v>
      </c>
      <c r="H86" t="s">
        <v>23</v>
      </c>
      <c r="I86" t="s">
        <v>13</v>
      </c>
      <c r="J86">
        <v>1</v>
      </c>
    </row>
    <row r="87" spans="1:10" x14ac:dyDescent="0.3">
      <c r="A87" t="s">
        <v>14</v>
      </c>
      <c r="B87">
        <v>38</v>
      </c>
      <c r="C87">
        <v>0</v>
      </c>
      <c r="D87">
        <v>0</v>
      </c>
      <c r="E87">
        <v>0</v>
      </c>
      <c r="F87" t="s">
        <v>35</v>
      </c>
      <c r="G87" t="s">
        <v>16</v>
      </c>
      <c r="H87" t="s">
        <v>12</v>
      </c>
      <c r="I87" t="s">
        <v>13</v>
      </c>
      <c r="J87">
        <v>0</v>
      </c>
    </row>
    <row r="88" spans="1:10" x14ac:dyDescent="0.3">
      <c r="A88" t="s">
        <v>9</v>
      </c>
      <c r="B88">
        <v>45</v>
      </c>
      <c r="C88">
        <v>1</v>
      </c>
      <c r="D88">
        <v>1</v>
      </c>
      <c r="E88">
        <v>0</v>
      </c>
      <c r="F88" t="s">
        <v>44</v>
      </c>
      <c r="G88" t="s">
        <v>11</v>
      </c>
      <c r="H88" t="s">
        <v>12</v>
      </c>
      <c r="I88" t="s">
        <v>13</v>
      </c>
      <c r="J88">
        <v>1</v>
      </c>
    </row>
    <row r="89" spans="1:10" x14ac:dyDescent="0.3">
      <c r="A89" t="s">
        <v>9</v>
      </c>
      <c r="B89">
        <v>54</v>
      </c>
      <c r="C89">
        <v>1</v>
      </c>
      <c r="D89">
        <v>1</v>
      </c>
      <c r="E89">
        <v>1</v>
      </c>
      <c r="F89" t="s">
        <v>43</v>
      </c>
      <c r="G89" t="s">
        <v>16</v>
      </c>
      <c r="H89" t="s">
        <v>12</v>
      </c>
      <c r="I89" t="s">
        <v>13</v>
      </c>
      <c r="J89">
        <v>1</v>
      </c>
    </row>
    <row r="90" spans="1:10" x14ac:dyDescent="0.3">
      <c r="A90" t="s">
        <v>9</v>
      </c>
      <c r="B90">
        <v>50</v>
      </c>
      <c r="C90">
        <v>1</v>
      </c>
      <c r="D90">
        <v>1</v>
      </c>
      <c r="E90">
        <v>1</v>
      </c>
      <c r="F90" t="s">
        <v>46</v>
      </c>
      <c r="G90" t="s">
        <v>11</v>
      </c>
      <c r="H90" t="s">
        <v>23</v>
      </c>
      <c r="I90" t="s">
        <v>13</v>
      </c>
      <c r="J90">
        <v>1</v>
      </c>
    </row>
    <row r="91" spans="1:10" x14ac:dyDescent="0.3">
      <c r="A91" t="s">
        <v>9</v>
      </c>
      <c r="B91">
        <v>39</v>
      </c>
      <c r="C91">
        <v>1</v>
      </c>
      <c r="D91">
        <v>1</v>
      </c>
      <c r="E91">
        <v>0</v>
      </c>
      <c r="F91" t="s">
        <v>39</v>
      </c>
      <c r="G91" t="s">
        <v>16</v>
      </c>
      <c r="H91" t="s">
        <v>12</v>
      </c>
      <c r="I91" t="s">
        <v>13</v>
      </c>
      <c r="J91">
        <v>1</v>
      </c>
    </row>
    <row r="92" spans="1:10" x14ac:dyDescent="0.3">
      <c r="A92" t="s">
        <v>9</v>
      </c>
      <c r="B92">
        <v>53</v>
      </c>
      <c r="C92">
        <v>0</v>
      </c>
      <c r="D92">
        <v>0</v>
      </c>
      <c r="E92">
        <v>0</v>
      </c>
      <c r="F92" t="s">
        <v>46</v>
      </c>
      <c r="G92" t="s">
        <v>11</v>
      </c>
      <c r="H92" t="s">
        <v>18</v>
      </c>
      <c r="I92" t="s">
        <v>13</v>
      </c>
      <c r="J92">
        <v>0</v>
      </c>
    </row>
    <row r="93" spans="1:10" x14ac:dyDescent="0.3">
      <c r="A93" t="s">
        <v>14</v>
      </c>
      <c r="B93">
        <v>64</v>
      </c>
      <c r="C93">
        <v>1</v>
      </c>
      <c r="D93">
        <v>1</v>
      </c>
      <c r="E93">
        <v>1</v>
      </c>
      <c r="F93" t="s">
        <v>10</v>
      </c>
      <c r="G93" t="s">
        <v>16</v>
      </c>
      <c r="H93" t="s">
        <v>12</v>
      </c>
      <c r="I93" t="s">
        <v>13</v>
      </c>
      <c r="J93">
        <v>1</v>
      </c>
    </row>
    <row r="94" spans="1:10" x14ac:dyDescent="0.3">
      <c r="A94" t="s">
        <v>9</v>
      </c>
      <c r="B94">
        <v>60</v>
      </c>
      <c r="C94">
        <v>1</v>
      </c>
      <c r="D94">
        <v>1</v>
      </c>
      <c r="E94">
        <v>1</v>
      </c>
      <c r="F94" t="s">
        <v>50</v>
      </c>
      <c r="G94" t="s">
        <v>11</v>
      </c>
      <c r="H94" t="s">
        <v>18</v>
      </c>
      <c r="I94" t="s">
        <v>13</v>
      </c>
      <c r="J94">
        <v>1</v>
      </c>
    </row>
    <row r="95" spans="1:10" x14ac:dyDescent="0.3">
      <c r="A95" t="s">
        <v>9</v>
      </c>
      <c r="B95">
        <v>45</v>
      </c>
      <c r="C95">
        <v>0</v>
      </c>
      <c r="D95">
        <v>0</v>
      </c>
      <c r="E95">
        <v>1</v>
      </c>
      <c r="F95" t="s">
        <v>40</v>
      </c>
      <c r="G95" t="s">
        <v>16</v>
      </c>
      <c r="H95" t="s">
        <v>18</v>
      </c>
      <c r="I95" t="s">
        <v>13</v>
      </c>
      <c r="J95">
        <v>0</v>
      </c>
    </row>
    <row r="96" spans="1:10" x14ac:dyDescent="0.3">
      <c r="A96" t="s">
        <v>14</v>
      </c>
      <c r="B96">
        <v>32</v>
      </c>
      <c r="C96">
        <v>0</v>
      </c>
      <c r="D96">
        <v>0</v>
      </c>
      <c r="E96">
        <v>0</v>
      </c>
      <c r="F96" t="s">
        <v>44</v>
      </c>
      <c r="G96" t="s">
        <v>11</v>
      </c>
      <c r="H96" t="s">
        <v>18</v>
      </c>
      <c r="I96" t="s">
        <v>13</v>
      </c>
      <c r="J96">
        <v>0</v>
      </c>
    </row>
    <row r="97" spans="1:10" x14ac:dyDescent="0.3">
      <c r="A97" t="s">
        <v>9</v>
      </c>
      <c r="B97">
        <v>26</v>
      </c>
      <c r="C97">
        <v>0</v>
      </c>
      <c r="D97">
        <v>0</v>
      </c>
      <c r="E97">
        <v>0</v>
      </c>
      <c r="F97" t="s">
        <v>39</v>
      </c>
      <c r="G97" t="s">
        <v>16</v>
      </c>
      <c r="H97" t="s">
        <v>12</v>
      </c>
      <c r="I97" t="s">
        <v>13</v>
      </c>
      <c r="J97">
        <v>0</v>
      </c>
    </row>
    <row r="98" spans="1:10" x14ac:dyDescent="0.3">
      <c r="A98" t="s">
        <v>9</v>
      </c>
      <c r="B98">
        <v>58</v>
      </c>
      <c r="C98">
        <v>1</v>
      </c>
      <c r="D98">
        <v>1</v>
      </c>
      <c r="E98">
        <v>1</v>
      </c>
      <c r="F98" t="s">
        <v>51</v>
      </c>
      <c r="G98" t="s">
        <v>11</v>
      </c>
      <c r="H98" t="s">
        <v>12</v>
      </c>
      <c r="I98" t="s">
        <v>13</v>
      </c>
      <c r="J98">
        <v>1</v>
      </c>
    </row>
    <row r="99" spans="1:10" x14ac:dyDescent="0.3">
      <c r="A99" t="s">
        <v>9</v>
      </c>
      <c r="B99">
        <v>23</v>
      </c>
      <c r="C99">
        <v>1</v>
      </c>
      <c r="D99">
        <v>1</v>
      </c>
      <c r="E99">
        <v>0</v>
      </c>
      <c r="F99" t="s">
        <v>37</v>
      </c>
      <c r="G99" t="s">
        <v>16</v>
      </c>
      <c r="H99" t="s">
        <v>23</v>
      </c>
      <c r="I99" t="s">
        <v>13</v>
      </c>
      <c r="J99">
        <v>1</v>
      </c>
    </row>
    <row r="100" spans="1:10" x14ac:dyDescent="0.3">
      <c r="A100" t="s">
        <v>14</v>
      </c>
      <c r="B100">
        <v>30</v>
      </c>
      <c r="C100">
        <v>0</v>
      </c>
      <c r="D100">
        <v>0</v>
      </c>
      <c r="E100">
        <v>1</v>
      </c>
      <c r="F100" t="s">
        <v>28</v>
      </c>
      <c r="G100" t="s">
        <v>11</v>
      </c>
      <c r="H100" t="s">
        <v>23</v>
      </c>
      <c r="I100" t="s">
        <v>13</v>
      </c>
      <c r="J100">
        <v>0</v>
      </c>
    </row>
    <row r="101" spans="1:10" x14ac:dyDescent="0.3">
      <c r="A101" t="s">
        <v>9</v>
      </c>
      <c r="B101">
        <v>62</v>
      </c>
      <c r="C101">
        <v>0</v>
      </c>
      <c r="D101">
        <v>0</v>
      </c>
      <c r="E101">
        <v>0</v>
      </c>
      <c r="F101" t="s">
        <v>51</v>
      </c>
      <c r="G101" t="s">
        <v>16</v>
      </c>
      <c r="H101" t="s">
        <v>23</v>
      </c>
      <c r="I101" t="s">
        <v>13</v>
      </c>
      <c r="J101">
        <v>0</v>
      </c>
    </row>
    <row r="102" spans="1:10" x14ac:dyDescent="0.3">
      <c r="A102" t="s">
        <v>9</v>
      </c>
      <c r="B102">
        <v>34</v>
      </c>
      <c r="C102">
        <v>0</v>
      </c>
      <c r="D102">
        <v>0</v>
      </c>
      <c r="E102">
        <v>0</v>
      </c>
      <c r="F102" t="s">
        <v>41</v>
      </c>
      <c r="G102" t="s">
        <v>11</v>
      </c>
      <c r="H102" t="s">
        <v>18</v>
      </c>
      <c r="I102" t="s">
        <v>13</v>
      </c>
      <c r="J102">
        <v>0</v>
      </c>
    </row>
    <row r="103" spans="1:10" x14ac:dyDescent="0.3">
      <c r="A103" t="s">
        <v>9</v>
      </c>
      <c r="B103">
        <v>58</v>
      </c>
      <c r="C103">
        <v>0</v>
      </c>
      <c r="D103">
        <v>0</v>
      </c>
      <c r="E103">
        <v>0</v>
      </c>
      <c r="F103" t="s">
        <v>21</v>
      </c>
      <c r="G103" t="s">
        <v>16</v>
      </c>
      <c r="H103" t="s">
        <v>18</v>
      </c>
      <c r="I103" t="s">
        <v>13</v>
      </c>
      <c r="J103">
        <v>0</v>
      </c>
    </row>
    <row r="104" spans="1:10" x14ac:dyDescent="0.3">
      <c r="A104" t="s">
        <v>9</v>
      </c>
      <c r="B104">
        <v>51</v>
      </c>
      <c r="C104">
        <v>0</v>
      </c>
      <c r="D104">
        <v>0</v>
      </c>
      <c r="E104">
        <v>1</v>
      </c>
      <c r="F104" t="s">
        <v>29</v>
      </c>
      <c r="G104" t="s">
        <v>11</v>
      </c>
      <c r="H104" t="s">
        <v>12</v>
      </c>
      <c r="I104" t="s">
        <v>13</v>
      </c>
      <c r="J104">
        <v>0</v>
      </c>
    </row>
    <row r="105" spans="1:10" x14ac:dyDescent="0.3">
      <c r="A105" t="s">
        <v>9</v>
      </c>
      <c r="B105">
        <v>50</v>
      </c>
      <c r="C105">
        <v>1</v>
      </c>
      <c r="D105">
        <v>1</v>
      </c>
      <c r="E105">
        <v>0</v>
      </c>
      <c r="F105" t="s">
        <v>38</v>
      </c>
      <c r="G105" t="s">
        <v>16</v>
      </c>
      <c r="H105" t="s">
        <v>23</v>
      </c>
      <c r="I105" t="s">
        <v>13</v>
      </c>
      <c r="J105">
        <v>1</v>
      </c>
    </row>
    <row r="106" spans="1:10" x14ac:dyDescent="0.3">
      <c r="A106" t="s">
        <v>9</v>
      </c>
      <c r="B106">
        <v>9</v>
      </c>
      <c r="C106">
        <v>0</v>
      </c>
      <c r="D106">
        <v>0</v>
      </c>
      <c r="E106">
        <v>0</v>
      </c>
      <c r="F106" t="s">
        <v>15</v>
      </c>
      <c r="G106" t="s">
        <v>11</v>
      </c>
      <c r="H106" t="s">
        <v>23</v>
      </c>
      <c r="I106" t="s">
        <v>13</v>
      </c>
      <c r="J106">
        <v>0</v>
      </c>
    </row>
    <row r="107" spans="1:10" x14ac:dyDescent="0.3">
      <c r="A107" t="s">
        <v>9</v>
      </c>
      <c r="B107">
        <v>8</v>
      </c>
      <c r="C107">
        <v>0</v>
      </c>
      <c r="D107">
        <v>0</v>
      </c>
      <c r="E107">
        <v>1</v>
      </c>
      <c r="F107" t="s">
        <v>48</v>
      </c>
      <c r="G107" t="s">
        <v>16</v>
      </c>
      <c r="H107" t="s">
        <v>18</v>
      </c>
      <c r="I107" t="s">
        <v>13</v>
      </c>
      <c r="J107">
        <v>0</v>
      </c>
    </row>
    <row r="108" spans="1:10" x14ac:dyDescent="0.3">
      <c r="A108" t="s">
        <v>14</v>
      </c>
      <c r="B108">
        <v>45</v>
      </c>
      <c r="C108">
        <v>1</v>
      </c>
      <c r="D108">
        <v>1</v>
      </c>
      <c r="E108">
        <v>1</v>
      </c>
      <c r="F108" t="s">
        <v>32</v>
      </c>
      <c r="G108" t="s">
        <v>11</v>
      </c>
      <c r="H108" t="s">
        <v>12</v>
      </c>
      <c r="I108" t="s">
        <v>13</v>
      </c>
      <c r="J108">
        <v>1</v>
      </c>
    </row>
    <row r="109" spans="1:10" x14ac:dyDescent="0.3">
      <c r="A109" t="s">
        <v>14</v>
      </c>
      <c r="B109">
        <v>27</v>
      </c>
      <c r="C109">
        <v>1</v>
      </c>
      <c r="D109">
        <v>1</v>
      </c>
      <c r="E109">
        <v>1</v>
      </c>
      <c r="F109" t="s">
        <v>25</v>
      </c>
      <c r="G109" t="s">
        <v>16</v>
      </c>
      <c r="H109" t="s">
        <v>18</v>
      </c>
      <c r="I109" t="s">
        <v>13</v>
      </c>
      <c r="J109">
        <v>1</v>
      </c>
    </row>
    <row r="110" spans="1:10" x14ac:dyDescent="0.3">
      <c r="A110" t="s">
        <v>9</v>
      </c>
      <c r="B110">
        <v>31</v>
      </c>
      <c r="C110">
        <v>1</v>
      </c>
      <c r="D110">
        <v>1</v>
      </c>
      <c r="E110">
        <v>1</v>
      </c>
      <c r="F110" t="s">
        <v>43</v>
      </c>
      <c r="G110" t="s">
        <v>11</v>
      </c>
      <c r="H110" t="s">
        <v>12</v>
      </c>
      <c r="I110" t="s">
        <v>13</v>
      </c>
      <c r="J110">
        <v>1</v>
      </c>
    </row>
    <row r="111" spans="1:10" x14ac:dyDescent="0.3">
      <c r="A111" t="s">
        <v>9</v>
      </c>
      <c r="B111">
        <v>44</v>
      </c>
      <c r="C111">
        <v>0</v>
      </c>
      <c r="D111">
        <v>0</v>
      </c>
      <c r="E111">
        <v>0</v>
      </c>
      <c r="F111" t="s">
        <v>20</v>
      </c>
      <c r="G111" t="s">
        <v>16</v>
      </c>
      <c r="H111" t="s">
        <v>18</v>
      </c>
      <c r="I111" t="s">
        <v>13</v>
      </c>
      <c r="J111">
        <v>0</v>
      </c>
    </row>
    <row r="112" spans="1:10" x14ac:dyDescent="0.3">
      <c r="A112" t="s">
        <v>9</v>
      </c>
      <c r="B112">
        <v>39</v>
      </c>
      <c r="C112">
        <v>1</v>
      </c>
      <c r="D112">
        <v>1</v>
      </c>
      <c r="E112">
        <v>0</v>
      </c>
      <c r="F112" t="s">
        <v>47</v>
      </c>
      <c r="G112" t="s">
        <v>11</v>
      </c>
      <c r="H112" t="s">
        <v>23</v>
      </c>
      <c r="I112" t="s">
        <v>13</v>
      </c>
      <c r="J112">
        <v>1</v>
      </c>
    </row>
    <row r="113" spans="1:10" x14ac:dyDescent="0.3">
      <c r="A113" t="s">
        <v>9</v>
      </c>
      <c r="B113">
        <v>9</v>
      </c>
      <c r="C113">
        <v>1</v>
      </c>
      <c r="D113">
        <v>1</v>
      </c>
      <c r="E113">
        <v>0</v>
      </c>
      <c r="F113" t="s">
        <v>52</v>
      </c>
      <c r="G113" t="s">
        <v>16</v>
      </c>
      <c r="H113" t="s">
        <v>23</v>
      </c>
      <c r="I113" t="s">
        <v>13</v>
      </c>
      <c r="J113">
        <v>1</v>
      </c>
    </row>
    <row r="114" spans="1:10" x14ac:dyDescent="0.3">
      <c r="A114" t="s">
        <v>14</v>
      </c>
      <c r="B114">
        <v>51</v>
      </c>
      <c r="C114">
        <v>1</v>
      </c>
      <c r="D114">
        <v>1</v>
      </c>
      <c r="E114">
        <v>0</v>
      </c>
      <c r="F114" t="s">
        <v>37</v>
      </c>
      <c r="G114" t="s">
        <v>11</v>
      </c>
      <c r="H114" t="s">
        <v>18</v>
      </c>
      <c r="I114" t="s">
        <v>13</v>
      </c>
      <c r="J114">
        <v>1</v>
      </c>
    </row>
    <row r="115" spans="1:10" x14ac:dyDescent="0.3">
      <c r="A115" t="s">
        <v>14</v>
      </c>
      <c r="B115">
        <v>24</v>
      </c>
      <c r="C115">
        <v>0</v>
      </c>
      <c r="D115">
        <v>0</v>
      </c>
      <c r="E115">
        <v>0</v>
      </c>
      <c r="F115" t="s">
        <v>20</v>
      </c>
      <c r="G115" t="s">
        <v>16</v>
      </c>
      <c r="H115" t="s">
        <v>18</v>
      </c>
      <c r="I115" t="s">
        <v>13</v>
      </c>
      <c r="J115">
        <v>0</v>
      </c>
    </row>
    <row r="116" spans="1:10" x14ac:dyDescent="0.3">
      <c r="A116" t="s">
        <v>14</v>
      </c>
      <c r="B116">
        <v>46</v>
      </c>
      <c r="C116">
        <v>1</v>
      </c>
      <c r="D116">
        <v>1</v>
      </c>
      <c r="E116">
        <v>0</v>
      </c>
      <c r="F116" t="s">
        <v>38</v>
      </c>
      <c r="G116" t="s">
        <v>11</v>
      </c>
      <c r="H116" t="s">
        <v>23</v>
      </c>
      <c r="I116" t="s">
        <v>13</v>
      </c>
      <c r="J116">
        <v>1</v>
      </c>
    </row>
    <row r="117" spans="1:10" x14ac:dyDescent="0.3">
      <c r="A117" t="s">
        <v>14</v>
      </c>
      <c r="B117">
        <v>39</v>
      </c>
      <c r="C117">
        <v>1</v>
      </c>
      <c r="D117">
        <v>1</v>
      </c>
      <c r="E117">
        <v>0</v>
      </c>
      <c r="F117" t="s">
        <v>17</v>
      </c>
      <c r="G117" t="s">
        <v>16</v>
      </c>
      <c r="H117" t="s">
        <v>12</v>
      </c>
      <c r="I117" t="s">
        <v>13</v>
      </c>
      <c r="J117">
        <v>1</v>
      </c>
    </row>
    <row r="118" spans="1:10" x14ac:dyDescent="0.3">
      <c r="A118" t="s">
        <v>9</v>
      </c>
      <c r="B118">
        <v>14</v>
      </c>
      <c r="C118">
        <v>1</v>
      </c>
      <c r="D118">
        <v>1</v>
      </c>
      <c r="E118">
        <v>0</v>
      </c>
      <c r="F118" t="s">
        <v>34</v>
      </c>
      <c r="G118" t="s">
        <v>11</v>
      </c>
      <c r="H118" t="s">
        <v>12</v>
      </c>
      <c r="I118" t="s">
        <v>13</v>
      </c>
      <c r="J118">
        <v>1</v>
      </c>
    </row>
    <row r="119" spans="1:10" x14ac:dyDescent="0.3">
      <c r="A119" t="s">
        <v>14</v>
      </c>
      <c r="B119">
        <v>42</v>
      </c>
      <c r="C119">
        <v>1</v>
      </c>
      <c r="D119">
        <v>1</v>
      </c>
      <c r="E119">
        <v>0</v>
      </c>
      <c r="F119" t="s">
        <v>52</v>
      </c>
      <c r="G119" t="s">
        <v>16</v>
      </c>
      <c r="H119" t="s">
        <v>18</v>
      </c>
      <c r="I119" t="s">
        <v>13</v>
      </c>
      <c r="J119">
        <v>1</v>
      </c>
    </row>
    <row r="120" spans="1:10" x14ac:dyDescent="0.3">
      <c r="A120" t="s">
        <v>14</v>
      </c>
      <c r="B120">
        <v>37</v>
      </c>
      <c r="C120">
        <v>1</v>
      </c>
      <c r="D120">
        <v>1</v>
      </c>
      <c r="E120">
        <v>0</v>
      </c>
      <c r="F120" t="s">
        <v>32</v>
      </c>
      <c r="G120" t="s">
        <v>11</v>
      </c>
      <c r="H120" t="s">
        <v>23</v>
      </c>
      <c r="I120" t="s">
        <v>13</v>
      </c>
      <c r="J120">
        <v>1</v>
      </c>
    </row>
    <row r="121" spans="1:10" x14ac:dyDescent="0.3">
      <c r="A121" t="s">
        <v>14</v>
      </c>
      <c r="B121">
        <v>31</v>
      </c>
      <c r="C121">
        <v>1</v>
      </c>
      <c r="D121">
        <v>1</v>
      </c>
      <c r="E121">
        <v>0</v>
      </c>
      <c r="F121" t="s">
        <v>33</v>
      </c>
      <c r="G121" t="s">
        <v>16</v>
      </c>
      <c r="H121" t="s">
        <v>12</v>
      </c>
      <c r="I121" t="s">
        <v>13</v>
      </c>
      <c r="J121">
        <v>1</v>
      </c>
    </row>
    <row r="122" spans="1:10" x14ac:dyDescent="0.3">
      <c r="A122" t="s">
        <v>14</v>
      </c>
      <c r="B122">
        <v>57</v>
      </c>
      <c r="C122">
        <v>0</v>
      </c>
      <c r="D122">
        <v>0</v>
      </c>
      <c r="E122">
        <v>0</v>
      </c>
      <c r="F122" t="s">
        <v>31</v>
      </c>
      <c r="G122" t="s">
        <v>11</v>
      </c>
      <c r="H122" t="s">
        <v>23</v>
      </c>
      <c r="I122" t="s">
        <v>13</v>
      </c>
      <c r="J122">
        <v>0</v>
      </c>
    </row>
    <row r="123" spans="1:10" x14ac:dyDescent="0.3">
      <c r="A123" t="s">
        <v>9</v>
      </c>
      <c r="B123">
        <v>30</v>
      </c>
      <c r="C123">
        <v>0</v>
      </c>
      <c r="D123">
        <v>0</v>
      </c>
      <c r="E123">
        <v>1</v>
      </c>
      <c r="F123" t="s">
        <v>45</v>
      </c>
      <c r="G123" t="s">
        <v>16</v>
      </c>
      <c r="H123" t="s">
        <v>12</v>
      </c>
      <c r="I123" t="s">
        <v>13</v>
      </c>
      <c r="J123">
        <v>0</v>
      </c>
    </row>
    <row r="124" spans="1:10" x14ac:dyDescent="0.3">
      <c r="A124" t="s">
        <v>9</v>
      </c>
      <c r="B124">
        <v>57</v>
      </c>
      <c r="C124">
        <v>1</v>
      </c>
      <c r="D124">
        <v>1</v>
      </c>
      <c r="E124">
        <v>1</v>
      </c>
      <c r="F124" t="s">
        <v>19</v>
      </c>
      <c r="G124" t="s">
        <v>11</v>
      </c>
      <c r="H124" t="s">
        <v>23</v>
      </c>
      <c r="I124" t="s">
        <v>13</v>
      </c>
      <c r="J124">
        <v>1</v>
      </c>
    </row>
    <row r="125" spans="1:10" x14ac:dyDescent="0.3">
      <c r="A125" t="s">
        <v>14</v>
      </c>
      <c r="B125">
        <v>17</v>
      </c>
      <c r="C125">
        <v>0</v>
      </c>
      <c r="D125">
        <v>0</v>
      </c>
      <c r="E125">
        <v>0</v>
      </c>
      <c r="F125" t="s">
        <v>27</v>
      </c>
      <c r="G125" t="s">
        <v>16</v>
      </c>
      <c r="H125" t="s">
        <v>18</v>
      </c>
      <c r="I125" t="s">
        <v>13</v>
      </c>
      <c r="J125">
        <v>0</v>
      </c>
    </row>
    <row r="126" spans="1:10" x14ac:dyDescent="0.3">
      <c r="A126" t="s">
        <v>9</v>
      </c>
      <c r="B126">
        <v>56</v>
      </c>
      <c r="C126">
        <v>0</v>
      </c>
      <c r="D126">
        <v>0</v>
      </c>
      <c r="E126">
        <v>0</v>
      </c>
      <c r="F126" t="s">
        <v>49</v>
      </c>
      <c r="G126" t="s">
        <v>11</v>
      </c>
      <c r="H126" t="s">
        <v>23</v>
      </c>
      <c r="I126" t="s">
        <v>13</v>
      </c>
      <c r="J126">
        <v>0</v>
      </c>
    </row>
    <row r="127" spans="1:10" x14ac:dyDescent="0.3">
      <c r="A127" t="s">
        <v>14</v>
      </c>
      <c r="B127">
        <v>54</v>
      </c>
      <c r="C127">
        <v>0</v>
      </c>
      <c r="D127">
        <v>0</v>
      </c>
      <c r="E127">
        <v>0</v>
      </c>
      <c r="F127" t="s">
        <v>36</v>
      </c>
      <c r="G127" t="s">
        <v>16</v>
      </c>
      <c r="H127" t="s">
        <v>18</v>
      </c>
      <c r="I127" t="s">
        <v>13</v>
      </c>
      <c r="J127">
        <v>0</v>
      </c>
    </row>
    <row r="128" spans="1:10" x14ac:dyDescent="0.3">
      <c r="A128" t="s">
        <v>9</v>
      </c>
      <c r="B128">
        <v>22</v>
      </c>
      <c r="C128">
        <v>0</v>
      </c>
      <c r="D128">
        <v>0</v>
      </c>
      <c r="E128">
        <v>1</v>
      </c>
      <c r="F128" t="s">
        <v>41</v>
      </c>
      <c r="G128" t="s">
        <v>11</v>
      </c>
      <c r="H128" t="s">
        <v>18</v>
      </c>
      <c r="I128" t="s">
        <v>13</v>
      </c>
      <c r="J128">
        <v>0</v>
      </c>
    </row>
    <row r="129" spans="1:10" x14ac:dyDescent="0.3">
      <c r="A129" t="s">
        <v>9</v>
      </c>
      <c r="B129">
        <v>63</v>
      </c>
      <c r="C129">
        <v>1</v>
      </c>
      <c r="D129">
        <v>1</v>
      </c>
      <c r="E129">
        <v>1</v>
      </c>
      <c r="F129" t="s">
        <v>43</v>
      </c>
      <c r="G129" t="s">
        <v>16</v>
      </c>
      <c r="H129" t="s">
        <v>18</v>
      </c>
      <c r="I129" t="s">
        <v>13</v>
      </c>
      <c r="J129">
        <v>1</v>
      </c>
    </row>
    <row r="130" spans="1:10" x14ac:dyDescent="0.3">
      <c r="A130" t="s">
        <v>14</v>
      </c>
      <c r="B130">
        <v>54</v>
      </c>
      <c r="C130">
        <v>0</v>
      </c>
      <c r="D130">
        <v>0</v>
      </c>
      <c r="E130">
        <v>1</v>
      </c>
      <c r="F130" t="s">
        <v>10</v>
      </c>
      <c r="G130" t="s">
        <v>11</v>
      </c>
      <c r="H130" t="s">
        <v>23</v>
      </c>
      <c r="I130" t="s">
        <v>13</v>
      </c>
      <c r="J130">
        <v>0</v>
      </c>
    </row>
    <row r="131" spans="1:10" x14ac:dyDescent="0.3">
      <c r="A131" t="s">
        <v>14</v>
      </c>
      <c r="B131">
        <v>61</v>
      </c>
      <c r="C131">
        <v>1</v>
      </c>
      <c r="D131">
        <v>1</v>
      </c>
      <c r="E131">
        <v>1</v>
      </c>
      <c r="F131" t="s">
        <v>35</v>
      </c>
      <c r="G131" t="s">
        <v>16</v>
      </c>
      <c r="H131" t="s">
        <v>23</v>
      </c>
      <c r="I131" t="s">
        <v>13</v>
      </c>
      <c r="J131">
        <v>1</v>
      </c>
    </row>
    <row r="132" spans="1:10" x14ac:dyDescent="0.3">
      <c r="A132" t="s">
        <v>9</v>
      </c>
      <c r="B132">
        <v>47</v>
      </c>
      <c r="C132">
        <v>1</v>
      </c>
      <c r="D132">
        <v>1</v>
      </c>
      <c r="E132">
        <v>1</v>
      </c>
      <c r="F132" t="s">
        <v>32</v>
      </c>
      <c r="G132" t="s">
        <v>11</v>
      </c>
      <c r="H132" t="s">
        <v>23</v>
      </c>
      <c r="I132" t="s">
        <v>13</v>
      </c>
      <c r="J132">
        <v>1</v>
      </c>
    </row>
    <row r="133" spans="1:10" x14ac:dyDescent="0.3">
      <c r="A133" t="s">
        <v>14</v>
      </c>
      <c r="B133">
        <v>18</v>
      </c>
      <c r="C133">
        <v>0</v>
      </c>
      <c r="D133">
        <v>0</v>
      </c>
      <c r="E133">
        <v>1</v>
      </c>
      <c r="F133" t="s">
        <v>19</v>
      </c>
      <c r="G133" t="s">
        <v>16</v>
      </c>
      <c r="H133" t="s">
        <v>18</v>
      </c>
      <c r="I133" t="s">
        <v>13</v>
      </c>
      <c r="J133">
        <v>0</v>
      </c>
    </row>
    <row r="134" spans="1:10" x14ac:dyDescent="0.3">
      <c r="A134" t="s">
        <v>9</v>
      </c>
      <c r="B134">
        <v>24</v>
      </c>
      <c r="C134">
        <v>1</v>
      </c>
      <c r="D134">
        <v>1</v>
      </c>
      <c r="E134">
        <v>0</v>
      </c>
      <c r="F134" t="s">
        <v>38</v>
      </c>
      <c r="G134" t="s">
        <v>11</v>
      </c>
      <c r="H134" t="s">
        <v>18</v>
      </c>
      <c r="I134" t="s">
        <v>13</v>
      </c>
      <c r="J134">
        <v>1</v>
      </c>
    </row>
    <row r="135" spans="1:10" x14ac:dyDescent="0.3">
      <c r="A135" t="s">
        <v>9</v>
      </c>
      <c r="B135">
        <v>60</v>
      </c>
      <c r="C135">
        <v>0</v>
      </c>
      <c r="D135">
        <v>0</v>
      </c>
      <c r="E135">
        <v>1</v>
      </c>
      <c r="F135" t="s">
        <v>39</v>
      </c>
      <c r="G135" t="s">
        <v>16</v>
      </c>
      <c r="H135" t="s">
        <v>18</v>
      </c>
      <c r="I135" t="s">
        <v>13</v>
      </c>
      <c r="J135">
        <v>0</v>
      </c>
    </row>
    <row r="136" spans="1:10" x14ac:dyDescent="0.3">
      <c r="A136" t="s">
        <v>9</v>
      </c>
      <c r="B136">
        <v>47</v>
      </c>
      <c r="C136">
        <v>1</v>
      </c>
      <c r="D136">
        <v>1</v>
      </c>
      <c r="E136">
        <v>1</v>
      </c>
      <c r="F136" t="s">
        <v>30</v>
      </c>
      <c r="G136" t="s">
        <v>11</v>
      </c>
      <c r="H136" t="s">
        <v>18</v>
      </c>
      <c r="I136" t="s">
        <v>13</v>
      </c>
      <c r="J136">
        <v>1</v>
      </c>
    </row>
    <row r="137" spans="1:10" x14ac:dyDescent="0.3">
      <c r="A137" t="s">
        <v>9</v>
      </c>
      <c r="B137">
        <v>19</v>
      </c>
      <c r="C137">
        <v>1</v>
      </c>
      <c r="D137">
        <v>1</v>
      </c>
      <c r="E137">
        <v>0</v>
      </c>
      <c r="F137" t="s">
        <v>17</v>
      </c>
      <c r="G137" t="s">
        <v>16</v>
      </c>
      <c r="H137" t="s">
        <v>12</v>
      </c>
      <c r="I137" t="s">
        <v>13</v>
      </c>
      <c r="J137">
        <v>1</v>
      </c>
    </row>
    <row r="138" spans="1:10" x14ac:dyDescent="0.3">
      <c r="A138" t="s">
        <v>14</v>
      </c>
      <c r="B138">
        <v>55</v>
      </c>
      <c r="C138">
        <v>1</v>
      </c>
      <c r="D138">
        <v>1</v>
      </c>
      <c r="E138">
        <v>0</v>
      </c>
      <c r="F138" t="s">
        <v>33</v>
      </c>
      <c r="G138" t="s">
        <v>11</v>
      </c>
      <c r="H138" t="s">
        <v>23</v>
      </c>
      <c r="I138" t="s">
        <v>13</v>
      </c>
      <c r="J138">
        <v>1</v>
      </c>
    </row>
    <row r="139" spans="1:10" x14ac:dyDescent="0.3">
      <c r="A139" t="s">
        <v>9</v>
      </c>
      <c r="B139">
        <v>49</v>
      </c>
      <c r="C139">
        <v>1</v>
      </c>
      <c r="D139">
        <v>1</v>
      </c>
      <c r="E139">
        <v>0</v>
      </c>
      <c r="F139" t="s">
        <v>17</v>
      </c>
      <c r="G139" t="s">
        <v>16</v>
      </c>
      <c r="H139" t="s">
        <v>12</v>
      </c>
      <c r="I139" t="s">
        <v>13</v>
      </c>
      <c r="J139">
        <v>1</v>
      </c>
    </row>
    <row r="140" spans="1:10" x14ac:dyDescent="0.3">
      <c r="A140" t="s">
        <v>14</v>
      </c>
      <c r="B140">
        <v>32</v>
      </c>
      <c r="C140">
        <v>0</v>
      </c>
      <c r="D140">
        <v>1</v>
      </c>
      <c r="E140">
        <v>0</v>
      </c>
      <c r="F140" t="s">
        <v>52</v>
      </c>
      <c r="G140" t="s">
        <v>11</v>
      </c>
      <c r="H140" t="s">
        <v>23</v>
      </c>
      <c r="I140" t="s">
        <v>13</v>
      </c>
      <c r="J140">
        <v>1</v>
      </c>
    </row>
    <row r="141" spans="1:10" x14ac:dyDescent="0.3">
      <c r="A141" t="s">
        <v>9</v>
      </c>
      <c r="B141">
        <v>8</v>
      </c>
      <c r="C141">
        <v>1</v>
      </c>
      <c r="D141">
        <v>1</v>
      </c>
      <c r="E141">
        <v>0</v>
      </c>
      <c r="F141" t="s">
        <v>43</v>
      </c>
      <c r="G141" t="s">
        <v>16</v>
      </c>
      <c r="H141" t="s">
        <v>23</v>
      </c>
      <c r="I141" t="s">
        <v>13</v>
      </c>
      <c r="J141">
        <v>1</v>
      </c>
    </row>
    <row r="142" spans="1:10" x14ac:dyDescent="0.3">
      <c r="A142" t="s">
        <v>9</v>
      </c>
      <c r="B142">
        <v>14</v>
      </c>
      <c r="C142">
        <v>0</v>
      </c>
      <c r="D142">
        <v>0</v>
      </c>
      <c r="E142">
        <v>0</v>
      </c>
      <c r="F142" t="s">
        <v>46</v>
      </c>
      <c r="G142" t="s">
        <v>11</v>
      </c>
      <c r="H142" t="s">
        <v>23</v>
      </c>
      <c r="I142" t="s">
        <v>13</v>
      </c>
      <c r="J142">
        <v>0</v>
      </c>
    </row>
    <row r="143" spans="1:10" x14ac:dyDescent="0.3">
      <c r="A143" t="s">
        <v>14</v>
      </c>
      <c r="B143">
        <v>28</v>
      </c>
      <c r="C143">
        <v>0</v>
      </c>
      <c r="D143">
        <v>0</v>
      </c>
      <c r="E143">
        <v>1</v>
      </c>
      <c r="F143" t="s">
        <v>45</v>
      </c>
      <c r="G143" t="s">
        <v>16</v>
      </c>
      <c r="H143" t="s">
        <v>18</v>
      </c>
      <c r="I143" t="s">
        <v>13</v>
      </c>
      <c r="J143">
        <v>0</v>
      </c>
    </row>
    <row r="144" spans="1:10" x14ac:dyDescent="0.3">
      <c r="A144" t="s">
        <v>9</v>
      </c>
      <c r="B144">
        <v>11</v>
      </c>
      <c r="C144">
        <v>1</v>
      </c>
      <c r="D144">
        <v>1</v>
      </c>
      <c r="E144">
        <v>1</v>
      </c>
      <c r="F144" t="s">
        <v>37</v>
      </c>
      <c r="G144" t="s">
        <v>11</v>
      </c>
      <c r="H144" t="s">
        <v>18</v>
      </c>
      <c r="I144" t="s">
        <v>13</v>
      </c>
      <c r="J144">
        <v>1</v>
      </c>
    </row>
    <row r="145" spans="1:10" x14ac:dyDescent="0.3">
      <c r="A145" t="s">
        <v>14</v>
      </c>
      <c r="B145">
        <v>29</v>
      </c>
      <c r="C145">
        <v>0</v>
      </c>
      <c r="D145">
        <v>0</v>
      </c>
      <c r="E145">
        <v>0</v>
      </c>
      <c r="F145" t="s">
        <v>52</v>
      </c>
      <c r="G145" t="s">
        <v>16</v>
      </c>
      <c r="H145" t="s">
        <v>12</v>
      </c>
      <c r="I145" t="s">
        <v>13</v>
      </c>
      <c r="J145">
        <v>0</v>
      </c>
    </row>
    <row r="146" spans="1:10" x14ac:dyDescent="0.3">
      <c r="A146" t="s">
        <v>9</v>
      </c>
      <c r="B146">
        <v>62</v>
      </c>
      <c r="C146">
        <v>0</v>
      </c>
      <c r="D146">
        <v>0</v>
      </c>
      <c r="E146">
        <v>1</v>
      </c>
      <c r="F146" t="s">
        <v>28</v>
      </c>
      <c r="G146" t="s">
        <v>11</v>
      </c>
      <c r="H146" t="s">
        <v>18</v>
      </c>
      <c r="I146" t="s">
        <v>13</v>
      </c>
      <c r="J146">
        <v>0</v>
      </c>
    </row>
    <row r="147" spans="1:10" x14ac:dyDescent="0.3">
      <c r="A147" t="s">
        <v>9</v>
      </c>
      <c r="B147">
        <v>65</v>
      </c>
      <c r="C147">
        <v>1</v>
      </c>
      <c r="D147">
        <v>1</v>
      </c>
      <c r="E147">
        <v>1</v>
      </c>
      <c r="F147" t="s">
        <v>17</v>
      </c>
      <c r="G147" t="s">
        <v>16</v>
      </c>
      <c r="H147" t="s">
        <v>18</v>
      </c>
      <c r="I147" t="s">
        <v>13</v>
      </c>
      <c r="J147">
        <v>1</v>
      </c>
    </row>
    <row r="148" spans="1:10" x14ac:dyDescent="0.3">
      <c r="A148" t="s">
        <v>9</v>
      </c>
      <c r="B148">
        <v>43</v>
      </c>
      <c r="C148">
        <v>1</v>
      </c>
      <c r="D148">
        <v>1</v>
      </c>
      <c r="E148">
        <v>1</v>
      </c>
      <c r="F148" t="s">
        <v>36</v>
      </c>
      <c r="G148" t="s">
        <v>11</v>
      </c>
      <c r="H148" t="s">
        <v>18</v>
      </c>
      <c r="I148" t="s">
        <v>13</v>
      </c>
      <c r="J148">
        <v>1</v>
      </c>
    </row>
    <row r="149" spans="1:10" x14ac:dyDescent="0.3">
      <c r="A149" t="s">
        <v>9</v>
      </c>
      <c r="B149">
        <v>59</v>
      </c>
      <c r="C149">
        <v>1</v>
      </c>
      <c r="D149">
        <v>1</v>
      </c>
      <c r="E149">
        <v>0</v>
      </c>
      <c r="F149" t="s">
        <v>42</v>
      </c>
      <c r="G149" t="s">
        <v>16</v>
      </c>
      <c r="H149" t="s">
        <v>23</v>
      </c>
      <c r="I149" t="s">
        <v>13</v>
      </c>
      <c r="J149">
        <v>1</v>
      </c>
    </row>
    <row r="150" spans="1:10" x14ac:dyDescent="0.3">
      <c r="A150" t="s">
        <v>9</v>
      </c>
      <c r="B150">
        <v>29</v>
      </c>
      <c r="C150">
        <v>1</v>
      </c>
      <c r="D150">
        <v>1</v>
      </c>
      <c r="E150">
        <v>1</v>
      </c>
      <c r="F150" t="s">
        <v>15</v>
      </c>
      <c r="G150" t="s">
        <v>11</v>
      </c>
      <c r="H150" t="s">
        <v>23</v>
      </c>
      <c r="I150" t="s">
        <v>13</v>
      </c>
      <c r="J150">
        <v>1</v>
      </c>
    </row>
    <row r="151" spans="1:10" x14ac:dyDescent="0.3">
      <c r="A151" t="s">
        <v>14</v>
      </c>
      <c r="B151">
        <v>17</v>
      </c>
      <c r="C151">
        <v>0</v>
      </c>
      <c r="D151">
        <v>0</v>
      </c>
      <c r="E151">
        <v>0</v>
      </c>
      <c r="F151" t="s">
        <v>48</v>
      </c>
      <c r="G151" t="s">
        <v>16</v>
      </c>
      <c r="H151" t="s">
        <v>12</v>
      </c>
      <c r="I151" t="s">
        <v>13</v>
      </c>
      <c r="J151">
        <v>0</v>
      </c>
    </row>
    <row r="152" spans="1:10" x14ac:dyDescent="0.3">
      <c r="A152" t="s">
        <v>9</v>
      </c>
      <c r="B152">
        <v>41</v>
      </c>
      <c r="C152">
        <v>1</v>
      </c>
      <c r="D152">
        <v>1</v>
      </c>
      <c r="E152">
        <v>1</v>
      </c>
      <c r="F152" t="s">
        <v>28</v>
      </c>
      <c r="G152" t="s">
        <v>11</v>
      </c>
      <c r="H152" t="s">
        <v>18</v>
      </c>
      <c r="I152" t="s">
        <v>13</v>
      </c>
      <c r="J152">
        <v>1</v>
      </c>
    </row>
    <row r="153" spans="1:10" x14ac:dyDescent="0.3">
      <c r="A153" t="s">
        <v>9</v>
      </c>
      <c r="B153">
        <v>8</v>
      </c>
      <c r="C153">
        <v>1</v>
      </c>
      <c r="D153">
        <v>1</v>
      </c>
      <c r="E153">
        <v>1</v>
      </c>
      <c r="F153" t="s">
        <v>46</v>
      </c>
      <c r="G153" t="s">
        <v>16</v>
      </c>
      <c r="H153" t="s">
        <v>12</v>
      </c>
      <c r="I153" t="s">
        <v>13</v>
      </c>
      <c r="J153">
        <v>1</v>
      </c>
    </row>
    <row r="154" spans="1:10" x14ac:dyDescent="0.3">
      <c r="A154" t="s">
        <v>9</v>
      </c>
      <c r="B154">
        <v>29</v>
      </c>
      <c r="C154">
        <v>1</v>
      </c>
      <c r="D154">
        <v>1</v>
      </c>
      <c r="E154">
        <v>0</v>
      </c>
      <c r="F154" t="s">
        <v>30</v>
      </c>
      <c r="G154" t="s">
        <v>11</v>
      </c>
      <c r="H154" t="s">
        <v>23</v>
      </c>
      <c r="I154" t="s">
        <v>13</v>
      </c>
      <c r="J154">
        <v>1</v>
      </c>
    </row>
    <row r="155" spans="1:10" x14ac:dyDescent="0.3">
      <c r="A155" t="s">
        <v>9</v>
      </c>
      <c r="B155">
        <v>54</v>
      </c>
      <c r="C155">
        <v>1</v>
      </c>
      <c r="D155">
        <v>1</v>
      </c>
      <c r="E155">
        <v>0</v>
      </c>
      <c r="F155" t="s">
        <v>49</v>
      </c>
      <c r="G155" t="s">
        <v>16</v>
      </c>
      <c r="H155" t="s">
        <v>23</v>
      </c>
      <c r="I155" t="s">
        <v>13</v>
      </c>
      <c r="J155">
        <v>1</v>
      </c>
    </row>
    <row r="156" spans="1:10" x14ac:dyDescent="0.3">
      <c r="A156" t="s">
        <v>9</v>
      </c>
      <c r="B156">
        <v>53</v>
      </c>
      <c r="C156">
        <v>0</v>
      </c>
      <c r="D156">
        <v>0</v>
      </c>
      <c r="E156">
        <v>1</v>
      </c>
      <c r="F156" t="s">
        <v>15</v>
      </c>
      <c r="G156" t="s">
        <v>11</v>
      </c>
      <c r="H156" t="s">
        <v>12</v>
      </c>
      <c r="I156" t="s">
        <v>13</v>
      </c>
      <c r="J156">
        <v>0</v>
      </c>
    </row>
    <row r="157" spans="1:10" x14ac:dyDescent="0.3">
      <c r="A157" t="s">
        <v>14</v>
      </c>
      <c r="B157">
        <v>16</v>
      </c>
      <c r="C157">
        <v>1</v>
      </c>
      <c r="D157">
        <v>1</v>
      </c>
      <c r="E157">
        <v>1</v>
      </c>
      <c r="F157" t="s">
        <v>44</v>
      </c>
      <c r="G157" t="s">
        <v>16</v>
      </c>
      <c r="H157" t="s">
        <v>12</v>
      </c>
      <c r="I157" t="s">
        <v>13</v>
      </c>
      <c r="J157">
        <v>1</v>
      </c>
    </row>
    <row r="158" spans="1:10" x14ac:dyDescent="0.3">
      <c r="A158" t="s">
        <v>14</v>
      </c>
      <c r="B158">
        <v>43</v>
      </c>
      <c r="C158">
        <v>0</v>
      </c>
      <c r="D158">
        <v>0</v>
      </c>
      <c r="E158">
        <v>1</v>
      </c>
      <c r="F158" t="s">
        <v>30</v>
      </c>
      <c r="G158" t="s">
        <v>11</v>
      </c>
      <c r="H158" t="s">
        <v>12</v>
      </c>
      <c r="I158" t="s">
        <v>13</v>
      </c>
      <c r="J158">
        <v>0</v>
      </c>
    </row>
    <row r="159" spans="1:10" x14ac:dyDescent="0.3">
      <c r="A159" t="s">
        <v>14</v>
      </c>
      <c r="B159">
        <v>54</v>
      </c>
      <c r="C159">
        <v>0</v>
      </c>
      <c r="D159">
        <v>0</v>
      </c>
      <c r="E159">
        <v>0</v>
      </c>
      <c r="F159" t="s">
        <v>35</v>
      </c>
      <c r="G159" t="s">
        <v>16</v>
      </c>
      <c r="H159" t="s">
        <v>18</v>
      </c>
      <c r="I159" t="s">
        <v>13</v>
      </c>
      <c r="J159">
        <v>0</v>
      </c>
    </row>
    <row r="160" spans="1:10" x14ac:dyDescent="0.3">
      <c r="A160" t="s">
        <v>14</v>
      </c>
      <c r="B160">
        <v>41</v>
      </c>
      <c r="C160">
        <v>0</v>
      </c>
      <c r="D160">
        <v>0</v>
      </c>
      <c r="E160">
        <v>0</v>
      </c>
      <c r="F160" t="s">
        <v>38</v>
      </c>
      <c r="G160" t="s">
        <v>11</v>
      </c>
      <c r="H160" t="s">
        <v>23</v>
      </c>
      <c r="I160" t="s">
        <v>13</v>
      </c>
      <c r="J160">
        <v>0</v>
      </c>
    </row>
    <row r="161" spans="1:10" x14ac:dyDescent="0.3">
      <c r="A161" t="s">
        <v>14</v>
      </c>
      <c r="B161">
        <v>42</v>
      </c>
      <c r="C161">
        <v>0</v>
      </c>
      <c r="D161">
        <v>0</v>
      </c>
      <c r="E161">
        <v>0</v>
      </c>
      <c r="F161" t="s">
        <v>50</v>
      </c>
      <c r="G161" t="s">
        <v>16</v>
      </c>
      <c r="H161" t="s">
        <v>18</v>
      </c>
      <c r="I161" t="s">
        <v>13</v>
      </c>
      <c r="J161">
        <v>0</v>
      </c>
    </row>
    <row r="162" spans="1:10" x14ac:dyDescent="0.3">
      <c r="A162" t="s">
        <v>9</v>
      </c>
      <c r="B162">
        <v>45</v>
      </c>
      <c r="C162">
        <v>1</v>
      </c>
      <c r="D162">
        <v>1</v>
      </c>
      <c r="E162">
        <v>1</v>
      </c>
      <c r="F162" t="s">
        <v>24</v>
      </c>
      <c r="G162" t="s">
        <v>11</v>
      </c>
      <c r="H162" t="s">
        <v>18</v>
      </c>
      <c r="I162" t="s">
        <v>13</v>
      </c>
      <c r="J162">
        <v>1</v>
      </c>
    </row>
    <row r="163" spans="1:10" x14ac:dyDescent="0.3">
      <c r="A163" t="s">
        <v>14</v>
      </c>
      <c r="B163">
        <v>13</v>
      </c>
      <c r="C163">
        <v>1</v>
      </c>
      <c r="D163">
        <v>1</v>
      </c>
      <c r="E163">
        <v>1</v>
      </c>
      <c r="F163" t="s">
        <v>49</v>
      </c>
      <c r="G163" t="s">
        <v>16</v>
      </c>
      <c r="H163" t="s">
        <v>18</v>
      </c>
      <c r="I163" t="s">
        <v>13</v>
      </c>
      <c r="J163">
        <v>1</v>
      </c>
    </row>
    <row r="164" spans="1:10" x14ac:dyDescent="0.3">
      <c r="A164" t="s">
        <v>9</v>
      </c>
      <c r="B164">
        <v>10</v>
      </c>
      <c r="C164">
        <v>1</v>
      </c>
      <c r="D164">
        <v>1</v>
      </c>
      <c r="E164">
        <v>0</v>
      </c>
      <c r="F164" t="s">
        <v>44</v>
      </c>
      <c r="G164" t="s">
        <v>11</v>
      </c>
      <c r="H164" t="s">
        <v>12</v>
      </c>
      <c r="I164" t="s">
        <v>13</v>
      </c>
      <c r="J164">
        <v>1</v>
      </c>
    </row>
    <row r="165" spans="1:10" x14ac:dyDescent="0.3">
      <c r="A165" t="s">
        <v>14</v>
      </c>
      <c r="B165">
        <v>18</v>
      </c>
      <c r="C165">
        <v>1</v>
      </c>
      <c r="D165">
        <v>1</v>
      </c>
      <c r="E165">
        <v>0</v>
      </c>
      <c r="F165" t="s">
        <v>30</v>
      </c>
      <c r="G165" t="s">
        <v>16</v>
      </c>
      <c r="H165" t="s">
        <v>12</v>
      </c>
      <c r="I165" t="s">
        <v>13</v>
      </c>
      <c r="J165">
        <v>1</v>
      </c>
    </row>
    <row r="166" spans="1:10" x14ac:dyDescent="0.3">
      <c r="A166" t="s">
        <v>9</v>
      </c>
      <c r="B166">
        <v>9</v>
      </c>
      <c r="C166">
        <v>1</v>
      </c>
      <c r="D166">
        <v>1</v>
      </c>
      <c r="E166">
        <v>0</v>
      </c>
      <c r="F166" t="s">
        <v>31</v>
      </c>
      <c r="G166" t="s">
        <v>11</v>
      </c>
      <c r="H166" t="s">
        <v>23</v>
      </c>
      <c r="I166" t="s">
        <v>13</v>
      </c>
      <c r="J166">
        <v>1</v>
      </c>
    </row>
    <row r="167" spans="1:10" x14ac:dyDescent="0.3">
      <c r="A167" t="s">
        <v>9</v>
      </c>
      <c r="B167">
        <v>63</v>
      </c>
      <c r="C167">
        <v>0</v>
      </c>
      <c r="D167">
        <v>0</v>
      </c>
      <c r="E167">
        <v>1</v>
      </c>
      <c r="F167" t="s">
        <v>42</v>
      </c>
      <c r="G167" t="s">
        <v>16</v>
      </c>
      <c r="H167" t="s">
        <v>23</v>
      </c>
      <c r="I167" t="s">
        <v>13</v>
      </c>
      <c r="J167">
        <v>0</v>
      </c>
    </row>
    <row r="168" spans="1:10" x14ac:dyDescent="0.3">
      <c r="A168" t="s">
        <v>14</v>
      </c>
      <c r="B168">
        <v>36</v>
      </c>
      <c r="C168">
        <v>1</v>
      </c>
      <c r="D168">
        <v>1</v>
      </c>
      <c r="E168">
        <v>0</v>
      </c>
      <c r="F168" t="s">
        <v>21</v>
      </c>
      <c r="G168" t="s">
        <v>11</v>
      </c>
      <c r="H168" t="s">
        <v>12</v>
      </c>
      <c r="I168" t="s">
        <v>13</v>
      </c>
      <c r="J168">
        <v>1</v>
      </c>
    </row>
    <row r="169" spans="1:10" x14ac:dyDescent="0.3">
      <c r="A169" t="s">
        <v>14</v>
      </c>
      <c r="B169">
        <v>15</v>
      </c>
      <c r="C169">
        <v>0</v>
      </c>
      <c r="D169">
        <v>0</v>
      </c>
      <c r="E169">
        <v>1</v>
      </c>
      <c r="F169" t="s">
        <v>31</v>
      </c>
      <c r="G169" t="s">
        <v>16</v>
      </c>
      <c r="H169" t="s">
        <v>12</v>
      </c>
      <c r="I169" t="s">
        <v>13</v>
      </c>
      <c r="J169">
        <v>0</v>
      </c>
    </row>
    <row r="170" spans="1:10" x14ac:dyDescent="0.3">
      <c r="A170" t="s">
        <v>14</v>
      </c>
      <c r="B170">
        <v>30</v>
      </c>
      <c r="C170">
        <v>0</v>
      </c>
      <c r="D170">
        <v>0</v>
      </c>
      <c r="E170">
        <v>0</v>
      </c>
      <c r="F170" t="s">
        <v>17</v>
      </c>
      <c r="G170" t="s">
        <v>11</v>
      </c>
      <c r="H170" t="s">
        <v>18</v>
      </c>
      <c r="I170" t="s">
        <v>13</v>
      </c>
      <c r="J170">
        <v>0</v>
      </c>
    </row>
    <row r="171" spans="1:10" x14ac:dyDescent="0.3">
      <c r="A171" t="s">
        <v>9</v>
      </c>
      <c r="B171">
        <v>40</v>
      </c>
      <c r="C171">
        <v>1</v>
      </c>
      <c r="D171">
        <v>1</v>
      </c>
      <c r="E171">
        <v>0</v>
      </c>
      <c r="F171" t="s">
        <v>33</v>
      </c>
      <c r="G171" t="s">
        <v>16</v>
      </c>
      <c r="H171" t="s">
        <v>12</v>
      </c>
      <c r="I171" t="s">
        <v>13</v>
      </c>
      <c r="J171">
        <v>1</v>
      </c>
    </row>
    <row r="172" spans="1:10" x14ac:dyDescent="0.3">
      <c r="A172" t="s">
        <v>14</v>
      </c>
      <c r="B172">
        <v>45</v>
      </c>
      <c r="C172">
        <v>1</v>
      </c>
      <c r="D172">
        <v>1</v>
      </c>
      <c r="E172">
        <v>0</v>
      </c>
      <c r="F172" t="s">
        <v>17</v>
      </c>
      <c r="G172" t="s">
        <v>11</v>
      </c>
      <c r="H172" t="s">
        <v>23</v>
      </c>
      <c r="I172" t="s">
        <v>13</v>
      </c>
      <c r="J172">
        <v>1</v>
      </c>
    </row>
    <row r="173" spans="1:10" x14ac:dyDescent="0.3">
      <c r="A173" t="s">
        <v>9</v>
      </c>
      <c r="B173">
        <v>14</v>
      </c>
      <c r="C173">
        <v>0</v>
      </c>
      <c r="D173">
        <v>0</v>
      </c>
      <c r="E173">
        <v>1</v>
      </c>
      <c r="F173" t="s">
        <v>30</v>
      </c>
      <c r="G173" t="s">
        <v>16</v>
      </c>
      <c r="H173" t="s">
        <v>18</v>
      </c>
      <c r="I173" t="s">
        <v>13</v>
      </c>
      <c r="J173">
        <v>0</v>
      </c>
    </row>
    <row r="174" spans="1:10" x14ac:dyDescent="0.3">
      <c r="A174" t="s">
        <v>9</v>
      </c>
      <c r="B174">
        <v>9</v>
      </c>
      <c r="C174">
        <v>1</v>
      </c>
      <c r="D174">
        <v>1</v>
      </c>
      <c r="E174">
        <v>0</v>
      </c>
      <c r="F174" t="s">
        <v>21</v>
      </c>
      <c r="G174" t="s">
        <v>11</v>
      </c>
      <c r="H174" t="s">
        <v>23</v>
      </c>
      <c r="I174" t="s">
        <v>13</v>
      </c>
      <c r="J174">
        <v>1</v>
      </c>
    </row>
    <row r="175" spans="1:10" x14ac:dyDescent="0.3">
      <c r="A175" t="s">
        <v>9</v>
      </c>
      <c r="B175">
        <v>42</v>
      </c>
      <c r="C175">
        <v>0</v>
      </c>
      <c r="D175">
        <v>0</v>
      </c>
      <c r="E175">
        <v>1</v>
      </c>
      <c r="F175" t="s">
        <v>50</v>
      </c>
      <c r="G175" t="s">
        <v>16</v>
      </c>
      <c r="H175" t="s">
        <v>18</v>
      </c>
      <c r="I175" t="s">
        <v>13</v>
      </c>
      <c r="J175">
        <v>0</v>
      </c>
    </row>
    <row r="176" spans="1:10" x14ac:dyDescent="0.3">
      <c r="A176" t="s">
        <v>9</v>
      </c>
      <c r="B176">
        <v>17</v>
      </c>
      <c r="C176">
        <v>0</v>
      </c>
      <c r="D176">
        <v>0</v>
      </c>
      <c r="E176">
        <v>0</v>
      </c>
      <c r="F176" t="s">
        <v>24</v>
      </c>
      <c r="G176" t="s">
        <v>11</v>
      </c>
      <c r="H176" t="s">
        <v>12</v>
      </c>
      <c r="I176" t="s">
        <v>13</v>
      </c>
      <c r="J176">
        <v>0</v>
      </c>
    </row>
    <row r="177" spans="1:10" x14ac:dyDescent="0.3">
      <c r="A177" t="s">
        <v>9</v>
      </c>
      <c r="B177">
        <v>49</v>
      </c>
      <c r="C177">
        <v>0</v>
      </c>
      <c r="D177">
        <v>0</v>
      </c>
      <c r="E177">
        <v>0</v>
      </c>
      <c r="F177" t="s">
        <v>36</v>
      </c>
      <c r="G177" t="s">
        <v>16</v>
      </c>
      <c r="H177" t="s">
        <v>12</v>
      </c>
      <c r="I177" t="s">
        <v>13</v>
      </c>
      <c r="J177">
        <v>0</v>
      </c>
    </row>
    <row r="178" spans="1:10" x14ac:dyDescent="0.3">
      <c r="A178" t="s">
        <v>14</v>
      </c>
      <c r="B178">
        <v>14</v>
      </c>
      <c r="C178">
        <v>0</v>
      </c>
      <c r="D178">
        <v>0</v>
      </c>
      <c r="E178">
        <v>0</v>
      </c>
      <c r="F178" t="s">
        <v>49</v>
      </c>
      <c r="G178" t="s">
        <v>11</v>
      </c>
      <c r="H178" t="s">
        <v>18</v>
      </c>
      <c r="I178" t="s">
        <v>13</v>
      </c>
      <c r="J178">
        <v>0</v>
      </c>
    </row>
    <row r="179" spans="1:10" x14ac:dyDescent="0.3">
      <c r="A179" t="s">
        <v>9</v>
      </c>
      <c r="B179">
        <v>41</v>
      </c>
      <c r="C179">
        <v>0</v>
      </c>
      <c r="D179">
        <v>0</v>
      </c>
      <c r="E179">
        <v>0</v>
      </c>
      <c r="F179" t="s">
        <v>34</v>
      </c>
      <c r="G179" t="s">
        <v>16</v>
      </c>
      <c r="H179" t="s">
        <v>12</v>
      </c>
      <c r="I179" t="s">
        <v>13</v>
      </c>
      <c r="J179">
        <v>0</v>
      </c>
    </row>
    <row r="180" spans="1:10" x14ac:dyDescent="0.3">
      <c r="A180" t="s">
        <v>9</v>
      </c>
      <c r="B180">
        <v>27</v>
      </c>
      <c r="C180">
        <v>1</v>
      </c>
      <c r="D180">
        <v>1</v>
      </c>
      <c r="E180">
        <v>1</v>
      </c>
      <c r="F180" t="s">
        <v>52</v>
      </c>
      <c r="G180" t="s">
        <v>11</v>
      </c>
      <c r="H180" t="s">
        <v>18</v>
      </c>
      <c r="I180" t="s">
        <v>13</v>
      </c>
      <c r="J180">
        <v>1</v>
      </c>
    </row>
    <row r="181" spans="1:10" x14ac:dyDescent="0.3">
      <c r="A181" t="s">
        <v>14</v>
      </c>
      <c r="B181">
        <v>38</v>
      </c>
      <c r="C181">
        <v>1</v>
      </c>
      <c r="D181">
        <v>1</v>
      </c>
      <c r="E181">
        <v>0</v>
      </c>
      <c r="F181" t="s">
        <v>49</v>
      </c>
      <c r="G181" t="s">
        <v>16</v>
      </c>
      <c r="H181" t="s">
        <v>12</v>
      </c>
      <c r="I181" t="s">
        <v>13</v>
      </c>
      <c r="J181">
        <v>1</v>
      </c>
    </row>
    <row r="182" spans="1:10" x14ac:dyDescent="0.3">
      <c r="A182" t="s">
        <v>9</v>
      </c>
      <c r="B182">
        <v>14</v>
      </c>
      <c r="C182">
        <v>1</v>
      </c>
      <c r="D182">
        <v>1</v>
      </c>
      <c r="E182">
        <v>0</v>
      </c>
      <c r="F182" t="s">
        <v>51</v>
      </c>
      <c r="G182" t="s">
        <v>11</v>
      </c>
      <c r="H182" t="s">
        <v>18</v>
      </c>
      <c r="I182" t="s">
        <v>13</v>
      </c>
      <c r="J182">
        <v>1</v>
      </c>
    </row>
    <row r="183" spans="1:10" x14ac:dyDescent="0.3">
      <c r="A183" t="s">
        <v>14</v>
      </c>
      <c r="B183">
        <v>28</v>
      </c>
      <c r="C183">
        <v>0</v>
      </c>
      <c r="D183">
        <v>0</v>
      </c>
      <c r="E183">
        <v>1</v>
      </c>
      <c r="F183" t="s">
        <v>49</v>
      </c>
      <c r="G183" t="s">
        <v>16</v>
      </c>
      <c r="H183" t="s">
        <v>23</v>
      </c>
      <c r="I183" t="s">
        <v>13</v>
      </c>
      <c r="J183">
        <v>0</v>
      </c>
    </row>
    <row r="184" spans="1:10" x14ac:dyDescent="0.3">
      <c r="A184" t="s">
        <v>14</v>
      </c>
      <c r="B184">
        <v>35</v>
      </c>
      <c r="C184">
        <v>1</v>
      </c>
      <c r="D184">
        <v>1</v>
      </c>
      <c r="E184">
        <v>1</v>
      </c>
      <c r="F184" t="s">
        <v>52</v>
      </c>
      <c r="G184" t="s">
        <v>11</v>
      </c>
      <c r="H184" t="s">
        <v>12</v>
      </c>
      <c r="I184" t="s">
        <v>13</v>
      </c>
      <c r="J184">
        <v>1</v>
      </c>
    </row>
    <row r="185" spans="1:10" x14ac:dyDescent="0.3">
      <c r="A185" t="s">
        <v>14</v>
      </c>
      <c r="B185">
        <v>59</v>
      </c>
      <c r="C185">
        <v>0</v>
      </c>
      <c r="D185">
        <v>0</v>
      </c>
      <c r="E185">
        <v>1</v>
      </c>
      <c r="F185" t="s">
        <v>52</v>
      </c>
      <c r="G185" t="s">
        <v>16</v>
      </c>
      <c r="H185" t="s">
        <v>12</v>
      </c>
      <c r="I185" t="s">
        <v>13</v>
      </c>
      <c r="J185">
        <v>0</v>
      </c>
    </row>
    <row r="186" spans="1:10" x14ac:dyDescent="0.3">
      <c r="A186" t="s">
        <v>9</v>
      </c>
      <c r="B186">
        <v>58</v>
      </c>
      <c r="C186">
        <v>1</v>
      </c>
      <c r="D186">
        <v>1</v>
      </c>
      <c r="E186">
        <v>1</v>
      </c>
      <c r="F186" t="s">
        <v>42</v>
      </c>
      <c r="G186" t="s">
        <v>11</v>
      </c>
      <c r="H186" t="s">
        <v>12</v>
      </c>
      <c r="I186" t="s">
        <v>13</v>
      </c>
      <c r="J186">
        <v>1</v>
      </c>
    </row>
    <row r="187" spans="1:10" x14ac:dyDescent="0.3">
      <c r="A187" t="s">
        <v>14</v>
      </c>
      <c r="B187">
        <v>40</v>
      </c>
      <c r="C187">
        <v>0</v>
      </c>
      <c r="D187">
        <v>0</v>
      </c>
      <c r="E187">
        <v>1</v>
      </c>
      <c r="F187" t="s">
        <v>47</v>
      </c>
      <c r="G187" t="s">
        <v>16</v>
      </c>
      <c r="H187" t="s">
        <v>12</v>
      </c>
      <c r="I187" t="s">
        <v>13</v>
      </c>
      <c r="J187">
        <v>0</v>
      </c>
    </row>
    <row r="188" spans="1:10" x14ac:dyDescent="0.3">
      <c r="A188" t="s">
        <v>14</v>
      </c>
      <c r="B188">
        <v>25</v>
      </c>
      <c r="C188">
        <v>0</v>
      </c>
      <c r="D188">
        <v>0</v>
      </c>
      <c r="E188">
        <v>1</v>
      </c>
      <c r="F188" t="s">
        <v>17</v>
      </c>
      <c r="G188" t="s">
        <v>11</v>
      </c>
      <c r="H188" t="s">
        <v>23</v>
      </c>
      <c r="I188" t="s">
        <v>13</v>
      </c>
      <c r="J188">
        <v>0</v>
      </c>
    </row>
    <row r="189" spans="1:10" x14ac:dyDescent="0.3">
      <c r="A189" t="s">
        <v>14</v>
      </c>
      <c r="B189">
        <v>63</v>
      </c>
      <c r="C189">
        <v>0</v>
      </c>
      <c r="D189">
        <v>0</v>
      </c>
      <c r="E189">
        <v>1</v>
      </c>
      <c r="F189" t="s">
        <v>39</v>
      </c>
      <c r="G189" t="s">
        <v>16</v>
      </c>
      <c r="H189" t="s">
        <v>18</v>
      </c>
      <c r="I189" t="s">
        <v>13</v>
      </c>
      <c r="J189">
        <v>0</v>
      </c>
    </row>
    <row r="190" spans="1:10" x14ac:dyDescent="0.3">
      <c r="A190" t="s">
        <v>9</v>
      </c>
      <c r="B190">
        <v>48</v>
      </c>
      <c r="C190">
        <v>1</v>
      </c>
      <c r="D190">
        <v>1</v>
      </c>
      <c r="E190">
        <v>0</v>
      </c>
      <c r="F190" t="s">
        <v>41</v>
      </c>
      <c r="G190" t="s">
        <v>11</v>
      </c>
      <c r="H190" t="s">
        <v>12</v>
      </c>
      <c r="I190" t="s">
        <v>13</v>
      </c>
      <c r="J190">
        <v>1</v>
      </c>
    </row>
    <row r="191" spans="1:10" x14ac:dyDescent="0.3">
      <c r="A191" t="s">
        <v>14</v>
      </c>
      <c r="B191">
        <v>15</v>
      </c>
      <c r="C191">
        <v>1</v>
      </c>
      <c r="D191">
        <v>1</v>
      </c>
      <c r="E191">
        <v>1</v>
      </c>
      <c r="F191" t="s">
        <v>26</v>
      </c>
      <c r="G191" t="s">
        <v>16</v>
      </c>
      <c r="H191" t="s">
        <v>23</v>
      </c>
      <c r="I191" t="s">
        <v>13</v>
      </c>
      <c r="J191">
        <v>1</v>
      </c>
    </row>
    <row r="192" spans="1:10" x14ac:dyDescent="0.3">
      <c r="A192" t="s">
        <v>14</v>
      </c>
      <c r="B192">
        <v>60</v>
      </c>
      <c r="C192">
        <v>0</v>
      </c>
      <c r="D192">
        <v>0</v>
      </c>
      <c r="E192">
        <v>1</v>
      </c>
      <c r="F192" t="s">
        <v>48</v>
      </c>
      <c r="G192" t="s">
        <v>11</v>
      </c>
      <c r="H192" t="s">
        <v>18</v>
      </c>
      <c r="I192" t="s">
        <v>13</v>
      </c>
      <c r="J192">
        <v>0</v>
      </c>
    </row>
    <row r="193" spans="1:10" x14ac:dyDescent="0.3">
      <c r="A193" t="s">
        <v>9</v>
      </c>
      <c r="B193">
        <v>13</v>
      </c>
      <c r="C193">
        <v>0</v>
      </c>
      <c r="D193">
        <v>0</v>
      </c>
      <c r="E193">
        <v>1</v>
      </c>
      <c r="F193" t="s">
        <v>43</v>
      </c>
      <c r="G193" t="s">
        <v>16</v>
      </c>
      <c r="H193" t="s">
        <v>23</v>
      </c>
      <c r="I193" t="s">
        <v>13</v>
      </c>
      <c r="J193">
        <v>0</v>
      </c>
    </row>
    <row r="194" spans="1:10" x14ac:dyDescent="0.3">
      <c r="A194" t="s">
        <v>9</v>
      </c>
      <c r="B194">
        <v>58</v>
      </c>
      <c r="C194">
        <v>0</v>
      </c>
      <c r="D194">
        <v>0</v>
      </c>
      <c r="E194">
        <v>1</v>
      </c>
      <c r="F194" t="s">
        <v>33</v>
      </c>
      <c r="G194" t="s">
        <v>11</v>
      </c>
      <c r="H194" t="s">
        <v>23</v>
      </c>
      <c r="I194" t="s">
        <v>13</v>
      </c>
      <c r="J194">
        <v>0</v>
      </c>
    </row>
    <row r="195" spans="1:10" x14ac:dyDescent="0.3">
      <c r="A195" t="s">
        <v>14</v>
      </c>
      <c r="B195">
        <v>53</v>
      </c>
      <c r="C195">
        <v>1</v>
      </c>
      <c r="D195">
        <v>1</v>
      </c>
      <c r="E195">
        <v>1</v>
      </c>
      <c r="F195" t="s">
        <v>21</v>
      </c>
      <c r="G195" t="s">
        <v>16</v>
      </c>
      <c r="H195" t="s">
        <v>18</v>
      </c>
      <c r="I195" t="s">
        <v>13</v>
      </c>
      <c r="J195">
        <v>1</v>
      </c>
    </row>
    <row r="196" spans="1:10" x14ac:dyDescent="0.3">
      <c r="A196" t="s">
        <v>14</v>
      </c>
      <c r="B196">
        <v>61</v>
      </c>
      <c r="C196">
        <v>1</v>
      </c>
      <c r="D196">
        <v>1</v>
      </c>
      <c r="E196">
        <v>1</v>
      </c>
      <c r="F196" t="s">
        <v>48</v>
      </c>
      <c r="G196" t="s">
        <v>11</v>
      </c>
      <c r="H196" t="s">
        <v>23</v>
      </c>
      <c r="I196" t="s">
        <v>13</v>
      </c>
      <c r="J196">
        <v>1</v>
      </c>
    </row>
    <row r="197" spans="1:10" x14ac:dyDescent="0.3">
      <c r="A197" t="s">
        <v>9</v>
      </c>
      <c r="B197">
        <v>44</v>
      </c>
      <c r="C197">
        <v>0</v>
      </c>
      <c r="D197">
        <v>0</v>
      </c>
      <c r="E197">
        <v>1</v>
      </c>
      <c r="F197" t="s">
        <v>48</v>
      </c>
      <c r="G197" t="s">
        <v>16</v>
      </c>
      <c r="H197" t="s">
        <v>18</v>
      </c>
      <c r="I197" t="s">
        <v>13</v>
      </c>
      <c r="J197">
        <v>0</v>
      </c>
    </row>
    <row r="198" spans="1:10" x14ac:dyDescent="0.3">
      <c r="A198" t="s">
        <v>9</v>
      </c>
      <c r="B198">
        <v>40</v>
      </c>
      <c r="C198">
        <v>0</v>
      </c>
      <c r="D198">
        <v>0</v>
      </c>
      <c r="E198">
        <v>0</v>
      </c>
      <c r="F198" t="s">
        <v>47</v>
      </c>
      <c r="G198" t="s">
        <v>11</v>
      </c>
      <c r="H198" t="s">
        <v>23</v>
      </c>
      <c r="I198" t="s">
        <v>13</v>
      </c>
      <c r="J198">
        <v>0</v>
      </c>
    </row>
    <row r="199" spans="1:10" x14ac:dyDescent="0.3">
      <c r="A199" t="s">
        <v>14</v>
      </c>
      <c r="B199">
        <v>49</v>
      </c>
      <c r="C199">
        <v>0</v>
      </c>
      <c r="D199">
        <v>0</v>
      </c>
      <c r="E199">
        <v>0</v>
      </c>
      <c r="F199" t="s">
        <v>21</v>
      </c>
      <c r="G199" t="s">
        <v>16</v>
      </c>
      <c r="H199" t="s">
        <v>23</v>
      </c>
      <c r="I199" t="s">
        <v>13</v>
      </c>
      <c r="J199">
        <v>0</v>
      </c>
    </row>
    <row r="200" spans="1:10" x14ac:dyDescent="0.3">
      <c r="A200" t="s">
        <v>14</v>
      </c>
      <c r="B200">
        <v>56</v>
      </c>
      <c r="C200">
        <v>1</v>
      </c>
      <c r="D200">
        <v>1</v>
      </c>
      <c r="E200">
        <v>0</v>
      </c>
      <c r="F200" t="s">
        <v>27</v>
      </c>
      <c r="G200" t="s">
        <v>11</v>
      </c>
      <c r="H200" t="s">
        <v>12</v>
      </c>
      <c r="I200" t="s">
        <v>13</v>
      </c>
      <c r="J200">
        <v>1</v>
      </c>
    </row>
    <row r="201" spans="1:10" x14ac:dyDescent="0.3">
      <c r="A201" t="s">
        <v>9</v>
      </c>
      <c r="B201">
        <v>28</v>
      </c>
      <c r="C201">
        <v>0</v>
      </c>
      <c r="D201">
        <v>0</v>
      </c>
      <c r="E201">
        <v>1</v>
      </c>
      <c r="F201" t="s">
        <v>49</v>
      </c>
      <c r="G201" t="s">
        <v>16</v>
      </c>
      <c r="H201" t="s">
        <v>12</v>
      </c>
      <c r="I201" t="s">
        <v>13</v>
      </c>
      <c r="J201">
        <v>0</v>
      </c>
    </row>
    <row r="202" spans="1:10" x14ac:dyDescent="0.3">
      <c r="A202" t="s">
        <v>14</v>
      </c>
      <c r="B202">
        <v>40</v>
      </c>
      <c r="C202">
        <v>0</v>
      </c>
      <c r="D202">
        <v>0</v>
      </c>
      <c r="E202">
        <v>0</v>
      </c>
      <c r="F202" t="s">
        <v>50</v>
      </c>
      <c r="G202" t="s">
        <v>11</v>
      </c>
      <c r="H202" t="s">
        <v>23</v>
      </c>
      <c r="I202" t="s">
        <v>13</v>
      </c>
      <c r="J202">
        <v>0</v>
      </c>
    </row>
    <row r="203" spans="1:10" x14ac:dyDescent="0.3">
      <c r="A203" t="s">
        <v>14</v>
      </c>
      <c r="B203">
        <v>25</v>
      </c>
      <c r="C203">
        <v>1</v>
      </c>
      <c r="D203">
        <v>1</v>
      </c>
      <c r="E203">
        <v>0</v>
      </c>
      <c r="F203" t="s">
        <v>52</v>
      </c>
      <c r="G203" t="s">
        <v>16</v>
      </c>
      <c r="H203" t="s">
        <v>23</v>
      </c>
      <c r="I203" t="s">
        <v>13</v>
      </c>
      <c r="J203">
        <v>1</v>
      </c>
    </row>
    <row r="204" spans="1:10" x14ac:dyDescent="0.3">
      <c r="A204" t="s">
        <v>9</v>
      </c>
      <c r="B204">
        <v>52</v>
      </c>
      <c r="C204">
        <v>0</v>
      </c>
      <c r="D204">
        <v>0</v>
      </c>
      <c r="E204">
        <v>0</v>
      </c>
      <c r="F204" t="s">
        <v>17</v>
      </c>
      <c r="G204" t="s">
        <v>11</v>
      </c>
      <c r="H204" t="s">
        <v>12</v>
      </c>
      <c r="I204" t="s">
        <v>13</v>
      </c>
      <c r="J204">
        <v>0</v>
      </c>
    </row>
    <row r="205" spans="1:10" x14ac:dyDescent="0.3">
      <c r="A205" t="s">
        <v>9</v>
      </c>
      <c r="B205">
        <v>60</v>
      </c>
      <c r="C205">
        <v>0</v>
      </c>
      <c r="D205">
        <v>0</v>
      </c>
      <c r="E205">
        <v>0</v>
      </c>
      <c r="F205" t="s">
        <v>43</v>
      </c>
      <c r="G205" t="s">
        <v>16</v>
      </c>
      <c r="H205" t="s">
        <v>18</v>
      </c>
      <c r="I205" t="s">
        <v>13</v>
      </c>
      <c r="J205">
        <v>0</v>
      </c>
    </row>
    <row r="206" spans="1:10" x14ac:dyDescent="0.3">
      <c r="A206" t="s">
        <v>9</v>
      </c>
      <c r="B206">
        <v>59</v>
      </c>
      <c r="C206">
        <v>0</v>
      </c>
      <c r="D206">
        <v>0</v>
      </c>
      <c r="E206">
        <v>1</v>
      </c>
      <c r="F206" t="s">
        <v>30</v>
      </c>
      <c r="G206" t="s">
        <v>11</v>
      </c>
      <c r="H206" t="s">
        <v>12</v>
      </c>
      <c r="I206" t="s">
        <v>13</v>
      </c>
      <c r="J206">
        <v>0</v>
      </c>
    </row>
    <row r="207" spans="1:10" x14ac:dyDescent="0.3">
      <c r="A207" t="s">
        <v>9</v>
      </c>
      <c r="B207">
        <v>35</v>
      </c>
      <c r="C207">
        <v>1</v>
      </c>
      <c r="D207">
        <v>1</v>
      </c>
      <c r="E207">
        <v>0</v>
      </c>
      <c r="F207" t="s">
        <v>35</v>
      </c>
      <c r="G207" t="s">
        <v>16</v>
      </c>
      <c r="H207" t="s">
        <v>12</v>
      </c>
      <c r="I207" t="s">
        <v>13</v>
      </c>
      <c r="J207">
        <v>1</v>
      </c>
    </row>
    <row r="208" spans="1:10" x14ac:dyDescent="0.3">
      <c r="A208" t="s">
        <v>9</v>
      </c>
      <c r="B208">
        <v>48</v>
      </c>
      <c r="C208">
        <v>1</v>
      </c>
      <c r="D208">
        <v>1</v>
      </c>
      <c r="E208">
        <v>1</v>
      </c>
      <c r="F208" t="s">
        <v>47</v>
      </c>
      <c r="G208" t="s">
        <v>11</v>
      </c>
      <c r="H208" t="s">
        <v>18</v>
      </c>
      <c r="I208" t="s">
        <v>13</v>
      </c>
      <c r="J208">
        <v>1</v>
      </c>
    </row>
    <row r="209" spans="1:10" x14ac:dyDescent="0.3">
      <c r="A209" t="s">
        <v>14</v>
      </c>
      <c r="B209">
        <v>31</v>
      </c>
      <c r="C209">
        <v>1</v>
      </c>
      <c r="D209">
        <v>1</v>
      </c>
      <c r="E209">
        <v>1</v>
      </c>
      <c r="F209" t="s">
        <v>17</v>
      </c>
      <c r="G209" t="s">
        <v>16</v>
      </c>
      <c r="H209" t="s">
        <v>18</v>
      </c>
      <c r="I209" t="s">
        <v>13</v>
      </c>
      <c r="J209">
        <v>1</v>
      </c>
    </row>
    <row r="210" spans="1:10" x14ac:dyDescent="0.3">
      <c r="A210" t="s">
        <v>14</v>
      </c>
      <c r="B210">
        <v>33</v>
      </c>
      <c r="C210">
        <v>1</v>
      </c>
      <c r="D210">
        <v>1</v>
      </c>
      <c r="E210">
        <v>0</v>
      </c>
      <c r="F210" t="s">
        <v>40</v>
      </c>
      <c r="G210" t="s">
        <v>11</v>
      </c>
      <c r="H210" t="s">
        <v>23</v>
      </c>
      <c r="I210" t="s">
        <v>13</v>
      </c>
      <c r="J210">
        <v>1</v>
      </c>
    </row>
    <row r="211" spans="1:10" x14ac:dyDescent="0.3">
      <c r="A211" t="s">
        <v>9</v>
      </c>
      <c r="B211">
        <v>39</v>
      </c>
      <c r="C211">
        <v>1</v>
      </c>
      <c r="D211">
        <v>1</v>
      </c>
      <c r="E211">
        <v>1</v>
      </c>
      <c r="F211" t="s">
        <v>22</v>
      </c>
      <c r="G211" t="s">
        <v>16</v>
      </c>
      <c r="H211" t="s">
        <v>12</v>
      </c>
      <c r="I211" t="s">
        <v>13</v>
      </c>
      <c r="J211">
        <v>1</v>
      </c>
    </row>
    <row r="212" spans="1:10" x14ac:dyDescent="0.3">
      <c r="A212" t="s">
        <v>14</v>
      </c>
      <c r="B212">
        <v>34</v>
      </c>
      <c r="C212">
        <v>0</v>
      </c>
      <c r="D212">
        <v>0</v>
      </c>
      <c r="E212">
        <v>0</v>
      </c>
      <c r="F212" t="s">
        <v>37</v>
      </c>
      <c r="G212" t="s">
        <v>11</v>
      </c>
      <c r="H212" t="s">
        <v>18</v>
      </c>
      <c r="I212" t="s">
        <v>13</v>
      </c>
      <c r="J212">
        <v>0</v>
      </c>
    </row>
    <row r="213" spans="1:10" x14ac:dyDescent="0.3">
      <c r="A213" t="s">
        <v>9</v>
      </c>
      <c r="B213">
        <v>33</v>
      </c>
      <c r="C213">
        <v>1</v>
      </c>
      <c r="D213">
        <v>1</v>
      </c>
      <c r="E213">
        <v>1</v>
      </c>
      <c r="F213" t="s">
        <v>49</v>
      </c>
      <c r="G213" t="s">
        <v>16</v>
      </c>
      <c r="H213" t="s">
        <v>18</v>
      </c>
      <c r="I213" t="s">
        <v>13</v>
      </c>
      <c r="J213">
        <v>1</v>
      </c>
    </row>
    <row r="214" spans="1:10" x14ac:dyDescent="0.3">
      <c r="A214" t="s">
        <v>9</v>
      </c>
      <c r="B214">
        <v>18</v>
      </c>
      <c r="C214">
        <v>0</v>
      </c>
      <c r="D214">
        <v>1</v>
      </c>
      <c r="E214">
        <v>1</v>
      </c>
      <c r="F214" t="s">
        <v>49</v>
      </c>
      <c r="G214" t="s">
        <v>11</v>
      </c>
      <c r="H214" t="s">
        <v>23</v>
      </c>
      <c r="I214" t="s">
        <v>13</v>
      </c>
      <c r="J214">
        <v>1</v>
      </c>
    </row>
    <row r="215" spans="1:10" x14ac:dyDescent="0.3">
      <c r="A215" t="s">
        <v>9</v>
      </c>
      <c r="B215">
        <v>43</v>
      </c>
      <c r="C215">
        <v>1</v>
      </c>
      <c r="D215">
        <v>1</v>
      </c>
      <c r="E215">
        <v>1</v>
      </c>
      <c r="F215" t="s">
        <v>32</v>
      </c>
      <c r="G215" t="s">
        <v>16</v>
      </c>
      <c r="H215" t="s">
        <v>18</v>
      </c>
      <c r="I215" t="s">
        <v>13</v>
      </c>
      <c r="J215">
        <v>1</v>
      </c>
    </row>
    <row r="216" spans="1:10" x14ac:dyDescent="0.3">
      <c r="A216" t="s">
        <v>14</v>
      </c>
      <c r="B216">
        <v>61</v>
      </c>
      <c r="C216">
        <v>0</v>
      </c>
      <c r="D216">
        <v>0</v>
      </c>
      <c r="E216">
        <v>1</v>
      </c>
      <c r="F216" t="s">
        <v>25</v>
      </c>
      <c r="G216" t="s">
        <v>11</v>
      </c>
      <c r="H216" t="s">
        <v>12</v>
      </c>
      <c r="I216" t="s">
        <v>13</v>
      </c>
      <c r="J216">
        <v>0</v>
      </c>
    </row>
    <row r="217" spans="1:10" x14ac:dyDescent="0.3">
      <c r="A217" t="s">
        <v>9</v>
      </c>
      <c r="B217">
        <v>46</v>
      </c>
      <c r="C217">
        <v>0</v>
      </c>
      <c r="D217">
        <v>0</v>
      </c>
      <c r="E217">
        <v>0</v>
      </c>
      <c r="F217" t="s">
        <v>20</v>
      </c>
      <c r="G217" t="s">
        <v>16</v>
      </c>
      <c r="H217" t="s">
        <v>18</v>
      </c>
      <c r="I217" t="s">
        <v>13</v>
      </c>
      <c r="J217">
        <v>0</v>
      </c>
    </row>
    <row r="218" spans="1:10" x14ac:dyDescent="0.3">
      <c r="A218" t="s">
        <v>14</v>
      </c>
      <c r="B218">
        <v>59</v>
      </c>
      <c r="C218">
        <v>1</v>
      </c>
      <c r="D218">
        <v>1</v>
      </c>
      <c r="E218">
        <v>1</v>
      </c>
      <c r="F218" t="s">
        <v>29</v>
      </c>
      <c r="G218" t="s">
        <v>11</v>
      </c>
      <c r="H218" t="s">
        <v>18</v>
      </c>
      <c r="I218" t="s">
        <v>13</v>
      </c>
      <c r="J218">
        <v>1</v>
      </c>
    </row>
    <row r="219" spans="1:10" x14ac:dyDescent="0.3">
      <c r="A219" t="s">
        <v>9</v>
      </c>
      <c r="B219">
        <v>55</v>
      </c>
      <c r="C219">
        <v>1</v>
      </c>
      <c r="D219">
        <v>1</v>
      </c>
      <c r="E219">
        <v>1</v>
      </c>
      <c r="F219" t="s">
        <v>28</v>
      </c>
      <c r="G219" t="s">
        <v>16</v>
      </c>
      <c r="H219" t="s">
        <v>12</v>
      </c>
      <c r="I219" t="s">
        <v>13</v>
      </c>
      <c r="J219">
        <v>1</v>
      </c>
    </row>
    <row r="220" spans="1:10" x14ac:dyDescent="0.3">
      <c r="A220" t="s">
        <v>14</v>
      </c>
      <c r="B220">
        <v>25</v>
      </c>
      <c r="C220">
        <v>0</v>
      </c>
      <c r="D220">
        <v>0</v>
      </c>
      <c r="E220">
        <v>1</v>
      </c>
      <c r="F220" t="s">
        <v>10</v>
      </c>
      <c r="G220" t="s">
        <v>11</v>
      </c>
      <c r="H220" t="s">
        <v>23</v>
      </c>
      <c r="I220" t="s">
        <v>13</v>
      </c>
      <c r="J220">
        <v>0</v>
      </c>
    </row>
    <row r="221" spans="1:10" x14ac:dyDescent="0.3">
      <c r="A221" t="s">
        <v>9</v>
      </c>
      <c r="B221">
        <v>53</v>
      </c>
      <c r="C221">
        <v>0</v>
      </c>
      <c r="D221">
        <v>0</v>
      </c>
      <c r="E221">
        <v>1</v>
      </c>
      <c r="F221" t="s">
        <v>32</v>
      </c>
      <c r="G221" t="s">
        <v>16</v>
      </c>
      <c r="H221" t="s">
        <v>23</v>
      </c>
      <c r="I221" t="s">
        <v>13</v>
      </c>
      <c r="J221">
        <v>0</v>
      </c>
    </row>
    <row r="222" spans="1:10" x14ac:dyDescent="0.3">
      <c r="A222" t="s">
        <v>9</v>
      </c>
      <c r="B222">
        <v>32</v>
      </c>
      <c r="C222">
        <v>1</v>
      </c>
      <c r="D222">
        <v>1</v>
      </c>
      <c r="E222">
        <v>0</v>
      </c>
      <c r="F222" t="s">
        <v>50</v>
      </c>
      <c r="G222" t="s">
        <v>11</v>
      </c>
      <c r="H222" t="s">
        <v>12</v>
      </c>
      <c r="I222" t="s">
        <v>13</v>
      </c>
      <c r="J222">
        <v>1</v>
      </c>
    </row>
    <row r="223" spans="1:10" x14ac:dyDescent="0.3">
      <c r="A223" t="s">
        <v>14</v>
      </c>
      <c r="B223">
        <v>40</v>
      </c>
      <c r="C223">
        <v>1</v>
      </c>
      <c r="D223">
        <v>1</v>
      </c>
      <c r="E223">
        <v>1</v>
      </c>
      <c r="F223" t="s">
        <v>43</v>
      </c>
      <c r="G223" t="s">
        <v>16</v>
      </c>
      <c r="H223" t="s">
        <v>18</v>
      </c>
      <c r="I223" t="s">
        <v>13</v>
      </c>
      <c r="J223">
        <v>1</v>
      </c>
    </row>
    <row r="224" spans="1:10" x14ac:dyDescent="0.3">
      <c r="A224" t="s">
        <v>14</v>
      </c>
      <c r="B224">
        <v>57</v>
      </c>
      <c r="C224">
        <v>1</v>
      </c>
      <c r="D224">
        <v>1</v>
      </c>
      <c r="E224">
        <v>1</v>
      </c>
      <c r="F224" t="s">
        <v>35</v>
      </c>
      <c r="G224" t="s">
        <v>11</v>
      </c>
      <c r="H224" t="s">
        <v>12</v>
      </c>
      <c r="I224" t="s">
        <v>13</v>
      </c>
      <c r="J224">
        <v>1</v>
      </c>
    </row>
    <row r="225" spans="1:10" x14ac:dyDescent="0.3">
      <c r="A225" t="s">
        <v>14</v>
      </c>
      <c r="B225">
        <v>43</v>
      </c>
      <c r="C225">
        <v>0</v>
      </c>
      <c r="D225">
        <v>0</v>
      </c>
      <c r="E225">
        <v>1</v>
      </c>
      <c r="F225" t="s">
        <v>29</v>
      </c>
      <c r="G225" t="s">
        <v>16</v>
      </c>
      <c r="H225" t="s">
        <v>18</v>
      </c>
      <c r="I225" t="s">
        <v>13</v>
      </c>
      <c r="J225">
        <v>0</v>
      </c>
    </row>
    <row r="226" spans="1:10" x14ac:dyDescent="0.3">
      <c r="A226" t="s">
        <v>14</v>
      </c>
      <c r="B226">
        <v>43</v>
      </c>
      <c r="C226">
        <v>0</v>
      </c>
      <c r="D226">
        <v>0</v>
      </c>
      <c r="E226">
        <v>1</v>
      </c>
      <c r="F226" t="s">
        <v>40</v>
      </c>
      <c r="G226" t="s">
        <v>11</v>
      </c>
      <c r="H226" t="s">
        <v>12</v>
      </c>
      <c r="I226" t="s">
        <v>13</v>
      </c>
      <c r="J226">
        <v>0</v>
      </c>
    </row>
    <row r="227" spans="1:10" x14ac:dyDescent="0.3">
      <c r="A227" t="s">
        <v>14</v>
      </c>
      <c r="B227">
        <v>57</v>
      </c>
      <c r="C227">
        <v>0</v>
      </c>
      <c r="D227">
        <v>0</v>
      </c>
      <c r="E227">
        <v>0</v>
      </c>
      <c r="F227" t="s">
        <v>44</v>
      </c>
      <c r="G227" t="s">
        <v>16</v>
      </c>
      <c r="H227" t="s">
        <v>12</v>
      </c>
      <c r="I227" t="s">
        <v>13</v>
      </c>
      <c r="J227">
        <v>0</v>
      </c>
    </row>
    <row r="228" spans="1:10" x14ac:dyDescent="0.3">
      <c r="A228" t="s">
        <v>9</v>
      </c>
      <c r="B228">
        <v>55</v>
      </c>
      <c r="C228">
        <v>1</v>
      </c>
      <c r="D228">
        <v>1</v>
      </c>
      <c r="E228">
        <v>1</v>
      </c>
      <c r="F228" t="s">
        <v>15</v>
      </c>
      <c r="G228" t="s">
        <v>11</v>
      </c>
      <c r="H228" t="s">
        <v>18</v>
      </c>
      <c r="I228" t="s">
        <v>13</v>
      </c>
      <c r="J228">
        <v>1</v>
      </c>
    </row>
    <row r="229" spans="1:10" x14ac:dyDescent="0.3">
      <c r="A229" t="s">
        <v>9</v>
      </c>
      <c r="B229">
        <v>16</v>
      </c>
      <c r="C229">
        <v>1</v>
      </c>
      <c r="D229">
        <v>1</v>
      </c>
      <c r="E229">
        <v>0</v>
      </c>
      <c r="F229" t="s">
        <v>52</v>
      </c>
      <c r="G229" t="s">
        <v>16</v>
      </c>
      <c r="H229" t="s">
        <v>12</v>
      </c>
      <c r="I229" t="s">
        <v>13</v>
      </c>
      <c r="J229">
        <v>1</v>
      </c>
    </row>
    <row r="230" spans="1:10" x14ac:dyDescent="0.3">
      <c r="A230" t="s">
        <v>14</v>
      </c>
      <c r="B230">
        <v>25</v>
      </c>
      <c r="C230">
        <v>0</v>
      </c>
      <c r="D230">
        <v>0</v>
      </c>
      <c r="E230">
        <v>1</v>
      </c>
      <c r="F230" t="s">
        <v>31</v>
      </c>
      <c r="G230" t="s">
        <v>11</v>
      </c>
      <c r="H230" t="s">
        <v>18</v>
      </c>
      <c r="I230" t="s">
        <v>13</v>
      </c>
      <c r="J230">
        <v>0</v>
      </c>
    </row>
    <row r="231" spans="1:10" x14ac:dyDescent="0.3">
      <c r="A231" t="s">
        <v>9</v>
      </c>
      <c r="B231">
        <v>28</v>
      </c>
      <c r="C231">
        <v>1</v>
      </c>
      <c r="D231">
        <v>1</v>
      </c>
      <c r="E231">
        <v>0</v>
      </c>
      <c r="F231" t="s">
        <v>52</v>
      </c>
      <c r="G231" t="s">
        <v>16</v>
      </c>
      <c r="H231" t="s">
        <v>18</v>
      </c>
      <c r="I231" t="s">
        <v>13</v>
      </c>
      <c r="J231">
        <v>1</v>
      </c>
    </row>
    <row r="232" spans="1:10" x14ac:dyDescent="0.3">
      <c r="A232" t="s">
        <v>9</v>
      </c>
      <c r="B232">
        <v>41</v>
      </c>
      <c r="C232">
        <v>0</v>
      </c>
      <c r="D232">
        <v>0</v>
      </c>
      <c r="E232">
        <v>0</v>
      </c>
      <c r="F232" t="s">
        <v>51</v>
      </c>
      <c r="G232" t="s">
        <v>11</v>
      </c>
      <c r="H232" t="s">
        <v>18</v>
      </c>
      <c r="I232" t="s">
        <v>13</v>
      </c>
      <c r="J232">
        <v>0</v>
      </c>
    </row>
    <row r="233" spans="1:10" x14ac:dyDescent="0.3">
      <c r="A233" t="s">
        <v>14</v>
      </c>
      <c r="B233">
        <v>52</v>
      </c>
      <c r="C233">
        <v>1</v>
      </c>
      <c r="D233">
        <v>1</v>
      </c>
      <c r="E233">
        <v>1</v>
      </c>
      <c r="F233" t="s">
        <v>38</v>
      </c>
      <c r="G233" t="s">
        <v>16</v>
      </c>
      <c r="H233" t="s">
        <v>18</v>
      </c>
      <c r="I233" t="s">
        <v>13</v>
      </c>
      <c r="J233">
        <v>1</v>
      </c>
    </row>
    <row r="234" spans="1:10" x14ac:dyDescent="0.3">
      <c r="A234" t="s">
        <v>14</v>
      </c>
      <c r="B234">
        <v>46</v>
      </c>
      <c r="C234">
        <v>1</v>
      </c>
      <c r="D234">
        <v>1</v>
      </c>
      <c r="E234">
        <v>0</v>
      </c>
      <c r="F234" t="s">
        <v>33</v>
      </c>
      <c r="G234" t="s">
        <v>11</v>
      </c>
      <c r="H234" t="s">
        <v>23</v>
      </c>
      <c r="I234" t="s">
        <v>13</v>
      </c>
      <c r="J234">
        <v>1</v>
      </c>
    </row>
    <row r="235" spans="1:10" x14ac:dyDescent="0.3">
      <c r="A235" t="s">
        <v>9</v>
      </c>
      <c r="B235">
        <v>55</v>
      </c>
      <c r="C235">
        <v>0</v>
      </c>
      <c r="D235">
        <v>0</v>
      </c>
      <c r="E235">
        <v>1</v>
      </c>
      <c r="F235" t="s">
        <v>36</v>
      </c>
      <c r="G235" t="s">
        <v>16</v>
      </c>
      <c r="H235" t="s">
        <v>12</v>
      </c>
      <c r="I235" t="s">
        <v>13</v>
      </c>
      <c r="J235">
        <v>0</v>
      </c>
    </row>
    <row r="236" spans="1:10" x14ac:dyDescent="0.3">
      <c r="A236" t="s">
        <v>9</v>
      </c>
      <c r="B236">
        <v>53</v>
      </c>
      <c r="C236">
        <v>1</v>
      </c>
      <c r="D236">
        <v>1</v>
      </c>
      <c r="E236">
        <v>1</v>
      </c>
      <c r="F236" t="s">
        <v>24</v>
      </c>
      <c r="G236" t="s">
        <v>11</v>
      </c>
      <c r="H236" t="s">
        <v>23</v>
      </c>
      <c r="I236" t="s">
        <v>13</v>
      </c>
      <c r="J236">
        <v>1</v>
      </c>
    </row>
    <row r="237" spans="1:10" x14ac:dyDescent="0.3">
      <c r="A237" t="s">
        <v>9</v>
      </c>
      <c r="B237">
        <v>42</v>
      </c>
      <c r="C237">
        <v>1</v>
      </c>
      <c r="D237">
        <v>1</v>
      </c>
      <c r="E237">
        <v>0</v>
      </c>
      <c r="F237" t="s">
        <v>48</v>
      </c>
      <c r="G237" t="s">
        <v>16</v>
      </c>
      <c r="H237" t="s">
        <v>18</v>
      </c>
      <c r="I237" t="s">
        <v>13</v>
      </c>
      <c r="J237">
        <v>1</v>
      </c>
    </row>
    <row r="238" spans="1:10" x14ac:dyDescent="0.3">
      <c r="A238" t="s">
        <v>9</v>
      </c>
      <c r="B238">
        <v>30</v>
      </c>
      <c r="C238">
        <v>0</v>
      </c>
      <c r="D238">
        <v>0</v>
      </c>
      <c r="E238">
        <v>0</v>
      </c>
      <c r="F238" t="s">
        <v>49</v>
      </c>
      <c r="G238" t="s">
        <v>11</v>
      </c>
      <c r="H238" t="s">
        <v>12</v>
      </c>
      <c r="I238" t="s">
        <v>13</v>
      </c>
      <c r="J238">
        <v>0</v>
      </c>
    </row>
    <row r="239" spans="1:10" x14ac:dyDescent="0.3">
      <c r="A239" t="s">
        <v>9</v>
      </c>
      <c r="B239">
        <v>18</v>
      </c>
      <c r="C239">
        <v>1</v>
      </c>
      <c r="D239">
        <v>1</v>
      </c>
      <c r="E239">
        <v>0</v>
      </c>
      <c r="F239" t="s">
        <v>49</v>
      </c>
      <c r="G239" t="s">
        <v>16</v>
      </c>
      <c r="H239" t="s">
        <v>23</v>
      </c>
      <c r="I239" t="s">
        <v>13</v>
      </c>
      <c r="J239">
        <v>1</v>
      </c>
    </row>
    <row r="240" spans="1:10" x14ac:dyDescent="0.3">
      <c r="A240" t="s">
        <v>9</v>
      </c>
      <c r="B240">
        <v>44</v>
      </c>
      <c r="C240">
        <v>0</v>
      </c>
      <c r="D240">
        <v>0</v>
      </c>
      <c r="E240">
        <v>1</v>
      </c>
      <c r="F240" t="s">
        <v>46</v>
      </c>
      <c r="G240" t="s">
        <v>11</v>
      </c>
      <c r="H240" t="s">
        <v>12</v>
      </c>
      <c r="I240" t="s">
        <v>13</v>
      </c>
      <c r="J240">
        <v>0</v>
      </c>
    </row>
    <row r="241" spans="1:10" x14ac:dyDescent="0.3">
      <c r="A241" t="s">
        <v>9</v>
      </c>
      <c r="B241">
        <v>21</v>
      </c>
      <c r="C241">
        <v>1</v>
      </c>
      <c r="D241">
        <v>1</v>
      </c>
      <c r="E241">
        <v>1</v>
      </c>
      <c r="F241" t="s">
        <v>50</v>
      </c>
      <c r="G241" t="s">
        <v>16</v>
      </c>
      <c r="H241" t="s">
        <v>23</v>
      </c>
      <c r="I241" t="s">
        <v>13</v>
      </c>
      <c r="J241">
        <v>1</v>
      </c>
    </row>
    <row r="242" spans="1:10" x14ac:dyDescent="0.3">
      <c r="A242" t="s">
        <v>14</v>
      </c>
      <c r="B242">
        <v>56</v>
      </c>
      <c r="C242">
        <v>0</v>
      </c>
      <c r="D242">
        <v>0</v>
      </c>
      <c r="E242">
        <v>0</v>
      </c>
      <c r="F242" t="s">
        <v>27</v>
      </c>
      <c r="G242" t="s">
        <v>11</v>
      </c>
      <c r="H242" t="s">
        <v>12</v>
      </c>
      <c r="I242" t="s">
        <v>13</v>
      </c>
      <c r="J242">
        <v>0</v>
      </c>
    </row>
    <row r="243" spans="1:10" x14ac:dyDescent="0.3">
      <c r="A243" t="s">
        <v>14</v>
      </c>
      <c r="B243">
        <v>50</v>
      </c>
      <c r="C243">
        <v>1</v>
      </c>
      <c r="D243">
        <v>1</v>
      </c>
      <c r="E243">
        <v>0</v>
      </c>
      <c r="F243" t="s">
        <v>47</v>
      </c>
      <c r="G243" t="s">
        <v>16</v>
      </c>
      <c r="H243" t="s">
        <v>12</v>
      </c>
      <c r="I243" t="s">
        <v>13</v>
      </c>
      <c r="J243">
        <v>1</v>
      </c>
    </row>
    <row r="244" spans="1:10" x14ac:dyDescent="0.3">
      <c r="A244" t="s">
        <v>9</v>
      </c>
      <c r="B244">
        <v>12</v>
      </c>
      <c r="C244">
        <v>1</v>
      </c>
      <c r="D244">
        <v>1</v>
      </c>
      <c r="E244">
        <v>0</v>
      </c>
      <c r="F244" t="s">
        <v>37</v>
      </c>
      <c r="G244" t="s">
        <v>11</v>
      </c>
      <c r="H244" t="s">
        <v>23</v>
      </c>
      <c r="I244" t="s">
        <v>13</v>
      </c>
      <c r="J244">
        <v>1</v>
      </c>
    </row>
    <row r="245" spans="1:10" x14ac:dyDescent="0.3">
      <c r="A245" t="s">
        <v>14</v>
      </c>
      <c r="B245">
        <v>43</v>
      </c>
      <c r="C245">
        <v>0</v>
      </c>
      <c r="D245">
        <v>0</v>
      </c>
      <c r="E245">
        <v>0</v>
      </c>
      <c r="F245" t="s">
        <v>21</v>
      </c>
      <c r="G245" t="s">
        <v>16</v>
      </c>
      <c r="H245" t="s">
        <v>18</v>
      </c>
      <c r="I245" t="s">
        <v>13</v>
      </c>
      <c r="J245">
        <v>0</v>
      </c>
    </row>
    <row r="246" spans="1:10" x14ac:dyDescent="0.3">
      <c r="A246" t="s">
        <v>9</v>
      </c>
      <c r="B246">
        <v>42</v>
      </c>
      <c r="C246">
        <v>1</v>
      </c>
      <c r="D246">
        <v>1</v>
      </c>
      <c r="E246">
        <v>0</v>
      </c>
      <c r="F246" t="s">
        <v>27</v>
      </c>
      <c r="G246" t="s">
        <v>11</v>
      </c>
      <c r="H246" t="s">
        <v>12</v>
      </c>
      <c r="I246" t="s">
        <v>13</v>
      </c>
      <c r="J246">
        <v>1</v>
      </c>
    </row>
    <row r="247" spans="1:10" x14ac:dyDescent="0.3">
      <c r="A247" t="s">
        <v>9</v>
      </c>
      <c r="B247">
        <v>38</v>
      </c>
      <c r="C247">
        <v>0</v>
      </c>
      <c r="D247">
        <v>1</v>
      </c>
      <c r="E247">
        <v>0</v>
      </c>
      <c r="F247" t="s">
        <v>32</v>
      </c>
      <c r="G247" t="s">
        <v>16</v>
      </c>
      <c r="H247" t="s">
        <v>18</v>
      </c>
      <c r="I247" t="s">
        <v>13</v>
      </c>
      <c r="J247">
        <v>1</v>
      </c>
    </row>
    <row r="248" spans="1:10" x14ac:dyDescent="0.3">
      <c r="A248" t="s">
        <v>14</v>
      </c>
      <c r="B248">
        <v>62</v>
      </c>
      <c r="C248">
        <v>1</v>
      </c>
      <c r="D248">
        <v>1</v>
      </c>
      <c r="E248">
        <v>0</v>
      </c>
      <c r="F248" t="s">
        <v>43</v>
      </c>
      <c r="G248" t="s">
        <v>11</v>
      </c>
      <c r="H248" t="s">
        <v>23</v>
      </c>
      <c r="I248" t="s">
        <v>13</v>
      </c>
      <c r="J248">
        <v>1</v>
      </c>
    </row>
    <row r="249" spans="1:10" x14ac:dyDescent="0.3">
      <c r="A249" t="s">
        <v>9</v>
      </c>
      <c r="B249">
        <v>32</v>
      </c>
      <c r="C249">
        <v>0</v>
      </c>
      <c r="D249">
        <v>0</v>
      </c>
      <c r="E249">
        <v>0</v>
      </c>
      <c r="F249" t="s">
        <v>48</v>
      </c>
      <c r="G249" t="s">
        <v>16</v>
      </c>
      <c r="H249" t="s">
        <v>23</v>
      </c>
      <c r="I249" t="s">
        <v>13</v>
      </c>
      <c r="J249">
        <v>0</v>
      </c>
    </row>
    <row r="250" spans="1:10" x14ac:dyDescent="0.3">
      <c r="A250" t="s">
        <v>14</v>
      </c>
      <c r="B250">
        <v>19</v>
      </c>
      <c r="C250">
        <v>1</v>
      </c>
      <c r="D250">
        <v>1</v>
      </c>
      <c r="E250">
        <v>0</v>
      </c>
      <c r="F250" t="s">
        <v>49</v>
      </c>
      <c r="G250" t="s">
        <v>11</v>
      </c>
      <c r="H250" t="s">
        <v>12</v>
      </c>
      <c r="I250" t="s">
        <v>13</v>
      </c>
      <c r="J250">
        <v>1</v>
      </c>
    </row>
    <row r="251" spans="1:10" x14ac:dyDescent="0.3">
      <c r="A251" t="s">
        <v>9</v>
      </c>
      <c r="B251">
        <v>19</v>
      </c>
      <c r="C251">
        <v>1</v>
      </c>
      <c r="D251">
        <v>1</v>
      </c>
      <c r="E251">
        <v>1</v>
      </c>
      <c r="F251" t="s">
        <v>25</v>
      </c>
      <c r="G251" t="s">
        <v>16</v>
      </c>
      <c r="H251" t="s">
        <v>18</v>
      </c>
      <c r="I251" t="s">
        <v>13</v>
      </c>
      <c r="J251">
        <v>1</v>
      </c>
    </row>
    <row r="252" spans="1:10" x14ac:dyDescent="0.3">
      <c r="A252" t="s">
        <v>14</v>
      </c>
      <c r="B252">
        <v>40</v>
      </c>
      <c r="C252">
        <v>1</v>
      </c>
      <c r="D252">
        <v>1</v>
      </c>
      <c r="E252">
        <v>1</v>
      </c>
      <c r="F252" t="s">
        <v>39</v>
      </c>
      <c r="G252" t="s">
        <v>11</v>
      </c>
      <c r="H252" t="s">
        <v>18</v>
      </c>
      <c r="I252" t="s">
        <v>13</v>
      </c>
      <c r="J252">
        <v>1</v>
      </c>
    </row>
    <row r="253" spans="1:10" x14ac:dyDescent="0.3">
      <c r="A253" t="s">
        <v>9</v>
      </c>
      <c r="B253">
        <v>10</v>
      </c>
      <c r="C253">
        <v>0</v>
      </c>
      <c r="D253">
        <v>0</v>
      </c>
      <c r="E253">
        <v>1</v>
      </c>
      <c r="F253" t="s">
        <v>27</v>
      </c>
      <c r="G253" t="s">
        <v>16</v>
      </c>
      <c r="H253" t="s">
        <v>23</v>
      </c>
      <c r="I253" t="s">
        <v>13</v>
      </c>
      <c r="J253">
        <v>0</v>
      </c>
    </row>
    <row r="254" spans="1:10" x14ac:dyDescent="0.3">
      <c r="A254" t="s">
        <v>9</v>
      </c>
      <c r="B254">
        <v>20</v>
      </c>
      <c r="C254">
        <v>0</v>
      </c>
      <c r="D254">
        <v>0</v>
      </c>
      <c r="E254">
        <v>0</v>
      </c>
      <c r="F254" t="s">
        <v>22</v>
      </c>
      <c r="G254" t="s">
        <v>11</v>
      </c>
      <c r="H254" t="s">
        <v>23</v>
      </c>
      <c r="I254" t="s">
        <v>13</v>
      </c>
      <c r="J254">
        <v>0</v>
      </c>
    </row>
    <row r="255" spans="1:10" x14ac:dyDescent="0.3">
      <c r="A255" t="s">
        <v>14</v>
      </c>
      <c r="B255">
        <v>26</v>
      </c>
      <c r="C255">
        <v>0</v>
      </c>
      <c r="D255">
        <v>0</v>
      </c>
      <c r="E255">
        <v>0</v>
      </c>
      <c r="F255" t="s">
        <v>24</v>
      </c>
      <c r="G255" t="s">
        <v>16</v>
      </c>
      <c r="H255" t="s">
        <v>18</v>
      </c>
      <c r="I255" t="s">
        <v>13</v>
      </c>
      <c r="J255">
        <v>0</v>
      </c>
    </row>
    <row r="256" spans="1:10" x14ac:dyDescent="0.3">
      <c r="A256" t="s">
        <v>14</v>
      </c>
      <c r="B256">
        <v>29</v>
      </c>
      <c r="C256">
        <v>0</v>
      </c>
      <c r="D256">
        <v>0</v>
      </c>
      <c r="E256">
        <v>0</v>
      </c>
      <c r="F256" t="s">
        <v>40</v>
      </c>
      <c r="G256" t="s">
        <v>11</v>
      </c>
      <c r="H256" t="s">
        <v>23</v>
      </c>
      <c r="I256" t="s">
        <v>13</v>
      </c>
      <c r="J256">
        <v>0</v>
      </c>
    </row>
    <row r="257" spans="1:10" x14ac:dyDescent="0.3">
      <c r="A257" t="s">
        <v>14</v>
      </c>
      <c r="B257">
        <v>39</v>
      </c>
      <c r="C257">
        <v>1</v>
      </c>
      <c r="D257">
        <v>1</v>
      </c>
      <c r="E257">
        <v>1</v>
      </c>
      <c r="F257" t="s">
        <v>28</v>
      </c>
      <c r="G257" t="s">
        <v>16</v>
      </c>
      <c r="H257" t="s">
        <v>18</v>
      </c>
      <c r="I257" t="s">
        <v>13</v>
      </c>
      <c r="J257">
        <v>1</v>
      </c>
    </row>
    <row r="258" spans="1:10" x14ac:dyDescent="0.3">
      <c r="A258" t="s">
        <v>9</v>
      </c>
      <c r="B258">
        <v>65</v>
      </c>
      <c r="C258">
        <v>1</v>
      </c>
      <c r="D258">
        <v>1</v>
      </c>
      <c r="E258">
        <v>1</v>
      </c>
      <c r="F258" t="s">
        <v>41</v>
      </c>
      <c r="G258" t="s">
        <v>11</v>
      </c>
      <c r="H258" t="s">
        <v>18</v>
      </c>
      <c r="I258" t="s">
        <v>13</v>
      </c>
      <c r="J258">
        <v>1</v>
      </c>
    </row>
    <row r="259" spans="1:10" x14ac:dyDescent="0.3">
      <c r="A259" t="s">
        <v>9</v>
      </c>
      <c r="B259">
        <v>38</v>
      </c>
      <c r="C259">
        <v>0</v>
      </c>
      <c r="D259">
        <v>0</v>
      </c>
      <c r="E259">
        <v>1</v>
      </c>
      <c r="F259" t="s">
        <v>48</v>
      </c>
      <c r="G259" t="s">
        <v>16</v>
      </c>
      <c r="H259" t="s">
        <v>18</v>
      </c>
      <c r="I259" t="s">
        <v>13</v>
      </c>
      <c r="J259">
        <v>0</v>
      </c>
    </row>
    <row r="260" spans="1:10" x14ac:dyDescent="0.3">
      <c r="A260" t="s">
        <v>14</v>
      </c>
      <c r="B260">
        <v>14</v>
      </c>
      <c r="C260">
        <v>0</v>
      </c>
      <c r="D260">
        <v>0</v>
      </c>
      <c r="E260">
        <v>0</v>
      </c>
      <c r="F260" t="s">
        <v>48</v>
      </c>
      <c r="G260" t="s">
        <v>11</v>
      </c>
      <c r="H260" t="s">
        <v>23</v>
      </c>
      <c r="I260" t="s">
        <v>13</v>
      </c>
      <c r="J260">
        <v>0</v>
      </c>
    </row>
    <row r="261" spans="1:10" x14ac:dyDescent="0.3">
      <c r="A261" t="s">
        <v>9</v>
      </c>
      <c r="B261">
        <v>62</v>
      </c>
      <c r="C261">
        <v>0</v>
      </c>
      <c r="D261">
        <v>0</v>
      </c>
      <c r="E261">
        <v>0</v>
      </c>
      <c r="F261" t="s">
        <v>25</v>
      </c>
      <c r="G261" t="s">
        <v>16</v>
      </c>
      <c r="H261" t="s">
        <v>23</v>
      </c>
      <c r="I261" t="s">
        <v>13</v>
      </c>
      <c r="J261">
        <v>0</v>
      </c>
    </row>
    <row r="262" spans="1:10" x14ac:dyDescent="0.3">
      <c r="A262" t="s">
        <v>9</v>
      </c>
      <c r="B262">
        <v>37</v>
      </c>
      <c r="C262">
        <v>0</v>
      </c>
      <c r="D262">
        <v>0</v>
      </c>
      <c r="E262">
        <v>1</v>
      </c>
      <c r="F262" t="s">
        <v>39</v>
      </c>
      <c r="G262" t="s">
        <v>11</v>
      </c>
      <c r="H262" t="s">
        <v>18</v>
      </c>
      <c r="I262" t="s">
        <v>13</v>
      </c>
      <c r="J262">
        <v>0</v>
      </c>
    </row>
    <row r="263" spans="1:10" x14ac:dyDescent="0.3">
      <c r="A263" t="s">
        <v>9</v>
      </c>
      <c r="B263">
        <v>25</v>
      </c>
      <c r="C263">
        <v>1</v>
      </c>
      <c r="D263">
        <v>1</v>
      </c>
      <c r="E263">
        <v>1</v>
      </c>
      <c r="F263" t="s">
        <v>44</v>
      </c>
      <c r="G263" t="s">
        <v>16</v>
      </c>
      <c r="H263" t="s">
        <v>23</v>
      </c>
      <c r="I263" t="s">
        <v>13</v>
      </c>
      <c r="J263">
        <v>1</v>
      </c>
    </row>
    <row r="264" spans="1:10" x14ac:dyDescent="0.3">
      <c r="A264" t="s">
        <v>9</v>
      </c>
      <c r="B264">
        <v>64</v>
      </c>
      <c r="C264">
        <v>1</v>
      </c>
      <c r="D264">
        <v>1</v>
      </c>
      <c r="E264">
        <v>0</v>
      </c>
      <c r="F264" t="s">
        <v>49</v>
      </c>
      <c r="G264" t="s">
        <v>11</v>
      </c>
      <c r="H264" t="s">
        <v>23</v>
      </c>
      <c r="I264" t="s">
        <v>13</v>
      </c>
      <c r="J264">
        <v>1</v>
      </c>
    </row>
    <row r="265" spans="1:10" x14ac:dyDescent="0.3">
      <c r="A265" t="s">
        <v>9</v>
      </c>
      <c r="B265">
        <v>51</v>
      </c>
      <c r="C265">
        <v>1</v>
      </c>
      <c r="D265">
        <v>1</v>
      </c>
      <c r="E265">
        <v>1</v>
      </c>
      <c r="F265" t="s">
        <v>32</v>
      </c>
      <c r="G265" t="s">
        <v>16</v>
      </c>
      <c r="H265" t="s">
        <v>18</v>
      </c>
      <c r="I265" t="s">
        <v>13</v>
      </c>
      <c r="J265">
        <v>1</v>
      </c>
    </row>
    <row r="266" spans="1:10" x14ac:dyDescent="0.3">
      <c r="A266" t="s">
        <v>9</v>
      </c>
      <c r="B266">
        <v>11</v>
      </c>
      <c r="C266">
        <v>0</v>
      </c>
      <c r="D266">
        <v>0</v>
      </c>
      <c r="E266">
        <v>1</v>
      </c>
      <c r="F266" t="s">
        <v>10</v>
      </c>
      <c r="G266" t="s">
        <v>11</v>
      </c>
      <c r="H266" t="s">
        <v>12</v>
      </c>
      <c r="I266" t="s">
        <v>13</v>
      </c>
      <c r="J266">
        <v>0</v>
      </c>
    </row>
    <row r="267" spans="1:10" x14ac:dyDescent="0.3">
      <c r="A267" t="s">
        <v>14</v>
      </c>
      <c r="B267">
        <v>20</v>
      </c>
      <c r="C267">
        <v>1</v>
      </c>
      <c r="D267">
        <v>1</v>
      </c>
      <c r="E267">
        <v>1</v>
      </c>
      <c r="F267" t="s">
        <v>40</v>
      </c>
      <c r="G267" t="s">
        <v>16</v>
      </c>
      <c r="H267" t="s">
        <v>12</v>
      </c>
      <c r="I267" t="s">
        <v>13</v>
      </c>
      <c r="J267">
        <v>1</v>
      </c>
    </row>
    <row r="268" spans="1:10" x14ac:dyDescent="0.3">
      <c r="A268" t="s">
        <v>14</v>
      </c>
      <c r="B268">
        <v>8</v>
      </c>
      <c r="C268">
        <v>0</v>
      </c>
      <c r="D268">
        <v>0</v>
      </c>
      <c r="E268">
        <v>0</v>
      </c>
      <c r="F268" t="s">
        <v>46</v>
      </c>
      <c r="G268" t="s">
        <v>11</v>
      </c>
      <c r="H268" t="s">
        <v>23</v>
      </c>
      <c r="I268" t="s">
        <v>13</v>
      </c>
      <c r="J268">
        <v>0</v>
      </c>
    </row>
    <row r="269" spans="1:10" x14ac:dyDescent="0.3">
      <c r="A269" t="s">
        <v>14</v>
      </c>
      <c r="B269">
        <v>27</v>
      </c>
      <c r="C269">
        <v>1</v>
      </c>
      <c r="D269">
        <v>1</v>
      </c>
      <c r="E269">
        <v>1</v>
      </c>
      <c r="F269" t="s">
        <v>43</v>
      </c>
      <c r="G269" t="s">
        <v>16</v>
      </c>
      <c r="H269" t="s">
        <v>23</v>
      </c>
      <c r="I269" t="s">
        <v>13</v>
      </c>
      <c r="J269">
        <v>1</v>
      </c>
    </row>
    <row r="270" spans="1:10" x14ac:dyDescent="0.3">
      <c r="A270" t="s">
        <v>9</v>
      </c>
      <c r="B270">
        <v>44</v>
      </c>
      <c r="C270">
        <v>1</v>
      </c>
      <c r="D270">
        <v>1</v>
      </c>
      <c r="E270">
        <v>1</v>
      </c>
      <c r="F270" t="s">
        <v>19</v>
      </c>
      <c r="G270" t="s">
        <v>11</v>
      </c>
      <c r="H270" t="s">
        <v>12</v>
      </c>
      <c r="I270" t="s">
        <v>13</v>
      </c>
      <c r="J270">
        <v>1</v>
      </c>
    </row>
    <row r="271" spans="1:10" x14ac:dyDescent="0.3">
      <c r="A271" t="s">
        <v>9</v>
      </c>
      <c r="B271">
        <v>28</v>
      </c>
      <c r="C271">
        <v>1</v>
      </c>
      <c r="D271">
        <v>1</v>
      </c>
      <c r="E271">
        <v>0</v>
      </c>
      <c r="F271" t="s">
        <v>21</v>
      </c>
      <c r="G271" t="s">
        <v>16</v>
      </c>
      <c r="H271" t="s">
        <v>23</v>
      </c>
      <c r="I271" t="s">
        <v>13</v>
      </c>
      <c r="J271">
        <v>1</v>
      </c>
    </row>
    <row r="272" spans="1:10" x14ac:dyDescent="0.3">
      <c r="A272" t="s">
        <v>14</v>
      </c>
      <c r="B272">
        <v>38</v>
      </c>
      <c r="C272">
        <v>0</v>
      </c>
      <c r="D272">
        <v>0</v>
      </c>
      <c r="E272">
        <v>0</v>
      </c>
      <c r="F272" t="s">
        <v>35</v>
      </c>
      <c r="G272" t="s">
        <v>11</v>
      </c>
      <c r="H272" t="s">
        <v>23</v>
      </c>
      <c r="I272" t="s">
        <v>13</v>
      </c>
      <c r="J272">
        <v>0</v>
      </c>
    </row>
    <row r="273" spans="1:10" x14ac:dyDescent="0.3">
      <c r="A273" t="s">
        <v>14</v>
      </c>
      <c r="B273">
        <v>27</v>
      </c>
      <c r="C273">
        <v>0</v>
      </c>
      <c r="D273">
        <v>0</v>
      </c>
      <c r="E273">
        <v>0</v>
      </c>
      <c r="F273" t="s">
        <v>49</v>
      </c>
      <c r="G273" t="s">
        <v>16</v>
      </c>
      <c r="H273" t="s">
        <v>23</v>
      </c>
      <c r="I273" t="s">
        <v>13</v>
      </c>
      <c r="J273">
        <v>0</v>
      </c>
    </row>
    <row r="274" spans="1:10" x14ac:dyDescent="0.3">
      <c r="A274" t="s">
        <v>14</v>
      </c>
      <c r="B274">
        <v>36</v>
      </c>
      <c r="C274">
        <v>1</v>
      </c>
      <c r="D274">
        <v>1</v>
      </c>
      <c r="E274">
        <v>0</v>
      </c>
      <c r="F274" t="s">
        <v>48</v>
      </c>
      <c r="G274" t="s">
        <v>11</v>
      </c>
      <c r="H274" t="s">
        <v>12</v>
      </c>
      <c r="I274" t="s">
        <v>13</v>
      </c>
      <c r="J274">
        <v>1</v>
      </c>
    </row>
    <row r="275" spans="1:10" x14ac:dyDescent="0.3">
      <c r="A275" t="s">
        <v>9</v>
      </c>
      <c r="B275">
        <v>65</v>
      </c>
      <c r="C275">
        <v>0</v>
      </c>
      <c r="D275">
        <v>0</v>
      </c>
      <c r="E275">
        <v>1</v>
      </c>
      <c r="F275" t="s">
        <v>17</v>
      </c>
      <c r="G275" t="s">
        <v>16</v>
      </c>
      <c r="H275" t="s">
        <v>12</v>
      </c>
      <c r="I275" t="s">
        <v>13</v>
      </c>
      <c r="J275">
        <v>0</v>
      </c>
    </row>
    <row r="276" spans="1:10" x14ac:dyDescent="0.3">
      <c r="A276" t="s">
        <v>9</v>
      </c>
      <c r="B276">
        <v>38</v>
      </c>
      <c r="C276">
        <v>1</v>
      </c>
      <c r="D276">
        <v>1</v>
      </c>
      <c r="E276">
        <v>0</v>
      </c>
      <c r="F276" t="s">
        <v>34</v>
      </c>
      <c r="G276" t="s">
        <v>11</v>
      </c>
      <c r="H276" t="s">
        <v>18</v>
      </c>
      <c r="I276" t="s">
        <v>13</v>
      </c>
      <c r="J276">
        <v>1</v>
      </c>
    </row>
    <row r="277" spans="1:10" x14ac:dyDescent="0.3">
      <c r="A277" t="s">
        <v>9</v>
      </c>
      <c r="B277">
        <v>42</v>
      </c>
      <c r="C277">
        <v>1</v>
      </c>
      <c r="D277">
        <v>1</v>
      </c>
      <c r="E277">
        <v>0</v>
      </c>
      <c r="F277" t="s">
        <v>24</v>
      </c>
      <c r="G277" t="s">
        <v>16</v>
      </c>
      <c r="H277" t="s">
        <v>12</v>
      </c>
      <c r="I277" t="s">
        <v>13</v>
      </c>
      <c r="J277">
        <v>1</v>
      </c>
    </row>
    <row r="278" spans="1:10" x14ac:dyDescent="0.3">
      <c r="A278" t="s">
        <v>14</v>
      </c>
      <c r="B278">
        <v>10</v>
      </c>
      <c r="C278">
        <v>1</v>
      </c>
      <c r="D278">
        <v>1</v>
      </c>
      <c r="E278">
        <v>1</v>
      </c>
      <c r="F278" t="s">
        <v>47</v>
      </c>
      <c r="G278" t="s">
        <v>11</v>
      </c>
      <c r="H278" t="s">
        <v>12</v>
      </c>
      <c r="I278" t="s">
        <v>13</v>
      </c>
      <c r="J278">
        <v>1</v>
      </c>
    </row>
    <row r="279" spans="1:10" x14ac:dyDescent="0.3">
      <c r="A279" t="s">
        <v>14</v>
      </c>
      <c r="B279">
        <v>44</v>
      </c>
      <c r="C279">
        <v>0</v>
      </c>
      <c r="D279">
        <v>0</v>
      </c>
      <c r="E279">
        <v>0</v>
      </c>
      <c r="F279" t="s">
        <v>41</v>
      </c>
      <c r="G279" t="s">
        <v>16</v>
      </c>
      <c r="H279" t="s">
        <v>23</v>
      </c>
      <c r="I279" t="s">
        <v>13</v>
      </c>
      <c r="J279">
        <v>0</v>
      </c>
    </row>
    <row r="280" spans="1:10" x14ac:dyDescent="0.3">
      <c r="A280" t="s">
        <v>14</v>
      </c>
      <c r="B280">
        <v>19</v>
      </c>
      <c r="C280">
        <v>1</v>
      </c>
      <c r="D280">
        <v>1</v>
      </c>
      <c r="E280">
        <v>1</v>
      </c>
      <c r="F280" t="s">
        <v>37</v>
      </c>
      <c r="G280" t="s">
        <v>11</v>
      </c>
      <c r="H280" t="s">
        <v>18</v>
      </c>
      <c r="I280" t="s">
        <v>13</v>
      </c>
      <c r="J280">
        <v>1</v>
      </c>
    </row>
    <row r="281" spans="1:10" x14ac:dyDescent="0.3">
      <c r="A281" t="s">
        <v>14</v>
      </c>
      <c r="B281">
        <v>18</v>
      </c>
      <c r="C281">
        <v>1</v>
      </c>
      <c r="D281">
        <v>1</v>
      </c>
      <c r="E281">
        <v>1</v>
      </c>
      <c r="F281" t="s">
        <v>35</v>
      </c>
      <c r="G281" t="s">
        <v>16</v>
      </c>
      <c r="H281" t="s">
        <v>18</v>
      </c>
      <c r="I281" t="s">
        <v>13</v>
      </c>
      <c r="J281">
        <v>1</v>
      </c>
    </row>
    <row r="282" spans="1:10" x14ac:dyDescent="0.3">
      <c r="A282" t="s">
        <v>14</v>
      </c>
      <c r="B282">
        <v>29</v>
      </c>
      <c r="C282">
        <v>0</v>
      </c>
      <c r="D282">
        <v>0</v>
      </c>
      <c r="E282">
        <v>1</v>
      </c>
      <c r="F282" t="s">
        <v>50</v>
      </c>
      <c r="G282" t="s">
        <v>11</v>
      </c>
      <c r="H282" t="s">
        <v>18</v>
      </c>
      <c r="I282" t="s">
        <v>13</v>
      </c>
      <c r="J282">
        <v>0</v>
      </c>
    </row>
    <row r="283" spans="1:10" x14ac:dyDescent="0.3">
      <c r="A283" t="s">
        <v>14</v>
      </c>
      <c r="B283">
        <v>58</v>
      </c>
      <c r="C283">
        <v>1</v>
      </c>
      <c r="D283">
        <v>1</v>
      </c>
      <c r="E283">
        <v>1</v>
      </c>
      <c r="F283" t="s">
        <v>48</v>
      </c>
      <c r="G283" t="s">
        <v>16</v>
      </c>
      <c r="H283" t="s">
        <v>18</v>
      </c>
      <c r="I283" t="s">
        <v>13</v>
      </c>
      <c r="J283">
        <v>1</v>
      </c>
    </row>
    <row r="284" spans="1:10" x14ac:dyDescent="0.3">
      <c r="A284" t="s">
        <v>9</v>
      </c>
      <c r="B284">
        <v>45</v>
      </c>
      <c r="C284">
        <v>1</v>
      </c>
      <c r="D284">
        <v>1</v>
      </c>
      <c r="E284">
        <v>1</v>
      </c>
      <c r="F284" t="s">
        <v>27</v>
      </c>
      <c r="G284" t="s">
        <v>11</v>
      </c>
      <c r="H284" t="s">
        <v>18</v>
      </c>
      <c r="I284" t="s">
        <v>13</v>
      </c>
      <c r="J284">
        <v>1</v>
      </c>
    </row>
    <row r="285" spans="1:10" x14ac:dyDescent="0.3">
      <c r="A285" t="s">
        <v>9</v>
      </c>
      <c r="B285">
        <v>40</v>
      </c>
      <c r="C285">
        <v>1</v>
      </c>
      <c r="D285">
        <v>1</v>
      </c>
      <c r="E285">
        <v>0</v>
      </c>
      <c r="F285" t="s">
        <v>50</v>
      </c>
      <c r="G285" t="s">
        <v>16</v>
      </c>
      <c r="H285" t="s">
        <v>18</v>
      </c>
      <c r="I285" t="s">
        <v>13</v>
      </c>
      <c r="J285">
        <v>1</v>
      </c>
    </row>
    <row r="286" spans="1:10" x14ac:dyDescent="0.3">
      <c r="A286" t="s">
        <v>9</v>
      </c>
      <c r="B286">
        <v>20</v>
      </c>
      <c r="C286">
        <v>0</v>
      </c>
      <c r="D286">
        <v>0</v>
      </c>
      <c r="E286">
        <v>0</v>
      </c>
      <c r="F286" t="s">
        <v>37</v>
      </c>
      <c r="G286" t="s">
        <v>11</v>
      </c>
      <c r="H286" t="s">
        <v>12</v>
      </c>
      <c r="I286" t="s">
        <v>13</v>
      </c>
      <c r="J286">
        <v>0</v>
      </c>
    </row>
    <row r="287" spans="1:10" x14ac:dyDescent="0.3">
      <c r="A287" t="s">
        <v>14</v>
      </c>
      <c r="B287">
        <v>41</v>
      </c>
      <c r="C287">
        <v>0</v>
      </c>
      <c r="D287">
        <v>0</v>
      </c>
      <c r="E287">
        <v>0</v>
      </c>
      <c r="F287" t="s">
        <v>33</v>
      </c>
      <c r="G287" t="s">
        <v>16</v>
      </c>
      <c r="H287" t="s">
        <v>12</v>
      </c>
      <c r="I287" t="s">
        <v>13</v>
      </c>
      <c r="J287">
        <v>0</v>
      </c>
    </row>
    <row r="288" spans="1:10" x14ac:dyDescent="0.3">
      <c r="A288" t="s">
        <v>14</v>
      </c>
      <c r="B288">
        <v>23</v>
      </c>
      <c r="C288">
        <v>1</v>
      </c>
      <c r="D288">
        <v>1</v>
      </c>
      <c r="E288">
        <v>0</v>
      </c>
      <c r="F288" t="s">
        <v>37</v>
      </c>
      <c r="G288" t="s">
        <v>11</v>
      </c>
      <c r="H288" t="s">
        <v>12</v>
      </c>
      <c r="I288" t="s">
        <v>13</v>
      </c>
      <c r="J288">
        <v>1</v>
      </c>
    </row>
    <row r="289" spans="1:10" x14ac:dyDescent="0.3">
      <c r="A289" t="s">
        <v>14</v>
      </c>
      <c r="B289">
        <v>29</v>
      </c>
      <c r="C289">
        <v>0</v>
      </c>
      <c r="D289">
        <v>0</v>
      </c>
      <c r="E289">
        <v>0</v>
      </c>
      <c r="F289" t="s">
        <v>51</v>
      </c>
      <c r="G289" t="s">
        <v>16</v>
      </c>
      <c r="H289" t="s">
        <v>12</v>
      </c>
      <c r="I289" t="s">
        <v>13</v>
      </c>
      <c r="J289">
        <v>0</v>
      </c>
    </row>
    <row r="290" spans="1:10" x14ac:dyDescent="0.3">
      <c r="A290" t="s">
        <v>14</v>
      </c>
      <c r="B290">
        <v>48</v>
      </c>
      <c r="C290">
        <v>1</v>
      </c>
      <c r="D290">
        <v>1</v>
      </c>
      <c r="E290">
        <v>1</v>
      </c>
      <c r="F290" t="s">
        <v>36</v>
      </c>
      <c r="G290" t="s">
        <v>11</v>
      </c>
      <c r="H290" t="s">
        <v>12</v>
      </c>
      <c r="I290" t="s">
        <v>13</v>
      </c>
      <c r="J290">
        <v>1</v>
      </c>
    </row>
    <row r="291" spans="1:10" x14ac:dyDescent="0.3">
      <c r="A291" t="s">
        <v>9</v>
      </c>
      <c r="B291">
        <v>17</v>
      </c>
      <c r="C291">
        <v>0</v>
      </c>
      <c r="D291">
        <v>0</v>
      </c>
      <c r="E291">
        <v>0</v>
      </c>
      <c r="F291" t="s">
        <v>49</v>
      </c>
      <c r="G291" t="s">
        <v>16</v>
      </c>
      <c r="H291" t="s">
        <v>12</v>
      </c>
      <c r="I291" t="s">
        <v>13</v>
      </c>
      <c r="J291">
        <v>0</v>
      </c>
    </row>
    <row r="292" spans="1:10" x14ac:dyDescent="0.3">
      <c r="A292" t="s">
        <v>9</v>
      </c>
      <c r="B292">
        <v>62</v>
      </c>
      <c r="C292">
        <v>0</v>
      </c>
      <c r="D292">
        <v>0</v>
      </c>
      <c r="E292">
        <v>0</v>
      </c>
      <c r="F292" t="s">
        <v>19</v>
      </c>
      <c r="G292" t="s">
        <v>11</v>
      </c>
      <c r="H292" t="s">
        <v>23</v>
      </c>
      <c r="I292" t="s">
        <v>13</v>
      </c>
      <c r="J292">
        <v>0</v>
      </c>
    </row>
    <row r="293" spans="1:10" x14ac:dyDescent="0.3">
      <c r="A293" t="s">
        <v>9</v>
      </c>
      <c r="B293">
        <v>34</v>
      </c>
      <c r="C293">
        <v>1</v>
      </c>
      <c r="D293">
        <v>1</v>
      </c>
      <c r="E293">
        <v>0</v>
      </c>
      <c r="F293" t="s">
        <v>19</v>
      </c>
      <c r="G293" t="s">
        <v>16</v>
      </c>
      <c r="H293" t="s">
        <v>23</v>
      </c>
      <c r="I293" t="s">
        <v>13</v>
      </c>
      <c r="J293">
        <v>1</v>
      </c>
    </row>
    <row r="294" spans="1:10" x14ac:dyDescent="0.3">
      <c r="A294" t="s">
        <v>9</v>
      </c>
      <c r="B294">
        <v>8</v>
      </c>
      <c r="C294">
        <v>1</v>
      </c>
      <c r="D294">
        <v>1</v>
      </c>
      <c r="E294">
        <v>0</v>
      </c>
      <c r="F294" t="s">
        <v>17</v>
      </c>
      <c r="G294" t="s">
        <v>11</v>
      </c>
      <c r="H294" t="s">
        <v>23</v>
      </c>
      <c r="I294" t="s">
        <v>13</v>
      </c>
      <c r="J294">
        <v>1</v>
      </c>
    </row>
    <row r="295" spans="1:10" x14ac:dyDescent="0.3">
      <c r="A295" t="s">
        <v>14</v>
      </c>
      <c r="B295">
        <v>22</v>
      </c>
      <c r="C295">
        <v>0</v>
      </c>
      <c r="D295">
        <v>0</v>
      </c>
      <c r="E295">
        <v>0</v>
      </c>
      <c r="F295" t="s">
        <v>20</v>
      </c>
      <c r="G295" t="s">
        <v>16</v>
      </c>
      <c r="H295" t="s">
        <v>12</v>
      </c>
      <c r="I295" t="s">
        <v>13</v>
      </c>
      <c r="J295">
        <v>0</v>
      </c>
    </row>
    <row r="296" spans="1:10" x14ac:dyDescent="0.3">
      <c r="A296" t="s">
        <v>14</v>
      </c>
      <c r="B296">
        <v>23</v>
      </c>
      <c r="C296">
        <v>0</v>
      </c>
      <c r="D296">
        <v>0</v>
      </c>
      <c r="E296">
        <v>1</v>
      </c>
      <c r="F296" t="s">
        <v>46</v>
      </c>
      <c r="G296" t="s">
        <v>11</v>
      </c>
      <c r="H296" t="s">
        <v>18</v>
      </c>
      <c r="I296" t="s">
        <v>13</v>
      </c>
      <c r="J296">
        <v>0</v>
      </c>
    </row>
    <row r="297" spans="1:10" x14ac:dyDescent="0.3">
      <c r="A297" t="s">
        <v>14</v>
      </c>
      <c r="B297">
        <v>47</v>
      </c>
      <c r="C297">
        <v>0</v>
      </c>
      <c r="D297">
        <v>0</v>
      </c>
      <c r="E297">
        <v>0</v>
      </c>
      <c r="F297" t="s">
        <v>29</v>
      </c>
      <c r="G297" t="s">
        <v>16</v>
      </c>
      <c r="H297" t="s">
        <v>23</v>
      </c>
      <c r="I297" t="s">
        <v>13</v>
      </c>
      <c r="J297">
        <v>0</v>
      </c>
    </row>
    <row r="298" spans="1:10" x14ac:dyDescent="0.3">
      <c r="A298" t="s">
        <v>14</v>
      </c>
      <c r="B298">
        <v>50</v>
      </c>
      <c r="C298">
        <v>0</v>
      </c>
      <c r="D298">
        <v>0</v>
      </c>
      <c r="E298">
        <v>1</v>
      </c>
      <c r="F298" t="s">
        <v>50</v>
      </c>
      <c r="G298" t="s">
        <v>11</v>
      </c>
      <c r="H298" t="s">
        <v>23</v>
      </c>
      <c r="I298" t="s">
        <v>13</v>
      </c>
      <c r="J298">
        <v>0</v>
      </c>
    </row>
    <row r="299" spans="1:10" x14ac:dyDescent="0.3">
      <c r="A299" t="s">
        <v>14</v>
      </c>
      <c r="B299">
        <v>15</v>
      </c>
      <c r="C299">
        <v>0</v>
      </c>
      <c r="D299">
        <v>0</v>
      </c>
      <c r="E299">
        <v>0</v>
      </c>
      <c r="F299" t="s">
        <v>43</v>
      </c>
      <c r="G299" t="s">
        <v>16</v>
      </c>
      <c r="H299" t="s">
        <v>12</v>
      </c>
      <c r="I299" t="s">
        <v>13</v>
      </c>
      <c r="J299">
        <v>0</v>
      </c>
    </row>
    <row r="300" spans="1:10" x14ac:dyDescent="0.3">
      <c r="A300" t="s">
        <v>14</v>
      </c>
      <c r="B300">
        <v>11</v>
      </c>
      <c r="C300">
        <v>1</v>
      </c>
      <c r="D300">
        <v>1</v>
      </c>
      <c r="E300">
        <v>0</v>
      </c>
      <c r="F300" t="s">
        <v>49</v>
      </c>
      <c r="G300" t="s">
        <v>11</v>
      </c>
      <c r="H300" t="s">
        <v>23</v>
      </c>
      <c r="I300" t="s">
        <v>13</v>
      </c>
      <c r="J300">
        <v>1</v>
      </c>
    </row>
    <row r="301" spans="1:10" x14ac:dyDescent="0.3">
      <c r="A301" t="s">
        <v>9</v>
      </c>
      <c r="B301">
        <v>46</v>
      </c>
      <c r="C301">
        <v>1</v>
      </c>
      <c r="D301">
        <v>1</v>
      </c>
      <c r="E301">
        <v>0</v>
      </c>
      <c r="F301" t="s">
        <v>31</v>
      </c>
      <c r="G301" t="s">
        <v>16</v>
      </c>
      <c r="H301" t="s">
        <v>12</v>
      </c>
      <c r="I301" t="s">
        <v>13</v>
      </c>
      <c r="J301">
        <v>1</v>
      </c>
    </row>
    <row r="302" spans="1:10" x14ac:dyDescent="0.3">
      <c r="A302" t="s">
        <v>9</v>
      </c>
      <c r="B302">
        <v>52</v>
      </c>
      <c r="C302">
        <v>1</v>
      </c>
      <c r="D302">
        <v>1</v>
      </c>
      <c r="E302">
        <v>0</v>
      </c>
      <c r="F302" t="s">
        <v>38</v>
      </c>
      <c r="G302" t="s">
        <v>11</v>
      </c>
      <c r="H302" t="s">
        <v>23</v>
      </c>
      <c r="I302" t="s">
        <v>13</v>
      </c>
      <c r="J302">
        <v>1</v>
      </c>
    </row>
    <row r="303" spans="1:10" x14ac:dyDescent="0.3">
      <c r="A303" t="s">
        <v>14</v>
      </c>
      <c r="B303">
        <v>44</v>
      </c>
      <c r="C303">
        <v>0</v>
      </c>
      <c r="D303">
        <v>0</v>
      </c>
      <c r="E303">
        <v>1</v>
      </c>
      <c r="F303" t="s">
        <v>41</v>
      </c>
      <c r="G303" t="s">
        <v>16</v>
      </c>
      <c r="H303" t="s">
        <v>23</v>
      </c>
      <c r="I303" t="s">
        <v>13</v>
      </c>
      <c r="J303">
        <v>0</v>
      </c>
    </row>
    <row r="304" spans="1:10" x14ac:dyDescent="0.3">
      <c r="A304" t="s">
        <v>14</v>
      </c>
      <c r="B304">
        <v>12</v>
      </c>
      <c r="C304">
        <v>0</v>
      </c>
      <c r="D304">
        <v>0</v>
      </c>
      <c r="E304">
        <v>1</v>
      </c>
      <c r="F304" t="s">
        <v>38</v>
      </c>
      <c r="G304" t="s">
        <v>11</v>
      </c>
      <c r="H304" t="s">
        <v>18</v>
      </c>
      <c r="I304" t="s">
        <v>13</v>
      </c>
      <c r="J304">
        <v>0</v>
      </c>
    </row>
    <row r="305" spans="1:10" x14ac:dyDescent="0.3">
      <c r="A305" t="s">
        <v>9</v>
      </c>
      <c r="B305">
        <v>30</v>
      </c>
      <c r="C305">
        <v>0</v>
      </c>
      <c r="D305">
        <v>0</v>
      </c>
      <c r="E305">
        <v>0</v>
      </c>
      <c r="F305" t="s">
        <v>21</v>
      </c>
      <c r="G305" t="s">
        <v>16</v>
      </c>
      <c r="H305" t="s">
        <v>12</v>
      </c>
      <c r="I305" t="s">
        <v>13</v>
      </c>
      <c r="J305">
        <v>0</v>
      </c>
    </row>
    <row r="306" spans="1:10" x14ac:dyDescent="0.3">
      <c r="A306" t="s">
        <v>14</v>
      </c>
      <c r="B306">
        <v>41</v>
      </c>
      <c r="C306">
        <v>0</v>
      </c>
      <c r="D306">
        <v>0</v>
      </c>
      <c r="E306">
        <v>0</v>
      </c>
      <c r="F306" t="s">
        <v>26</v>
      </c>
      <c r="G306" t="s">
        <v>11</v>
      </c>
      <c r="H306" t="s">
        <v>18</v>
      </c>
      <c r="I306" t="s">
        <v>13</v>
      </c>
      <c r="J306">
        <v>0</v>
      </c>
    </row>
    <row r="307" spans="1:10" x14ac:dyDescent="0.3">
      <c r="A307" t="s">
        <v>14</v>
      </c>
      <c r="B307">
        <v>62</v>
      </c>
      <c r="C307">
        <v>1</v>
      </c>
      <c r="D307">
        <v>1</v>
      </c>
      <c r="E307">
        <v>0</v>
      </c>
      <c r="F307" t="s">
        <v>21</v>
      </c>
      <c r="G307" t="s">
        <v>16</v>
      </c>
      <c r="H307" t="s">
        <v>23</v>
      </c>
      <c r="I307" t="s">
        <v>13</v>
      </c>
      <c r="J307">
        <v>1</v>
      </c>
    </row>
    <row r="308" spans="1:10" x14ac:dyDescent="0.3">
      <c r="A308" t="s">
        <v>14</v>
      </c>
      <c r="B308">
        <v>42</v>
      </c>
      <c r="C308">
        <v>1</v>
      </c>
      <c r="D308">
        <v>1</v>
      </c>
      <c r="E308">
        <v>0</v>
      </c>
      <c r="F308" t="s">
        <v>45</v>
      </c>
      <c r="G308" t="s">
        <v>11</v>
      </c>
      <c r="H308" t="s">
        <v>18</v>
      </c>
      <c r="I308" t="s">
        <v>13</v>
      </c>
      <c r="J308">
        <v>1</v>
      </c>
    </row>
    <row r="309" spans="1:10" x14ac:dyDescent="0.3">
      <c r="A309" t="s">
        <v>9</v>
      </c>
      <c r="B309">
        <v>38</v>
      </c>
      <c r="C309">
        <v>1</v>
      </c>
      <c r="D309">
        <v>1</v>
      </c>
      <c r="E309">
        <v>0</v>
      </c>
      <c r="F309" t="s">
        <v>21</v>
      </c>
      <c r="G309" t="s">
        <v>16</v>
      </c>
      <c r="H309" t="s">
        <v>12</v>
      </c>
      <c r="I309" t="s">
        <v>13</v>
      </c>
      <c r="J309">
        <v>1</v>
      </c>
    </row>
    <row r="310" spans="1:10" x14ac:dyDescent="0.3">
      <c r="A310" t="s">
        <v>14</v>
      </c>
      <c r="B310">
        <v>46</v>
      </c>
      <c r="C310">
        <v>0</v>
      </c>
      <c r="D310">
        <v>0</v>
      </c>
      <c r="E310">
        <v>0</v>
      </c>
      <c r="F310" t="s">
        <v>46</v>
      </c>
      <c r="G310" t="s">
        <v>11</v>
      </c>
      <c r="H310" t="s">
        <v>23</v>
      </c>
      <c r="I310" t="s">
        <v>13</v>
      </c>
      <c r="J310">
        <v>0</v>
      </c>
    </row>
    <row r="311" spans="1:10" x14ac:dyDescent="0.3">
      <c r="A311" t="s">
        <v>14</v>
      </c>
      <c r="B311">
        <v>44</v>
      </c>
      <c r="C311">
        <v>0</v>
      </c>
      <c r="D311">
        <v>0</v>
      </c>
      <c r="E311">
        <v>0</v>
      </c>
      <c r="F311" t="s">
        <v>43</v>
      </c>
      <c r="G311" t="s">
        <v>16</v>
      </c>
      <c r="H311" t="s">
        <v>18</v>
      </c>
      <c r="I311" t="s">
        <v>13</v>
      </c>
      <c r="J311">
        <v>0</v>
      </c>
    </row>
    <row r="312" spans="1:10" x14ac:dyDescent="0.3">
      <c r="A312" t="s">
        <v>9</v>
      </c>
      <c r="B312">
        <v>48</v>
      </c>
      <c r="C312">
        <v>1</v>
      </c>
      <c r="D312">
        <v>1</v>
      </c>
      <c r="E312">
        <v>0</v>
      </c>
      <c r="F312" t="s">
        <v>27</v>
      </c>
      <c r="G312" t="s">
        <v>11</v>
      </c>
      <c r="H312" t="s">
        <v>18</v>
      </c>
      <c r="I312" t="s">
        <v>13</v>
      </c>
      <c r="J312">
        <v>1</v>
      </c>
    </row>
    <row r="313" spans="1:10" x14ac:dyDescent="0.3">
      <c r="A313" t="s">
        <v>14</v>
      </c>
      <c r="B313">
        <v>42</v>
      </c>
      <c r="C313">
        <v>0</v>
      </c>
      <c r="D313">
        <v>0</v>
      </c>
      <c r="E313">
        <v>1</v>
      </c>
      <c r="F313" t="s">
        <v>32</v>
      </c>
      <c r="G313" t="s">
        <v>16</v>
      </c>
      <c r="H313" t="s">
        <v>12</v>
      </c>
      <c r="I313" t="s">
        <v>13</v>
      </c>
      <c r="J313">
        <v>0</v>
      </c>
    </row>
    <row r="314" spans="1:10" x14ac:dyDescent="0.3">
      <c r="A314" t="s">
        <v>14</v>
      </c>
      <c r="B314">
        <v>41</v>
      </c>
      <c r="C314">
        <v>1</v>
      </c>
      <c r="D314">
        <v>1</v>
      </c>
      <c r="E314">
        <v>0</v>
      </c>
      <c r="F314" t="s">
        <v>10</v>
      </c>
      <c r="G314" t="s">
        <v>11</v>
      </c>
      <c r="H314" t="s">
        <v>23</v>
      </c>
      <c r="I314" t="s">
        <v>13</v>
      </c>
      <c r="J314">
        <v>1</v>
      </c>
    </row>
    <row r="315" spans="1:10" x14ac:dyDescent="0.3">
      <c r="A315" t="s">
        <v>14</v>
      </c>
      <c r="B315">
        <v>15</v>
      </c>
      <c r="C315">
        <v>0</v>
      </c>
      <c r="D315">
        <v>0</v>
      </c>
      <c r="E315">
        <v>0</v>
      </c>
      <c r="F315" t="s">
        <v>44</v>
      </c>
      <c r="G315" t="s">
        <v>16</v>
      </c>
      <c r="H315" t="s">
        <v>23</v>
      </c>
      <c r="I315" t="s">
        <v>13</v>
      </c>
      <c r="J315">
        <v>0</v>
      </c>
    </row>
    <row r="316" spans="1:10" x14ac:dyDescent="0.3">
      <c r="A316" t="s">
        <v>14</v>
      </c>
      <c r="B316">
        <v>15</v>
      </c>
      <c r="C316">
        <v>1</v>
      </c>
      <c r="D316">
        <v>1</v>
      </c>
      <c r="E316">
        <v>1</v>
      </c>
      <c r="F316" t="s">
        <v>31</v>
      </c>
      <c r="G316" t="s">
        <v>11</v>
      </c>
      <c r="H316" t="s">
        <v>18</v>
      </c>
      <c r="I316" t="s">
        <v>13</v>
      </c>
      <c r="J316">
        <v>1</v>
      </c>
    </row>
    <row r="317" spans="1:10" x14ac:dyDescent="0.3">
      <c r="A317" t="s">
        <v>14</v>
      </c>
      <c r="B317">
        <v>64</v>
      </c>
      <c r="C317">
        <v>0</v>
      </c>
      <c r="D317">
        <v>0</v>
      </c>
      <c r="E317">
        <v>1</v>
      </c>
      <c r="F317" t="s">
        <v>31</v>
      </c>
      <c r="G317" t="s">
        <v>16</v>
      </c>
      <c r="H317" t="s">
        <v>12</v>
      </c>
      <c r="I317" t="s">
        <v>13</v>
      </c>
      <c r="J317">
        <v>0</v>
      </c>
    </row>
    <row r="318" spans="1:10" x14ac:dyDescent="0.3">
      <c r="A318" t="s">
        <v>14</v>
      </c>
      <c r="B318">
        <v>16</v>
      </c>
      <c r="C318">
        <v>1</v>
      </c>
      <c r="D318">
        <v>1</v>
      </c>
      <c r="E318">
        <v>0</v>
      </c>
      <c r="F318" t="s">
        <v>50</v>
      </c>
      <c r="G318" t="s">
        <v>11</v>
      </c>
      <c r="H318" t="s">
        <v>12</v>
      </c>
      <c r="I318" t="s">
        <v>13</v>
      </c>
      <c r="J318">
        <v>1</v>
      </c>
    </row>
    <row r="319" spans="1:10" x14ac:dyDescent="0.3">
      <c r="A319" t="s">
        <v>14</v>
      </c>
      <c r="B319">
        <v>19</v>
      </c>
      <c r="C319">
        <v>1</v>
      </c>
      <c r="D319">
        <v>1</v>
      </c>
      <c r="E319">
        <v>0</v>
      </c>
      <c r="F319" t="s">
        <v>34</v>
      </c>
      <c r="G319" t="s">
        <v>16</v>
      </c>
      <c r="H319" t="s">
        <v>12</v>
      </c>
      <c r="I319" t="s">
        <v>13</v>
      </c>
      <c r="J319">
        <v>1</v>
      </c>
    </row>
    <row r="320" spans="1:10" x14ac:dyDescent="0.3">
      <c r="A320" t="s">
        <v>14</v>
      </c>
      <c r="B320">
        <v>56</v>
      </c>
      <c r="C320">
        <v>0</v>
      </c>
      <c r="D320">
        <v>0</v>
      </c>
      <c r="E320">
        <v>0</v>
      </c>
      <c r="F320" t="s">
        <v>51</v>
      </c>
      <c r="G320" t="s">
        <v>11</v>
      </c>
      <c r="H320" t="s">
        <v>12</v>
      </c>
      <c r="I320" t="s">
        <v>13</v>
      </c>
      <c r="J320">
        <v>0</v>
      </c>
    </row>
    <row r="321" spans="1:10" x14ac:dyDescent="0.3">
      <c r="A321" t="s">
        <v>9</v>
      </c>
      <c r="B321">
        <v>65</v>
      </c>
      <c r="C321">
        <v>1</v>
      </c>
      <c r="D321">
        <v>1</v>
      </c>
      <c r="E321">
        <v>1</v>
      </c>
      <c r="F321" t="s">
        <v>43</v>
      </c>
      <c r="G321" t="s">
        <v>16</v>
      </c>
      <c r="H321" t="s">
        <v>23</v>
      </c>
      <c r="I321" t="s">
        <v>13</v>
      </c>
      <c r="J321">
        <v>1</v>
      </c>
    </row>
    <row r="322" spans="1:10" x14ac:dyDescent="0.3">
      <c r="A322" t="s">
        <v>14</v>
      </c>
      <c r="B322">
        <v>57</v>
      </c>
      <c r="C322">
        <v>1</v>
      </c>
      <c r="D322">
        <v>1</v>
      </c>
      <c r="E322">
        <v>1</v>
      </c>
      <c r="F322" t="s">
        <v>51</v>
      </c>
      <c r="G322" t="s">
        <v>11</v>
      </c>
      <c r="H322" t="s">
        <v>23</v>
      </c>
      <c r="I322" t="s">
        <v>13</v>
      </c>
      <c r="J322">
        <v>1</v>
      </c>
    </row>
    <row r="323" spans="1:10" x14ac:dyDescent="0.3">
      <c r="A323" t="s">
        <v>14</v>
      </c>
      <c r="B323">
        <v>24</v>
      </c>
      <c r="C323">
        <v>0</v>
      </c>
      <c r="D323">
        <v>0</v>
      </c>
      <c r="E323">
        <v>0</v>
      </c>
      <c r="F323" t="s">
        <v>20</v>
      </c>
      <c r="G323" t="s">
        <v>16</v>
      </c>
      <c r="H323" t="s">
        <v>23</v>
      </c>
      <c r="I323" t="s">
        <v>13</v>
      </c>
      <c r="J323">
        <v>0</v>
      </c>
    </row>
    <row r="324" spans="1:10" x14ac:dyDescent="0.3">
      <c r="A324" t="s">
        <v>14</v>
      </c>
      <c r="B324">
        <v>38</v>
      </c>
      <c r="C324">
        <v>0</v>
      </c>
      <c r="D324">
        <v>0</v>
      </c>
      <c r="E324">
        <v>1</v>
      </c>
      <c r="F324" t="s">
        <v>51</v>
      </c>
      <c r="G324" t="s">
        <v>11</v>
      </c>
      <c r="H324" t="s">
        <v>18</v>
      </c>
      <c r="I324" t="s">
        <v>13</v>
      </c>
      <c r="J324">
        <v>0</v>
      </c>
    </row>
    <row r="325" spans="1:10" x14ac:dyDescent="0.3">
      <c r="A325" t="s">
        <v>9</v>
      </c>
      <c r="B325">
        <v>39</v>
      </c>
      <c r="C325">
        <v>0</v>
      </c>
      <c r="D325">
        <v>0</v>
      </c>
      <c r="E325">
        <v>1</v>
      </c>
      <c r="F325" t="s">
        <v>29</v>
      </c>
      <c r="G325" t="s">
        <v>16</v>
      </c>
      <c r="H325" t="s">
        <v>23</v>
      </c>
      <c r="I325" t="s">
        <v>13</v>
      </c>
      <c r="J325">
        <v>0</v>
      </c>
    </row>
    <row r="326" spans="1:10" x14ac:dyDescent="0.3">
      <c r="A326" t="s">
        <v>9</v>
      </c>
      <c r="B326">
        <v>64</v>
      </c>
      <c r="C326">
        <v>0</v>
      </c>
      <c r="D326">
        <v>0</v>
      </c>
      <c r="E326">
        <v>0</v>
      </c>
      <c r="F326" t="s">
        <v>44</v>
      </c>
      <c r="G326" t="s">
        <v>11</v>
      </c>
      <c r="H326" t="s">
        <v>23</v>
      </c>
      <c r="I326" t="s">
        <v>13</v>
      </c>
      <c r="J326">
        <v>0</v>
      </c>
    </row>
    <row r="327" spans="1:10" x14ac:dyDescent="0.3">
      <c r="A327" t="s">
        <v>14</v>
      </c>
      <c r="B327">
        <v>39</v>
      </c>
      <c r="C327">
        <v>1</v>
      </c>
      <c r="D327">
        <v>1</v>
      </c>
      <c r="E327">
        <v>1</v>
      </c>
      <c r="F327" t="s">
        <v>19</v>
      </c>
      <c r="G327" t="s">
        <v>16</v>
      </c>
      <c r="H327" t="s">
        <v>12</v>
      </c>
      <c r="I327" t="s">
        <v>13</v>
      </c>
      <c r="J327">
        <v>1</v>
      </c>
    </row>
    <row r="328" spans="1:10" x14ac:dyDescent="0.3">
      <c r="A328" t="s">
        <v>14</v>
      </c>
      <c r="B328">
        <v>33</v>
      </c>
      <c r="C328">
        <v>1</v>
      </c>
      <c r="D328">
        <v>1</v>
      </c>
      <c r="E328">
        <v>0</v>
      </c>
      <c r="F328" t="s">
        <v>33</v>
      </c>
      <c r="G328" t="s">
        <v>11</v>
      </c>
      <c r="H328" t="s">
        <v>18</v>
      </c>
      <c r="I328" t="s">
        <v>13</v>
      </c>
      <c r="J328">
        <v>1</v>
      </c>
    </row>
    <row r="329" spans="1:10" x14ac:dyDescent="0.3">
      <c r="A329" t="s">
        <v>14</v>
      </c>
      <c r="B329">
        <v>49</v>
      </c>
      <c r="C329">
        <v>1</v>
      </c>
      <c r="D329">
        <v>1</v>
      </c>
      <c r="E329">
        <v>0</v>
      </c>
      <c r="F329" t="s">
        <v>19</v>
      </c>
      <c r="G329" t="s">
        <v>16</v>
      </c>
      <c r="H329" t="s">
        <v>12</v>
      </c>
      <c r="I329" t="s">
        <v>13</v>
      </c>
      <c r="J329">
        <v>1</v>
      </c>
    </row>
    <row r="330" spans="1:10" x14ac:dyDescent="0.3">
      <c r="A330" t="s">
        <v>9</v>
      </c>
      <c r="B330">
        <v>22</v>
      </c>
      <c r="C330">
        <v>1</v>
      </c>
      <c r="D330">
        <v>1</v>
      </c>
      <c r="E330">
        <v>1</v>
      </c>
      <c r="F330" t="s">
        <v>38</v>
      </c>
      <c r="G330" t="s">
        <v>11</v>
      </c>
      <c r="H330" t="s">
        <v>23</v>
      </c>
      <c r="I330" t="s">
        <v>13</v>
      </c>
      <c r="J330">
        <v>1</v>
      </c>
    </row>
    <row r="331" spans="1:10" x14ac:dyDescent="0.3">
      <c r="A331" t="s">
        <v>9</v>
      </c>
      <c r="B331">
        <v>29</v>
      </c>
      <c r="C331">
        <v>0</v>
      </c>
      <c r="D331">
        <v>0</v>
      </c>
      <c r="E331">
        <v>0</v>
      </c>
      <c r="F331" t="s">
        <v>34</v>
      </c>
      <c r="G331" t="s">
        <v>16</v>
      </c>
      <c r="H331" t="s">
        <v>12</v>
      </c>
      <c r="I331" t="s">
        <v>13</v>
      </c>
      <c r="J331">
        <v>0</v>
      </c>
    </row>
    <row r="332" spans="1:10" x14ac:dyDescent="0.3">
      <c r="A332" t="s">
        <v>9</v>
      </c>
      <c r="B332">
        <v>22</v>
      </c>
      <c r="C332">
        <v>1</v>
      </c>
      <c r="D332">
        <v>1</v>
      </c>
      <c r="E332">
        <v>0</v>
      </c>
      <c r="F332" t="s">
        <v>25</v>
      </c>
      <c r="G332" t="s">
        <v>11</v>
      </c>
      <c r="H332" t="s">
        <v>12</v>
      </c>
      <c r="I332" t="s">
        <v>13</v>
      </c>
      <c r="J332">
        <v>1</v>
      </c>
    </row>
    <row r="333" spans="1:10" x14ac:dyDescent="0.3">
      <c r="A333" t="s">
        <v>9</v>
      </c>
      <c r="B333">
        <v>13</v>
      </c>
      <c r="C333">
        <v>1</v>
      </c>
      <c r="D333">
        <v>1</v>
      </c>
      <c r="E333">
        <v>0</v>
      </c>
      <c r="F333" t="s">
        <v>46</v>
      </c>
      <c r="G333" t="s">
        <v>16</v>
      </c>
      <c r="H333" t="s">
        <v>18</v>
      </c>
      <c r="I333" t="s">
        <v>13</v>
      </c>
      <c r="J333">
        <v>1</v>
      </c>
    </row>
    <row r="334" spans="1:10" x14ac:dyDescent="0.3">
      <c r="A334" t="s">
        <v>9</v>
      </c>
      <c r="B334">
        <v>11</v>
      </c>
      <c r="C334">
        <v>1</v>
      </c>
      <c r="D334">
        <v>1</v>
      </c>
      <c r="E334">
        <v>0</v>
      </c>
      <c r="F334" t="s">
        <v>49</v>
      </c>
      <c r="G334" t="s">
        <v>11</v>
      </c>
      <c r="H334" t="s">
        <v>12</v>
      </c>
      <c r="I334" t="s">
        <v>13</v>
      </c>
      <c r="J334">
        <v>1</v>
      </c>
    </row>
    <row r="335" spans="1:10" x14ac:dyDescent="0.3">
      <c r="A335" t="s">
        <v>14</v>
      </c>
      <c r="B335">
        <v>41</v>
      </c>
      <c r="C335">
        <v>1</v>
      </c>
      <c r="D335">
        <v>1</v>
      </c>
      <c r="E335">
        <v>1</v>
      </c>
      <c r="F335" t="s">
        <v>48</v>
      </c>
      <c r="G335" t="s">
        <v>16</v>
      </c>
      <c r="H335" t="s">
        <v>12</v>
      </c>
      <c r="I335" t="s">
        <v>13</v>
      </c>
      <c r="J335">
        <v>1</v>
      </c>
    </row>
    <row r="336" spans="1:10" x14ac:dyDescent="0.3">
      <c r="A336" t="s">
        <v>14</v>
      </c>
      <c r="B336">
        <v>61</v>
      </c>
      <c r="C336">
        <v>1</v>
      </c>
      <c r="D336">
        <v>1</v>
      </c>
      <c r="E336">
        <v>1</v>
      </c>
      <c r="F336" t="s">
        <v>40</v>
      </c>
      <c r="G336" t="s">
        <v>11</v>
      </c>
      <c r="H336" t="s">
        <v>18</v>
      </c>
      <c r="I336" t="s">
        <v>13</v>
      </c>
      <c r="J336">
        <v>1</v>
      </c>
    </row>
    <row r="337" spans="1:10" x14ac:dyDescent="0.3">
      <c r="A337" t="s">
        <v>14</v>
      </c>
      <c r="B337">
        <v>60</v>
      </c>
      <c r="C337">
        <v>0</v>
      </c>
      <c r="D337">
        <v>0</v>
      </c>
      <c r="E337">
        <v>1</v>
      </c>
      <c r="F337" t="s">
        <v>10</v>
      </c>
      <c r="G337" t="s">
        <v>16</v>
      </c>
      <c r="H337" t="s">
        <v>23</v>
      </c>
      <c r="I337" t="s">
        <v>13</v>
      </c>
      <c r="J337">
        <v>0</v>
      </c>
    </row>
    <row r="338" spans="1:10" x14ac:dyDescent="0.3">
      <c r="A338" t="s">
        <v>9</v>
      </c>
      <c r="B338">
        <v>21</v>
      </c>
      <c r="C338">
        <v>1</v>
      </c>
      <c r="D338">
        <v>1</v>
      </c>
      <c r="E338">
        <v>0</v>
      </c>
      <c r="F338" t="s">
        <v>10</v>
      </c>
      <c r="G338" t="s">
        <v>11</v>
      </c>
      <c r="H338" t="s">
        <v>12</v>
      </c>
      <c r="I338" t="s">
        <v>13</v>
      </c>
      <c r="J338">
        <v>1</v>
      </c>
    </row>
    <row r="339" spans="1:10" x14ac:dyDescent="0.3">
      <c r="A339" t="s">
        <v>9</v>
      </c>
      <c r="B339">
        <v>25</v>
      </c>
      <c r="C339">
        <v>1</v>
      </c>
      <c r="D339">
        <v>1</v>
      </c>
      <c r="E339">
        <v>1</v>
      </c>
      <c r="F339" t="s">
        <v>34</v>
      </c>
      <c r="G339" t="s">
        <v>16</v>
      </c>
      <c r="H339" t="s">
        <v>23</v>
      </c>
      <c r="I339" t="s">
        <v>13</v>
      </c>
      <c r="J339">
        <v>1</v>
      </c>
    </row>
    <row r="340" spans="1:10" x14ac:dyDescent="0.3">
      <c r="A340" t="s">
        <v>9</v>
      </c>
      <c r="B340">
        <v>57</v>
      </c>
      <c r="C340">
        <v>1</v>
      </c>
      <c r="D340">
        <v>1</v>
      </c>
      <c r="E340">
        <v>0</v>
      </c>
      <c r="F340" t="s">
        <v>42</v>
      </c>
      <c r="G340" t="s">
        <v>11</v>
      </c>
      <c r="H340" t="s">
        <v>23</v>
      </c>
      <c r="I340" t="s">
        <v>13</v>
      </c>
      <c r="J340">
        <v>1</v>
      </c>
    </row>
    <row r="341" spans="1:10" x14ac:dyDescent="0.3">
      <c r="A341" t="s">
        <v>14</v>
      </c>
      <c r="B341">
        <v>22</v>
      </c>
      <c r="C341">
        <v>1</v>
      </c>
      <c r="D341">
        <v>1</v>
      </c>
      <c r="E341">
        <v>1</v>
      </c>
      <c r="F341" t="s">
        <v>21</v>
      </c>
      <c r="G341" t="s">
        <v>16</v>
      </c>
      <c r="H341" t="s">
        <v>12</v>
      </c>
      <c r="I341" t="s">
        <v>13</v>
      </c>
      <c r="J341">
        <v>1</v>
      </c>
    </row>
    <row r="342" spans="1:10" x14ac:dyDescent="0.3">
      <c r="A342" t="s">
        <v>14</v>
      </c>
      <c r="B342">
        <v>9</v>
      </c>
      <c r="C342">
        <v>1</v>
      </c>
      <c r="D342">
        <v>1</v>
      </c>
      <c r="E342">
        <v>0</v>
      </c>
      <c r="F342" t="s">
        <v>27</v>
      </c>
      <c r="G342" t="s">
        <v>11</v>
      </c>
      <c r="H342" t="s">
        <v>18</v>
      </c>
      <c r="I342" t="s">
        <v>13</v>
      </c>
      <c r="J342">
        <v>1</v>
      </c>
    </row>
    <row r="343" spans="1:10" x14ac:dyDescent="0.3">
      <c r="A343" t="s">
        <v>14</v>
      </c>
      <c r="B343">
        <v>56</v>
      </c>
      <c r="C343">
        <v>0</v>
      </c>
      <c r="D343">
        <v>0</v>
      </c>
      <c r="E343">
        <v>1</v>
      </c>
      <c r="F343" t="s">
        <v>49</v>
      </c>
      <c r="G343" t="s">
        <v>16</v>
      </c>
      <c r="H343" t="s">
        <v>18</v>
      </c>
      <c r="I343" t="s">
        <v>13</v>
      </c>
      <c r="J343">
        <v>0</v>
      </c>
    </row>
    <row r="344" spans="1:10" x14ac:dyDescent="0.3">
      <c r="A344" t="s">
        <v>9</v>
      </c>
      <c r="B344">
        <v>44</v>
      </c>
      <c r="C344">
        <v>1</v>
      </c>
      <c r="D344">
        <v>1</v>
      </c>
      <c r="E344">
        <v>0</v>
      </c>
      <c r="F344" t="s">
        <v>46</v>
      </c>
      <c r="G344" t="s">
        <v>11</v>
      </c>
      <c r="H344" t="s">
        <v>12</v>
      </c>
      <c r="I344" t="s">
        <v>13</v>
      </c>
      <c r="J344">
        <v>1</v>
      </c>
    </row>
    <row r="345" spans="1:10" x14ac:dyDescent="0.3">
      <c r="A345" t="s">
        <v>9</v>
      </c>
      <c r="B345">
        <v>59</v>
      </c>
      <c r="C345">
        <v>1</v>
      </c>
      <c r="D345">
        <v>1</v>
      </c>
      <c r="E345">
        <v>0</v>
      </c>
      <c r="F345" t="s">
        <v>31</v>
      </c>
      <c r="G345" t="s">
        <v>16</v>
      </c>
      <c r="H345" t="s">
        <v>12</v>
      </c>
      <c r="I345" t="s">
        <v>13</v>
      </c>
      <c r="J345">
        <v>1</v>
      </c>
    </row>
    <row r="346" spans="1:10" x14ac:dyDescent="0.3">
      <c r="A346" t="s">
        <v>9</v>
      </c>
      <c r="B346">
        <v>40</v>
      </c>
      <c r="C346">
        <v>0</v>
      </c>
      <c r="D346">
        <v>0</v>
      </c>
      <c r="E346">
        <v>0</v>
      </c>
      <c r="F346" t="s">
        <v>50</v>
      </c>
      <c r="G346" t="s">
        <v>11</v>
      </c>
      <c r="H346" t="s">
        <v>12</v>
      </c>
      <c r="I346" t="s">
        <v>13</v>
      </c>
      <c r="J346">
        <v>0</v>
      </c>
    </row>
    <row r="347" spans="1:10" x14ac:dyDescent="0.3">
      <c r="A347" t="s">
        <v>9</v>
      </c>
      <c r="B347">
        <v>64</v>
      </c>
      <c r="C347">
        <v>1</v>
      </c>
      <c r="D347">
        <v>1</v>
      </c>
      <c r="E347">
        <v>0</v>
      </c>
      <c r="F347" t="s">
        <v>32</v>
      </c>
      <c r="G347" t="s">
        <v>16</v>
      </c>
      <c r="H347" t="s">
        <v>23</v>
      </c>
      <c r="I347" t="s">
        <v>13</v>
      </c>
      <c r="J347">
        <v>1</v>
      </c>
    </row>
    <row r="348" spans="1:10" x14ac:dyDescent="0.3">
      <c r="A348" t="s">
        <v>14</v>
      </c>
      <c r="B348">
        <v>62</v>
      </c>
      <c r="C348">
        <v>1</v>
      </c>
      <c r="D348">
        <v>1</v>
      </c>
      <c r="E348">
        <v>0</v>
      </c>
      <c r="F348" t="s">
        <v>42</v>
      </c>
      <c r="G348" t="s">
        <v>11</v>
      </c>
      <c r="H348" t="s">
        <v>18</v>
      </c>
      <c r="I348" t="s">
        <v>13</v>
      </c>
      <c r="J348">
        <v>1</v>
      </c>
    </row>
    <row r="349" spans="1:10" x14ac:dyDescent="0.3">
      <c r="A349" t="s">
        <v>9</v>
      </c>
      <c r="B349">
        <v>40</v>
      </c>
      <c r="C349">
        <v>1</v>
      </c>
      <c r="D349">
        <v>1</v>
      </c>
      <c r="E349">
        <v>1</v>
      </c>
      <c r="F349" t="s">
        <v>20</v>
      </c>
      <c r="G349" t="s">
        <v>16</v>
      </c>
      <c r="H349" t="s">
        <v>12</v>
      </c>
      <c r="I349" t="s">
        <v>13</v>
      </c>
      <c r="J349">
        <v>1</v>
      </c>
    </row>
    <row r="350" spans="1:10" x14ac:dyDescent="0.3">
      <c r="A350" t="s">
        <v>9</v>
      </c>
      <c r="B350">
        <v>26</v>
      </c>
      <c r="C350">
        <v>1</v>
      </c>
      <c r="D350">
        <v>1</v>
      </c>
      <c r="E350">
        <v>1</v>
      </c>
      <c r="F350" t="s">
        <v>41</v>
      </c>
      <c r="G350" t="s">
        <v>11</v>
      </c>
      <c r="H350" t="s">
        <v>23</v>
      </c>
      <c r="I350" t="s">
        <v>13</v>
      </c>
      <c r="J350">
        <v>1</v>
      </c>
    </row>
    <row r="351" spans="1:10" x14ac:dyDescent="0.3">
      <c r="A351" t="s">
        <v>14</v>
      </c>
      <c r="B351">
        <v>47</v>
      </c>
      <c r="C351">
        <v>1</v>
      </c>
      <c r="D351">
        <v>1</v>
      </c>
      <c r="E351">
        <v>1</v>
      </c>
      <c r="F351" t="s">
        <v>36</v>
      </c>
      <c r="G351" t="s">
        <v>16</v>
      </c>
      <c r="H351" t="s">
        <v>12</v>
      </c>
      <c r="I351" t="s">
        <v>13</v>
      </c>
      <c r="J351">
        <v>1</v>
      </c>
    </row>
    <row r="352" spans="1:10" x14ac:dyDescent="0.3">
      <c r="A352" t="s">
        <v>14</v>
      </c>
      <c r="B352">
        <v>56</v>
      </c>
      <c r="C352">
        <v>0</v>
      </c>
      <c r="D352">
        <v>0</v>
      </c>
      <c r="E352">
        <v>0</v>
      </c>
      <c r="F352" t="s">
        <v>38</v>
      </c>
      <c r="G352" t="s">
        <v>11</v>
      </c>
      <c r="H352" t="s">
        <v>18</v>
      </c>
      <c r="I352" t="s">
        <v>13</v>
      </c>
      <c r="J352">
        <v>0</v>
      </c>
    </row>
    <row r="353" spans="1:10" x14ac:dyDescent="0.3">
      <c r="A353" t="s">
        <v>9</v>
      </c>
      <c r="B353">
        <v>19</v>
      </c>
      <c r="C353">
        <v>1</v>
      </c>
      <c r="D353">
        <v>1</v>
      </c>
      <c r="E353">
        <v>1</v>
      </c>
      <c r="F353" t="s">
        <v>48</v>
      </c>
      <c r="G353" t="s">
        <v>16</v>
      </c>
      <c r="H353" t="s">
        <v>18</v>
      </c>
      <c r="I353" t="s">
        <v>13</v>
      </c>
      <c r="J353">
        <v>1</v>
      </c>
    </row>
    <row r="354" spans="1:10" x14ac:dyDescent="0.3">
      <c r="A354" t="s">
        <v>14</v>
      </c>
      <c r="B354">
        <v>17</v>
      </c>
      <c r="C354">
        <v>0</v>
      </c>
      <c r="D354">
        <v>0</v>
      </c>
      <c r="E354">
        <v>1</v>
      </c>
      <c r="F354" t="s">
        <v>19</v>
      </c>
      <c r="G354" t="s">
        <v>11</v>
      </c>
      <c r="H354" t="s">
        <v>12</v>
      </c>
      <c r="I354" t="s">
        <v>13</v>
      </c>
      <c r="J354">
        <v>0</v>
      </c>
    </row>
    <row r="355" spans="1:10" x14ac:dyDescent="0.3">
      <c r="A355" t="s">
        <v>9</v>
      </c>
      <c r="B355">
        <v>57</v>
      </c>
      <c r="C355">
        <v>1</v>
      </c>
      <c r="D355">
        <v>1</v>
      </c>
      <c r="E355">
        <v>0</v>
      </c>
      <c r="F355" t="s">
        <v>35</v>
      </c>
      <c r="G355" t="s">
        <v>16</v>
      </c>
      <c r="H355" t="s">
        <v>12</v>
      </c>
      <c r="I355" t="s">
        <v>13</v>
      </c>
      <c r="J355">
        <v>1</v>
      </c>
    </row>
    <row r="356" spans="1:10" x14ac:dyDescent="0.3">
      <c r="A356" t="s">
        <v>14</v>
      </c>
      <c r="B356">
        <v>47</v>
      </c>
      <c r="C356">
        <v>1</v>
      </c>
      <c r="D356">
        <v>1</v>
      </c>
      <c r="E356">
        <v>1</v>
      </c>
      <c r="F356" t="s">
        <v>25</v>
      </c>
      <c r="G356" t="s">
        <v>11</v>
      </c>
      <c r="H356" t="s">
        <v>23</v>
      </c>
      <c r="I356" t="s">
        <v>13</v>
      </c>
      <c r="J356">
        <v>1</v>
      </c>
    </row>
    <row r="357" spans="1:10" x14ac:dyDescent="0.3">
      <c r="A357" t="s">
        <v>14</v>
      </c>
      <c r="B357">
        <v>44</v>
      </c>
      <c r="C357">
        <v>1</v>
      </c>
      <c r="D357">
        <v>1</v>
      </c>
      <c r="E357">
        <v>0</v>
      </c>
      <c r="F357" t="s">
        <v>32</v>
      </c>
      <c r="G357" t="s">
        <v>16</v>
      </c>
      <c r="H357" t="s">
        <v>12</v>
      </c>
      <c r="I357" t="s">
        <v>13</v>
      </c>
      <c r="J357">
        <v>1</v>
      </c>
    </row>
    <row r="358" spans="1:10" x14ac:dyDescent="0.3">
      <c r="A358" t="s">
        <v>9</v>
      </c>
      <c r="B358">
        <v>18</v>
      </c>
      <c r="C358">
        <v>0</v>
      </c>
      <c r="D358">
        <v>0</v>
      </c>
      <c r="E358">
        <v>0</v>
      </c>
      <c r="F358" t="s">
        <v>17</v>
      </c>
      <c r="G358" t="s">
        <v>11</v>
      </c>
      <c r="H358" t="s">
        <v>12</v>
      </c>
      <c r="I358" t="s">
        <v>13</v>
      </c>
      <c r="J358">
        <v>0</v>
      </c>
    </row>
    <row r="359" spans="1:10" x14ac:dyDescent="0.3">
      <c r="A359" t="s">
        <v>14</v>
      </c>
      <c r="B359">
        <v>44</v>
      </c>
      <c r="C359">
        <v>1</v>
      </c>
      <c r="D359">
        <v>1</v>
      </c>
      <c r="E359">
        <v>0</v>
      </c>
      <c r="F359" t="s">
        <v>43</v>
      </c>
      <c r="G359" t="s">
        <v>16</v>
      </c>
      <c r="H359" t="s">
        <v>23</v>
      </c>
      <c r="I359" t="s">
        <v>13</v>
      </c>
      <c r="J359">
        <v>1</v>
      </c>
    </row>
    <row r="360" spans="1:10" x14ac:dyDescent="0.3">
      <c r="A360" t="s">
        <v>9</v>
      </c>
      <c r="B360">
        <v>20</v>
      </c>
      <c r="C360">
        <v>1</v>
      </c>
      <c r="D360">
        <v>1</v>
      </c>
      <c r="E360">
        <v>1</v>
      </c>
      <c r="F360" t="s">
        <v>51</v>
      </c>
      <c r="G360" t="s">
        <v>11</v>
      </c>
      <c r="H360" t="s">
        <v>12</v>
      </c>
      <c r="I360" t="s">
        <v>13</v>
      </c>
      <c r="J360">
        <v>1</v>
      </c>
    </row>
    <row r="361" spans="1:10" x14ac:dyDescent="0.3">
      <c r="A361" t="s">
        <v>9</v>
      </c>
      <c r="B361">
        <v>60</v>
      </c>
      <c r="C361">
        <v>0</v>
      </c>
      <c r="D361">
        <v>0</v>
      </c>
      <c r="E361">
        <v>1</v>
      </c>
      <c r="F361" t="s">
        <v>39</v>
      </c>
      <c r="G361" t="s">
        <v>16</v>
      </c>
      <c r="H361" t="s">
        <v>18</v>
      </c>
      <c r="I361" t="s">
        <v>13</v>
      </c>
      <c r="J361">
        <v>0</v>
      </c>
    </row>
    <row r="362" spans="1:10" x14ac:dyDescent="0.3">
      <c r="A362" t="s">
        <v>14</v>
      </c>
      <c r="B362">
        <v>61</v>
      </c>
      <c r="C362">
        <v>0</v>
      </c>
      <c r="D362">
        <v>0</v>
      </c>
      <c r="E362">
        <v>0</v>
      </c>
      <c r="F362" t="s">
        <v>46</v>
      </c>
      <c r="G362" t="s">
        <v>11</v>
      </c>
      <c r="H362" t="s">
        <v>18</v>
      </c>
      <c r="I362" t="s">
        <v>13</v>
      </c>
      <c r="J362">
        <v>0</v>
      </c>
    </row>
    <row r="363" spans="1:10" x14ac:dyDescent="0.3">
      <c r="A363" t="s">
        <v>9</v>
      </c>
      <c r="B363">
        <v>47</v>
      </c>
      <c r="C363">
        <v>0</v>
      </c>
      <c r="D363">
        <v>0</v>
      </c>
      <c r="E363">
        <v>0</v>
      </c>
      <c r="F363" t="s">
        <v>36</v>
      </c>
      <c r="G363" t="s">
        <v>16</v>
      </c>
      <c r="H363" t="s">
        <v>18</v>
      </c>
      <c r="I363" t="s">
        <v>13</v>
      </c>
      <c r="J363">
        <v>0</v>
      </c>
    </row>
    <row r="364" spans="1:10" x14ac:dyDescent="0.3">
      <c r="A364" t="s">
        <v>9</v>
      </c>
      <c r="B364">
        <v>15</v>
      </c>
      <c r="C364">
        <v>1</v>
      </c>
      <c r="D364">
        <v>1</v>
      </c>
      <c r="E364">
        <v>1</v>
      </c>
      <c r="F364" t="s">
        <v>26</v>
      </c>
      <c r="G364" t="s">
        <v>11</v>
      </c>
      <c r="H364" t="s">
        <v>23</v>
      </c>
      <c r="I364" t="s">
        <v>13</v>
      </c>
      <c r="J364">
        <v>1</v>
      </c>
    </row>
    <row r="365" spans="1:10" x14ac:dyDescent="0.3">
      <c r="A365" t="s">
        <v>14</v>
      </c>
      <c r="B365">
        <v>58</v>
      </c>
      <c r="C365">
        <v>0</v>
      </c>
      <c r="D365">
        <v>0</v>
      </c>
      <c r="E365">
        <v>1</v>
      </c>
      <c r="F365" t="s">
        <v>34</v>
      </c>
      <c r="G365" t="s">
        <v>16</v>
      </c>
      <c r="H365" t="s">
        <v>18</v>
      </c>
      <c r="I365" t="s">
        <v>13</v>
      </c>
      <c r="J365">
        <v>0</v>
      </c>
    </row>
    <row r="366" spans="1:10" x14ac:dyDescent="0.3">
      <c r="A366" t="s">
        <v>14</v>
      </c>
      <c r="B366">
        <v>64</v>
      </c>
      <c r="C366">
        <v>0</v>
      </c>
      <c r="D366">
        <v>0</v>
      </c>
      <c r="E366">
        <v>0</v>
      </c>
      <c r="F366" t="s">
        <v>34</v>
      </c>
      <c r="G366" t="s">
        <v>11</v>
      </c>
      <c r="H366" t="s">
        <v>12</v>
      </c>
      <c r="I366" t="s">
        <v>13</v>
      </c>
      <c r="J366">
        <v>0</v>
      </c>
    </row>
    <row r="367" spans="1:10" x14ac:dyDescent="0.3">
      <c r="A367" t="s">
        <v>9</v>
      </c>
      <c r="B367">
        <v>50</v>
      </c>
      <c r="C367">
        <v>1</v>
      </c>
      <c r="D367">
        <v>1</v>
      </c>
      <c r="E367">
        <v>1</v>
      </c>
      <c r="F367" t="s">
        <v>37</v>
      </c>
      <c r="G367" t="s">
        <v>16</v>
      </c>
      <c r="H367" t="s">
        <v>23</v>
      </c>
      <c r="I367" t="s">
        <v>13</v>
      </c>
      <c r="J367">
        <v>1</v>
      </c>
    </row>
    <row r="368" spans="1:10" x14ac:dyDescent="0.3">
      <c r="A368" t="s">
        <v>9</v>
      </c>
      <c r="B368">
        <v>52</v>
      </c>
      <c r="C368">
        <v>1</v>
      </c>
      <c r="D368">
        <v>1</v>
      </c>
      <c r="E368">
        <v>1</v>
      </c>
      <c r="F368" t="s">
        <v>38</v>
      </c>
      <c r="G368" t="s">
        <v>11</v>
      </c>
      <c r="H368" t="s">
        <v>12</v>
      </c>
      <c r="I368" t="s">
        <v>13</v>
      </c>
      <c r="J368">
        <v>1</v>
      </c>
    </row>
    <row r="369" spans="1:10" x14ac:dyDescent="0.3">
      <c r="A369" t="s">
        <v>14</v>
      </c>
      <c r="B369">
        <v>59</v>
      </c>
      <c r="C369">
        <v>1</v>
      </c>
      <c r="D369">
        <v>1</v>
      </c>
      <c r="E369">
        <v>0</v>
      </c>
      <c r="F369" t="s">
        <v>20</v>
      </c>
      <c r="G369" t="s">
        <v>16</v>
      </c>
      <c r="H369" t="s">
        <v>23</v>
      </c>
      <c r="I369" t="s">
        <v>13</v>
      </c>
      <c r="J369">
        <v>1</v>
      </c>
    </row>
    <row r="370" spans="1:10" x14ac:dyDescent="0.3">
      <c r="A370" t="s">
        <v>9</v>
      </c>
      <c r="B370">
        <v>51</v>
      </c>
      <c r="C370">
        <v>0</v>
      </c>
      <c r="D370">
        <v>0</v>
      </c>
      <c r="E370">
        <v>1</v>
      </c>
      <c r="F370" t="s">
        <v>43</v>
      </c>
      <c r="G370" t="s">
        <v>11</v>
      </c>
      <c r="H370" t="s">
        <v>12</v>
      </c>
      <c r="I370" t="s">
        <v>13</v>
      </c>
      <c r="J370">
        <v>0</v>
      </c>
    </row>
    <row r="371" spans="1:10" x14ac:dyDescent="0.3">
      <c r="A371" t="s">
        <v>14</v>
      </c>
      <c r="B371">
        <v>16</v>
      </c>
      <c r="C371">
        <v>0</v>
      </c>
      <c r="D371">
        <v>0</v>
      </c>
      <c r="E371">
        <v>1</v>
      </c>
      <c r="F371" t="s">
        <v>27</v>
      </c>
      <c r="G371" t="s">
        <v>16</v>
      </c>
      <c r="H371" t="s">
        <v>12</v>
      </c>
      <c r="I371" t="s">
        <v>13</v>
      </c>
      <c r="J371">
        <v>0</v>
      </c>
    </row>
    <row r="372" spans="1:10" x14ac:dyDescent="0.3">
      <c r="A372" t="s">
        <v>9</v>
      </c>
      <c r="B372">
        <v>20</v>
      </c>
      <c r="C372">
        <v>0</v>
      </c>
      <c r="D372">
        <v>0</v>
      </c>
      <c r="E372">
        <v>1</v>
      </c>
      <c r="F372" t="s">
        <v>28</v>
      </c>
      <c r="G372" t="s">
        <v>11</v>
      </c>
      <c r="H372" t="s">
        <v>12</v>
      </c>
      <c r="I372" t="s">
        <v>13</v>
      </c>
      <c r="J372">
        <v>0</v>
      </c>
    </row>
    <row r="373" spans="1:10" x14ac:dyDescent="0.3">
      <c r="A373" t="s">
        <v>14</v>
      </c>
      <c r="B373">
        <v>48</v>
      </c>
      <c r="C373">
        <v>1</v>
      </c>
      <c r="D373">
        <v>1</v>
      </c>
      <c r="E373">
        <v>1</v>
      </c>
      <c r="F373" t="s">
        <v>25</v>
      </c>
      <c r="G373" t="s">
        <v>16</v>
      </c>
      <c r="H373" t="s">
        <v>23</v>
      </c>
      <c r="I373" t="s">
        <v>13</v>
      </c>
      <c r="J373">
        <v>1</v>
      </c>
    </row>
    <row r="374" spans="1:10" x14ac:dyDescent="0.3">
      <c r="A374" t="s">
        <v>14</v>
      </c>
      <c r="B374">
        <v>31</v>
      </c>
      <c r="C374">
        <v>0</v>
      </c>
      <c r="D374">
        <v>0</v>
      </c>
      <c r="E374">
        <v>0</v>
      </c>
      <c r="F374" t="s">
        <v>22</v>
      </c>
      <c r="G374" t="s">
        <v>11</v>
      </c>
      <c r="H374" t="s">
        <v>23</v>
      </c>
      <c r="I374" t="s">
        <v>13</v>
      </c>
      <c r="J374">
        <v>0</v>
      </c>
    </row>
    <row r="375" spans="1:10" x14ac:dyDescent="0.3">
      <c r="A375" t="s">
        <v>14</v>
      </c>
      <c r="B375">
        <v>53</v>
      </c>
      <c r="C375">
        <v>1</v>
      </c>
      <c r="D375">
        <v>1</v>
      </c>
      <c r="E375">
        <v>1</v>
      </c>
      <c r="F375" t="s">
        <v>32</v>
      </c>
      <c r="G375" t="s">
        <v>16</v>
      </c>
      <c r="H375" t="s">
        <v>18</v>
      </c>
      <c r="I375" t="s">
        <v>13</v>
      </c>
      <c r="J375">
        <v>1</v>
      </c>
    </row>
    <row r="376" spans="1:10" x14ac:dyDescent="0.3">
      <c r="A376" t="s">
        <v>9</v>
      </c>
      <c r="B376">
        <v>42</v>
      </c>
      <c r="C376">
        <v>1</v>
      </c>
      <c r="D376">
        <v>1</v>
      </c>
      <c r="E376">
        <v>0</v>
      </c>
      <c r="F376" t="s">
        <v>26</v>
      </c>
      <c r="G376" t="s">
        <v>11</v>
      </c>
      <c r="H376" t="s">
        <v>12</v>
      </c>
      <c r="I376" t="s">
        <v>13</v>
      </c>
      <c r="J376">
        <v>1</v>
      </c>
    </row>
    <row r="377" spans="1:10" x14ac:dyDescent="0.3">
      <c r="A377" t="s">
        <v>9</v>
      </c>
      <c r="B377">
        <v>9</v>
      </c>
      <c r="C377">
        <v>1</v>
      </c>
      <c r="D377">
        <v>1</v>
      </c>
      <c r="E377">
        <v>1</v>
      </c>
      <c r="F377" t="s">
        <v>52</v>
      </c>
      <c r="G377" t="s">
        <v>16</v>
      </c>
      <c r="H377" t="s">
        <v>12</v>
      </c>
      <c r="I377" t="s">
        <v>13</v>
      </c>
      <c r="J377">
        <v>1</v>
      </c>
    </row>
    <row r="378" spans="1:10" x14ac:dyDescent="0.3">
      <c r="A378" t="s">
        <v>9</v>
      </c>
      <c r="B378">
        <v>8</v>
      </c>
      <c r="C378">
        <v>1</v>
      </c>
      <c r="D378">
        <v>1</v>
      </c>
      <c r="E378">
        <v>1</v>
      </c>
      <c r="F378" t="s">
        <v>21</v>
      </c>
      <c r="G378" t="s">
        <v>11</v>
      </c>
      <c r="H378" t="s">
        <v>18</v>
      </c>
      <c r="I378" t="s">
        <v>13</v>
      </c>
      <c r="J378">
        <v>1</v>
      </c>
    </row>
    <row r="379" spans="1:10" x14ac:dyDescent="0.3">
      <c r="A379" t="s">
        <v>9</v>
      </c>
      <c r="B379">
        <v>17</v>
      </c>
      <c r="C379">
        <v>0</v>
      </c>
      <c r="D379">
        <v>0</v>
      </c>
      <c r="E379">
        <v>1</v>
      </c>
      <c r="F379" t="s">
        <v>21</v>
      </c>
      <c r="G379" t="s">
        <v>16</v>
      </c>
      <c r="H379" t="s">
        <v>12</v>
      </c>
      <c r="I379" t="s">
        <v>13</v>
      </c>
      <c r="J379">
        <v>0</v>
      </c>
    </row>
    <row r="380" spans="1:10" x14ac:dyDescent="0.3">
      <c r="A380" t="s">
        <v>9</v>
      </c>
      <c r="B380">
        <v>16</v>
      </c>
      <c r="C380">
        <v>1</v>
      </c>
      <c r="D380">
        <v>1</v>
      </c>
      <c r="E380">
        <v>0</v>
      </c>
      <c r="F380" t="s">
        <v>22</v>
      </c>
      <c r="G380" t="s">
        <v>11</v>
      </c>
      <c r="H380" t="s">
        <v>23</v>
      </c>
      <c r="I380" t="s">
        <v>13</v>
      </c>
      <c r="J380">
        <v>1</v>
      </c>
    </row>
    <row r="381" spans="1:10" x14ac:dyDescent="0.3">
      <c r="A381" t="s">
        <v>9</v>
      </c>
      <c r="B381">
        <v>15</v>
      </c>
      <c r="C381">
        <v>1</v>
      </c>
      <c r="D381">
        <v>1</v>
      </c>
      <c r="E381">
        <v>1</v>
      </c>
      <c r="F381" t="s">
        <v>44</v>
      </c>
      <c r="G381" t="s">
        <v>16</v>
      </c>
      <c r="H381" t="s">
        <v>18</v>
      </c>
      <c r="I381" t="s">
        <v>13</v>
      </c>
      <c r="J381">
        <v>1</v>
      </c>
    </row>
    <row r="382" spans="1:10" x14ac:dyDescent="0.3">
      <c r="A382" t="s">
        <v>9</v>
      </c>
      <c r="B382">
        <v>63</v>
      </c>
      <c r="C382">
        <v>0</v>
      </c>
      <c r="D382">
        <v>0</v>
      </c>
      <c r="E382">
        <v>1</v>
      </c>
      <c r="F382" t="s">
        <v>19</v>
      </c>
      <c r="G382" t="s">
        <v>11</v>
      </c>
      <c r="H382" t="s">
        <v>12</v>
      </c>
      <c r="I382" t="s">
        <v>13</v>
      </c>
      <c r="J382">
        <v>0</v>
      </c>
    </row>
    <row r="383" spans="1:10" x14ac:dyDescent="0.3">
      <c r="A383" t="s">
        <v>14</v>
      </c>
      <c r="B383">
        <v>35</v>
      </c>
      <c r="C383">
        <v>1</v>
      </c>
      <c r="D383">
        <v>1</v>
      </c>
      <c r="E383">
        <v>1</v>
      </c>
      <c r="F383" t="s">
        <v>43</v>
      </c>
      <c r="G383" t="s">
        <v>16</v>
      </c>
      <c r="H383" t="s">
        <v>18</v>
      </c>
      <c r="I383" t="s">
        <v>13</v>
      </c>
      <c r="J383">
        <v>1</v>
      </c>
    </row>
    <row r="384" spans="1:10" x14ac:dyDescent="0.3">
      <c r="A384" t="s">
        <v>14</v>
      </c>
      <c r="B384">
        <v>51</v>
      </c>
      <c r="C384">
        <v>0</v>
      </c>
      <c r="D384">
        <v>0</v>
      </c>
      <c r="E384">
        <v>0</v>
      </c>
      <c r="F384" t="s">
        <v>43</v>
      </c>
      <c r="G384" t="s">
        <v>11</v>
      </c>
      <c r="H384" t="s">
        <v>12</v>
      </c>
      <c r="I384" t="s">
        <v>13</v>
      </c>
      <c r="J384">
        <v>0</v>
      </c>
    </row>
    <row r="385" spans="1:10" x14ac:dyDescent="0.3">
      <c r="A385" t="s">
        <v>14</v>
      </c>
      <c r="B385">
        <v>33</v>
      </c>
      <c r="C385">
        <v>0</v>
      </c>
      <c r="D385">
        <v>0</v>
      </c>
      <c r="E385">
        <v>0</v>
      </c>
      <c r="F385" t="s">
        <v>29</v>
      </c>
      <c r="G385" t="s">
        <v>16</v>
      </c>
      <c r="H385" t="s">
        <v>18</v>
      </c>
      <c r="I385" t="s">
        <v>13</v>
      </c>
      <c r="J385">
        <v>0</v>
      </c>
    </row>
    <row r="386" spans="1:10" x14ac:dyDescent="0.3">
      <c r="A386" t="s">
        <v>9</v>
      </c>
      <c r="B386">
        <v>17</v>
      </c>
      <c r="C386">
        <v>1</v>
      </c>
      <c r="D386">
        <v>1</v>
      </c>
      <c r="E386">
        <v>1</v>
      </c>
      <c r="F386" t="s">
        <v>49</v>
      </c>
      <c r="G386" t="s">
        <v>11</v>
      </c>
      <c r="H386" t="s">
        <v>18</v>
      </c>
      <c r="I386" t="s">
        <v>13</v>
      </c>
      <c r="J386">
        <v>1</v>
      </c>
    </row>
    <row r="387" spans="1:10" x14ac:dyDescent="0.3">
      <c r="A387" t="s">
        <v>9</v>
      </c>
      <c r="B387">
        <v>50</v>
      </c>
      <c r="C387">
        <v>0</v>
      </c>
      <c r="D387">
        <v>0</v>
      </c>
      <c r="E387">
        <v>1</v>
      </c>
      <c r="F387" t="s">
        <v>42</v>
      </c>
      <c r="G387" t="s">
        <v>16</v>
      </c>
      <c r="H387" t="s">
        <v>12</v>
      </c>
      <c r="I387" t="s">
        <v>13</v>
      </c>
      <c r="J387">
        <v>0</v>
      </c>
    </row>
    <row r="388" spans="1:10" x14ac:dyDescent="0.3">
      <c r="A388" t="s">
        <v>9</v>
      </c>
      <c r="B388">
        <v>34</v>
      </c>
      <c r="C388">
        <v>1</v>
      </c>
      <c r="D388">
        <v>1</v>
      </c>
      <c r="E388">
        <v>1</v>
      </c>
      <c r="F388" t="s">
        <v>45</v>
      </c>
      <c r="G388" t="s">
        <v>11</v>
      </c>
      <c r="H388" t="s">
        <v>12</v>
      </c>
      <c r="I388" t="s">
        <v>13</v>
      </c>
      <c r="J388">
        <v>1</v>
      </c>
    </row>
    <row r="389" spans="1:10" x14ac:dyDescent="0.3">
      <c r="A389" t="s">
        <v>9</v>
      </c>
      <c r="B389">
        <v>26</v>
      </c>
      <c r="C389">
        <v>1</v>
      </c>
      <c r="D389">
        <v>1</v>
      </c>
      <c r="E389">
        <v>1</v>
      </c>
      <c r="F389" t="s">
        <v>38</v>
      </c>
      <c r="G389" t="s">
        <v>16</v>
      </c>
      <c r="H389" t="s">
        <v>23</v>
      </c>
      <c r="I389" t="s">
        <v>13</v>
      </c>
      <c r="J389">
        <v>1</v>
      </c>
    </row>
    <row r="390" spans="1:10" x14ac:dyDescent="0.3">
      <c r="A390" t="s">
        <v>9</v>
      </c>
      <c r="B390">
        <v>25</v>
      </c>
      <c r="C390">
        <v>0</v>
      </c>
      <c r="D390">
        <v>0</v>
      </c>
      <c r="E390">
        <v>1</v>
      </c>
      <c r="F390" t="s">
        <v>47</v>
      </c>
      <c r="G390" t="s">
        <v>11</v>
      </c>
      <c r="H390" t="s">
        <v>18</v>
      </c>
      <c r="I390" t="s">
        <v>13</v>
      </c>
      <c r="J390">
        <v>0</v>
      </c>
    </row>
    <row r="391" spans="1:10" x14ac:dyDescent="0.3">
      <c r="A391" t="s">
        <v>14</v>
      </c>
      <c r="B391">
        <v>58</v>
      </c>
      <c r="C391">
        <v>0</v>
      </c>
      <c r="D391">
        <v>0</v>
      </c>
      <c r="E391">
        <v>0</v>
      </c>
      <c r="F391" t="s">
        <v>21</v>
      </c>
      <c r="G391" t="s">
        <v>16</v>
      </c>
      <c r="H391" t="s">
        <v>23</v>
      </c>
      <c r="I391" t="s">
        <v>13</v>
      </c>
      <c r="J391">
        <v>0</v>
      </c>
    </row>
    <row r="392" spans="1:10" x14ac:dyDescent="0.3">
      <c r="A392" t="s">
        <v>9</v>
      </c>
      <c r="B392">
        <v>29</v>
      </c>
      <c r="C392">
        <v>1</v>
      </c>
      <c r="D392">
        <v>1</v>
      </c>
      <c r="E392">
        <v>1</v>
      </c>
      <c r="F392" t="s">
        <v>39</v>
      </c>
      <c r="G392" t="s">
        <v>11</v>
      </c>
      <c r="H392" t="s">
        <v>18</v>
      </c>
      <c r="I392" t="s">
        <v>13</v>
      </c>
      <c r="J392">
        <v>1</v>
      </c>
    </row>
    <row r="393" spans="1:10" x14ac:dyDescent="0.3">
      <c r="A393" t="s">
        <v>14</v>
      </c>
      <c r="B393">
        <v>38</v>
      </c>
      <c r="C393">
        <v>0</v>
      </c>
      <c r="D393">
        <v>0</v>
      </c>
      <c r="E393">
        <v>0</v>
      </c>
      <c r="F393" t="s">
        <v>44</v>
      </c>
      <c r="G393" t="s">
        <v>16</v>
      </c>
      <c r="H393" t="s">
        <v>23</v>
      </c>
      <c r="I393" t="s">
        <v>13</v>
      </c>
      <c r="J393">
        <v>0</v>
      </c>
    </row>
    <row r="394" spans="1:10" x14ac:dyDescent="0.3">
      <c r="A394" t="s">
        <v>9</v>
      </c>
      <c r="B394">
        <v>17</v>
      </c>
      <c r="C394">
        <v>1</v>
      </c>
      <c r="D394">
        <v>1</v>
      </c>
      <c r="E394">
        <v>0</v>
      </c>
      <c r="F394" t="s">
        <v>43</v>
      </c>
      <c r="G394" t="s">
        <v>11</v>
      </c>
      <c r="H394" t="s">
        <v>12</v>
      </c>
      <c r="I394" t="s">
        <v>13</v>
      </c>
      <c r="J394">
        <v>1</v>
      </c>
    </row>
    <row r="395" spans="1:10" x14ac:dyDescent="0.3">
      <c r="A395" t="s">
        <v>9</v>
      </c>
      <c r="B395">
        <v>59</v>
      </c>
      <c r="C395">
        <v>0</v>
      </c>
      <c r="D395">
        <v>0</v>
      </c>
      <c r="E395">
        <v>1</v>
      </c>
      <c r="F395" t="s">
        <v>19</v>
      </c>
      <c r="G395" t="s">
        <v>16</v>
      </c>
      <c r="H395" t="s">
        <v>12</v>
      </c>
      <c r="I395" t="s">
        <v>13</v>
      </c>
      <c r="J395">
        <v>0</v>
      </c>
    </row>
    <row r="396" spans="1:10" x14ac:dyDescent="0.3">
      <c r="A396" t="s">
        <v>9</v>
      </c>
      <c r="B396">
        <v>22</v>
      </c>
      <c r="C396">
        <v>0</v>
      </c>
      <c r="D396">
        <v>0</v>
      </c>
      <c r="E396">
        <v>1</v>
      </c>
      <c r="F396" t="s">
        <v>36</v>
      </c>
      <c r="G396" t="s">
        <v>11</v>
      </c>
      <c r="H396" t="s">
        <v>23</v>
      </c>
      <c r="I396" t="s">
        <v>13</v>
      </c>
      <c r="J396">
        <v>0</v>
      </c>
    </row>
    <row r="397" spans="1:10" x14ac:dyDescent="0.3">
      <c r="A397" t="s">
        <v>9</v>
      </c>
      <c r="B397">
        <v>18</v>
      </c>
      <c r="C397">
        <v>1</v>
      </c>
      <c r="D397">
        <v>1</v>
      </c>
      <c r="E397">
        <v>0</v>
      </c>
      <c r="F397" t="s">
        <v>21</v>
      </c>
      <c r="G397" t="s">
        <v>16</v>
      </c>
      <c r="H397" t="s">
        <v>18</v>
      </c>
      <c r="I397" t="s">
        <v>13</v>
      </c>
      <c r="J397">
        <v>1</v>
      </c>
    </row>
    <row r="398" spans="1:10" x14ac:dyDescent="0.3">
      <c r="A398" t="s">
        <v>9</v>
      </c>
      <c r="B398">
        <v>45</v>
      </c>
      <c r="C398">
        <v>0</v>
      </c>
      <c r="D398">
        <v>0</v>
      </c>
      <c r="E398">
        <v>0</v>
      </c>
      <c r="F398" t="s">
        <v>48</v>
      </c>
      <c r="G398" t="s">
        <v>11</v>
      </c>
      <c r="H398" t="s">
        <v>23</v>
      </c>
      <c r="I398" t="s">
        <v>13</v>
      </c>
      <c r="J398">
        <v>0</v>
      </c>
    </row>
    <row r="399" spans="1:10" x14ac:dyDescent="0.3">
      <c r="A399" t="s">
        <v>9</v>
      </c>
      <c r="B399">
        <v>9</v>
      </c>
      <c r="C399">
        <v>1</v>
      </c>
      <c r="D399">
        <v>1</v>
      </c>
      <c r="E399">
        <v>0</v>
      </c>
      <c r="F399" t="s">
        <v>42</v>
      </c>
      <c r="G399" t="s">
        <v>16</v>
      </c>
      <c r="H399" t="s">
        <v>23</v>
      </c>
      <c r="I399" t="s">
        <v>13</v>
      </c>
      <c r="J399">
        <v>1</v>
      </c>
    </row>
    <row r="400" spans="1:10" x14ac:dyDescent="0.3">
      <c r="A400" t="s">
        <v>14</v>
      </c>
      <c r="B400">
        <v>50</v>
      </c>
      <c r="C400">
        <v>0</v>
      </c>
      <c r="D400">
        <v>0</v>
      </c>
      <c r="E400">
        <v>1</v>
      </c>
      <c r="F400" t="s">
        <v>17</v>
      </c>
      <c r="G400" t="s">
        <v>11</v>
      </c>
      <c r="H400" t="s">
        <v>18</v>
      </c>
      <c r="I400" t="s">
        <v>13</v>
      </c>
      <c r="J400">
        <v>0</v>
      </c>
    </row>
    <row r="401" spans="1:10" x14ac:dyDescent="0.3">
      <c r="A401" t="s">
        <v>9</v>
      </c>
      <c r="B401">
        <v>50</v>
      </c>
      <c r="C401">
        <v>1</v>
      </c>
      <c r="D401">
        <v>1</v>
      </c>
      <c r="E401">
        <v>0</v>
      </c>
      <c r="F401" t="s">
        <v>31</v>
      </c>
      <c r="G401" t="s">
        <v>16</v>
      </c>
      <c r="H401" t="s">
        <v>23</v>
      </c>
      <c r="I401" t="s">
        <v>13</v>
      </c>
      <c r="J401">
        <v>1</v>
      </c>
    </row>
    <row r="402" spans="1:10" x14ac:dyDescent="0.3">
      <c r="A402" t="s">
        <v>14</v>
      </c>
      <c r="B402">
        <v>14</v>
      </c>
      <c r="C402">
        <v>0</v>
      </c>
      <c r="D402">
        <v>0</v>
      </c>
      <c r="E402">
        <v>0</v>
      </c>
      <c r="F402" t="s">
        <v>41</v>
      </c>
      <c r="G402" t="s">
        <v>11</v>
      </c>
      <c r="H402" t="s">
        <v>12</v>
      </c>
      <c r="I402" t="s">
        <v>13</v>
      </c>
      <c r="J402">
        <v>0</v>
      </c>
    </row>
    <row r="403" spans="1:10" x14ac:dyDescent="0.3">
      <c r="A403" t="s">
        <v>9</v>
      </c>
      <c r="B403">
        <v>40</v>
      </c>
      <c r="C403">
        <v>0</v>
      </c>
      <c r="D403">
        <v>0</v>
      </c>
      <c r="E403">
        <v>1</v>
      </c>
      <c r="F403" t="s">
        <v>10</v>
      </c>
      <c r="G403" t="s">
        <v>16</v>
      </c>
      <c r="H403" t="s">
        <v>18</v>
      </c>
      <c r="I403" t="s">
        <v>13</v>
      </c>
      <c r="J403">
        <v>0</v>
      </c>
    </row>
    <row r="404" spans="1:10" x14ac:dyDescent="0.3">
      <c r="A404" t="s">
        <v>9</v>
      </c>
      <c r="B404">
        <v>62</v>
      </c>
      <c r="C404">
        <v>0</v>
      </c>
      <c r="D404">
        <v>0</v>
      </c>
      <c r="E404">
        <v>1</v>
      </c>
      <c r="F404" t="s">
        <v>15</v>
      </c>
      <c r="G404" t="s">
        <v>11</v>
      </c>
      <c r="H404" t="s">
        <v>12</v>
      </c>
      <c r="I404" t="s">
        <v>13</v>
      </c>
      <c r="J404">
        <v>0</v>
      </c>
    </row>
    <row r="405" spans="1:10" x14ac:dyDescent="0.3">
      <c r="A405" t="s">
        <v>9</v>
      </c>
      <c r="B405">
        <v>40</v>
      </c>
      <c r="C405">
        <v>1</v>
      </c>
      <c r="D405">
        <v>1</v>
      </c>
      <c r="E405">
        <v>1</v>
      </c>
      <c r="F405" t="s">
        <v>15</v>
      </c>
      <c r="G405" t="s">
        <v>16</v>
      </c>
      <c r="H405" t="s">
        <v>18</v>
      </c>
      <c r="I405" t="s">
        <v>13</v>
      </c>
      <c r="J405">
        <v>1</v>
      </c>
    </row>
    <row r="406" spans="1:10" x14ac:dyDescent="0.3">
      <c r="A406" t="s">
        <v>14</v>
      </c>
      <c r="B406">
        <v>24</v>
      </c>
      <c r="C406">
        <v>0</v>
      </c>
      <c r="D406">
        <v>0</v>
      </c>
      <c r="E406">
        <v>1</v>
      </c>
      <c r="F406" t="s">
        <v>24</v>
      </c>
      <c r="G406" t="s">
        <v>11</v>
      </c>
      <c r="H406" t="s">
        <v>23</v>
      </c>
      <c r="I406" t="s">
        <v>13</v>
      </c>
      <c r="J406">
        <v>0</v>
      </c>
    </row>
    <row r="407" spans="1:10" x14ac:dyDescent="0.3">
      <c r="A407" t="s">
        <v>14</v>
      </c>
      <c r="B407">
        <v>21</v>
      </c>
      <c r="C407">
        <v>0</v>
      </c>
      <c r="D407">
        <v>0</v>
      </c>
      <c r="E407">
        <v>1</v>
      </c>
      <c r="F407" t="s">
        <v>38</v>
      </c>
      <c r="G407" t="s">
        <v>16</v>
      </c>
      <c r="H407" t="s">
        <v>18</v>
      </c>
      <c r="I407" t="s">
        <v>13</v>
      </c>
      <c r="J407">
        <v>0</v>
      </c>
    </row>
    <row r="408" spans="1:10" x14ac:dyDescent="0.3">
      <c r="A408" t="s">
        <v>14</v>
      </c>
      <c r="B408">
        <v>62</v>
      </c>
      <c r="C408">
        <v>1</v>
      </c>
      <c r="D408">
        <v>1</v>
      </c>
      <c r="E408">
        <v>0</v>
      </c>
      <c r="F408" t="s">
        <v>27</v>
      </c>
      <c r="G408" t="s">
        <v>11</v>
      </c>
      <c r="H408" t="s">
        <v>18</v>
      </c>
      <c r="I408" t="s">
        <v>13</v>
      </c>
      <c r="J408">
        <v>1</v>
      </c>
    </row>
    <row r="409" spans="1:10" x14ac:dyDescent="0.3">
      <c r="A409" t="s">
        <v>14</v>
      </c>
      <c r="B409">
        <v>16</v>
      </c>
      <c r="C409">
        <v>1</v>
      </c>
      <c r="D409">
        <v>1</v>
      </c>
      <c r="E409">
        <v>1</v>
      </c>
      <c r="F409" t="s">
        <v>15</v>
      </c>
      <c r="G409" t="s">
        <v>16</v>
      </c>
      <c r="H409" t="s">
        <v>12</v>
      </c>
      <c r="I409" t="s">
        <v>13</v>
      </c>
      <c r="J409">
        <v>1</v>
      </c>
    </row>
    <row r="410" spans="1:10" x14ac:dyDescent="0.3">
      <c r="A410" t="s">
        <v>14</v>
      </c>
      <c r="B410">
        <v>11</v>
      </c>
      <c r="C410">
        <v>0</v>
      </c>
      <c r="D410">
        <v>0</v>
      </c>
      <c r="E410">
        <v>0</v>
      </c>
      <c r="F410" t="s">
        <v>35</v>
      </c>
      <c r="G410" t="s">
        <v>11</v>
      </c>
      <c r="H410" t="s">
        <v>12</v>
      </c>
      <c r="I410" t="s">
        <v>13</v>
      </c>
      <c r="J410">
        <v>0</v>
      </c>
    </row>
    <row r="411" spans="1:10" x14ac:dyDescent="0.3">
      <c r="A411" t="s">
        <v>14</v>
      </c>
      <c r="B411">
        <v>30</v>
      </c>
      <c r="C411">
        <v>1</v>
      </c>
      <c r="D411">
        <v>1</v>
      </c>
      <c r="E411">
        <v>0</v>
      </c>
      <c r="F411" t="s">
        <v>15</v>
      </c>
      <c r="G411" t="s">
        <v>16</v>
      </c>
      <c r="H411" t="s">
        <v>18</v>
      </c>
      <c r="I411" t="s">
        <v>13</v>
      </c>
      <c r="J411">
        <v>1</v>
      </c>
    </row>
    <row r="412" spans="1:10" x14ac:dyDescent="0.3">
      <c r="A412" t="s">
        <v>14</v>
      </c>
      <c r="B412">
        <v>55</v>
      </c>
      <c r="C412">
        <v>0</v>
      </c>
      <c r="D412">
        <v>0</v>
      </c>
      <c r="E412">
        <v>0</v>
      </c>
      <c r="F412" t="s">
        <v>28</v>
      </c>
      <c r="G412" t="s">
        <v>11</v>
      </c>
      <c r="H412" t="s">
        <v>23</v>
      </c>
      <c r="I412" t="s">
        <v>13</v>
      </c>
      <c r="J412">
        <v>0</v>
      </c>
    </row>
    <row r="413" spans="1:10" x14ac:dyDescent="0.3">
      <c r="A413" t="s">
        <v>14</v>
      </c>
      <c r="B413">
        <v>24</v>
      </c>
      <c r="C413">
        <v>0</v>
      </c>
      <c r="D413">
        <v>0</v>
      </c>
      <c r="E413">
        <v>1</v>
      </c>
      <c r="F413" t="s">
        <v>40</v>
      </c>
      <c r="G413" t="s">
        <v>16</v>
      </c>
      <c r="H413" t="s">
        <v>18</v>
      </c>
      <c r="I413" t="s">
        <v>13</v>
      </c>
      <c r="J413">
        <v>0</v>
      </c>
    </row>
    <row r="414" spans="1:10" x14ac:dyDescent="0.3">
      <c r="A414" t="s">
        <v>9</v>
      </c>
      <c r="B414">
        <v>54</v>
      </c>
      <c r="C414">
        <v>0</v>
      </c>
      <c r="D414">
        <v>0</v>
      </c>
      <c r="E414">
        <v>1</v>
      </c>
      <c r="F414" t="s">
        <v>52</v>
      </c>
      <c r="G414" t="s">
        <v>11</v>
      </c>
      <c r="H414" t="s">
        <v>18</v>
      </c>
      <c r="I414" t="s">
        <v>13</v>
      </c>
      <c r="J414">
        <v>0</v>
      </c>
    </row>
    <row r="415" spans="1:10" x14ac:dyDescent="0.3">
      <c r="A415" t="s">
        <v>14</v>
      </c>
      <c r="B415">
        <v>29</v>
      </c>
      <c r="C415">
        <v>1</v>
      </c>
      <c r="D415">
        <v>1</v>
      </c>
      <c r="E415">
        <v>0</v>
      </c>
      <c r="F415" t="s">
        <v>43</v>
      </c>
      <c r="G415" t="s">
        <v>16</v>
      </c>
      <c r="H415" t="s">
        <v>23</v>
      </c>
      <c r="I415" t="s">
        <v>13</v>
      </c>
      <c r="J415">
        <v>1</v>
      </c>
    </row>
    <row r="416" spans="1:10" x14ac:dyDescent="0.3">
      <c r="A416" t="s">
        <v>9</v>
      </c>
      <c r="B416">
        <v>20</v>
      </c>
      <c r="C416">
        <v>0</v>
      </c>
      <c r="D416">
        <v>0</v>
      </c>
      <c r="E416">
        <v>1</v>
      </c>
      <c r="F416" t="s">
        <v>28</v>
      </c>
      <c r="G416" t="s">
        <v>11</v>
      </c>
      <c r="H416" t="s">
        <v>23</v>
      </c>
      <c r="I416" t="s">
        <v>13</v>
      </c>
      <c r="J416">
        <v>0</v>
      </c>
    </row>
    <row r="417" spans="1:10" x14ac:dyDescent="0.3">
      <c r="A417" t="s">
        <v>14</v>
      </c>
      <c r="B417">
        <v>57</v>
      </c>
      <c r="C417">
        <v>1</v>
      </c>
      <c r="D417">
        <v>1</v>
      </c>
      <c r="E417">
        <v>1</v>
      </c>
      <c r="F417" t="s">
        <v>45</v>
      </c>
      <c r="G417" t="s">
        <v>16</v>
      </c>
      <c r="H417" t="s">
        <v>23</v>
      </c>
      <c r="I417" t="s">
        <v>13</v>
      </c>
      <c r="J417">
        <v>1</v>
      </c>
    </row>
    <row r="418" spans="1:10" x14ac:dyDescent="0.3">
      <c r="A418" t="s">
        <v>14</v>
      </c>
      <c r="B418">
        <v>62</v>
      </c>
      <c r="C418">
        <v>0</v>
      </c>
      <c r="D418">
        <v>0</v>
      </c>
      <c r="E418">
        <v>1</v>
      </c>
      <c r="F418" t="s">
        <v>46</v>
      </c>
      <c r="G418" t="s">
        <v>11</v>
      </c>
      <c r="H418" t="s">
        <v>18</v>
      </c>
      <c r="I418" t="s">
        <v>13</v>
      </c>
      <c r="J418">
        <v>0</v>
      </c>
    </row>
    <row r="419" spans="1:10" x14ac:dyDescent="0.3">
      <c r="A419" t="s">
        <v>9</v>
      </c>
      <c r="B419">
        <v>35</v>
      </c>
      <c r="C419">
        <v>0</v>
      </c>
      <c r="D419">
        <v>0</v>
      </c>
      <c r="E419">
        <v>1</v>
      </c>
      <c r="F419" t="s">
        <v>46</v>
      </c>
      <c r="G419" t="s">
        <v>16</v>
      </c>
      <c r="H419" t="s">
        <v>23</v>
      </c>
      <c r="I419" t="s">
        <v>13</v>
      </c>
      <c r="J419">
        <v>0</v>
      </c>
    </row>
    <row r="420" spans="1:10" x14ac:dyDescent="0.3">
      <c r="A420" t="s">
        <v>9</v>
      </c>
      <c r="B420">
        <v>22</v>
      </c>
      <c r="C420">
        <v>1</v>
      </c>
      <c r="D420">
        <v>1</v>
      </c>
      <c r="E420">
        <v>1</v>
      </c>
      <c r="F420" t="s">
        <v>10</v>
      </c>
      <c r="G420" t="s">
        <v>11</v>
      </c>
      <c r="H420" t="s">
        <v>18</v>
      </c>
      <c r="I420" t="s">
        <v>13</v>
      </c>
      <c r="J420">
        <v>1</v>
      </c>
    </row>
    <row r="421" spans="1:10" x14ac:dyDescent="0.3">
      <c r="A421" t="s">
        <v>14</v>
      </c>
      <c r="B421">
        <v>14</v>
      </c>
      <c r="C421">
        <v>1</v>
      </c>
      <c r="D421">
        <v>1</v>
      </c>
      <c r="E421">
        <v>1</v>
      </c>
      <c r="F421" t="s">
        <v>47</v>
      </c>
      <c r="G421" t="s">
        <v>16</v>
      </c>
      <c r="H421" t="s">
        <v>12</v>
      </c>
      <c r="I421" t="s">
        <v>13</v>
      </c>
      <c r="J421">
        <v>1</v>
      </c>
    </row>
    <row r="422" spans="1:10" x14ac:dyDescent="0.3">
      <c r="A422" t="s">
        <v>9</v>
      </c>
      <c r="B422">
        <v>40</v>
      </c>
      <c r="C422">
        <v>1</v>
      </c>
      <c r="D422">
        <v>1</v>
      </c>
      <c r="E422">
        <v>0</v>
      </c>
      <c r="F422" t="s">
        <v>46</v>
      </c>
      <c r="G422" t="s">
        <v>11</v>
      </c>
      <c r="H422" t="s">
        <v>12</v>
      </c>
      <c r="I422" t="s">
        <v>13</v>
      </c>
      <c r="J422">
        <v>1</v>
      </c>
    </row>
    <row r="423" spans="1:10" x14ac:dyDescent="0.3">
      <c r="A423" t="s">
        <v>9</v>
      </c>
      <c r="B423">
        <v>46</v>
      </c>
      <c r="C423">
        <v>1</v>
      </c>
      <c r="D423">
        <v>1</v>
      </c>
      <c r="E423">
        <v>0</v>
      </c>
      <c r="F423" t="s">
        <v>32</v>
      </c>
      <c r="G423" t="s">
        <v>16</v>
      </c>
      <c r="H423" t="s">
        <v>18</v>
      </c>
      <c r="I423" t="s">
        <v>13</v>
      </c>
      <c r="J423">
        <v>1</v>
      </c>
    </row>
    <row r="424" spans="1:10" x14ac:dyDescent="0.3">
      <c r="A424" t="s">
        <v>9</v>
      </c>
      <c r="B424">
        <v>21</v>
      </c>
      <c r="C424">
        <v>0</v>
      </c>
      <c r="D424">
        <v>0</v>
      </c>
      <c r="E424">
        <v>1</v>
      </c>
      <c r="F424" t="s">
        <v>22</v>
      </c>
      <c r="G424" t="s">
        <v>11</v>
      </c>
      <c r="H424" t="s">
        <v>23</v>
      </c>
      <c r="I424" t="s">
        <v>13</v>
      </c>
      <c r="J424">
        <v>0</v>
      </c>
    </row>
    <row r="425" spans="1:10" x14ac:dyDescent="0.3">
      <c r="A425" t="s">
        <v>14</v>
      </c>
      <c r="B425">
        <v>38</v>
      </c>
      <c r="C425">
        <v>0</v>
      </c>
      <c r="D425">
        <v>0</v>
      </c>
      <c r="E425">
        <v>1</v>
      </c>
      <c r="F425" t="s">
        <v>38</v>
      </c>
      <c r="G425" t="s">
        <v>16</v>
      </c>
      <c r="H425" t="s">
        <v>12</v>
      </c>
      <c r="I425" t="s">
        <v>13</v>
      </c>
      <c r="J425">
        <v>0</v>
      </c>
    </row>
    <row r="426" spans="1:10" x14ac:dyDescent="0.3">
      <c r="A426" t="s">
        <v>14</v>
      </c>
      <c r="B426">
        <v>23</v>
      </c>
      <c r="C426">
        <v>1</v>
      </c>
      <c r="D426">
        <v>1</v>
      </c>
      <c r="E426">
        <v>1</v>
      </c>
      <c r="F426" t="s">
        <v>49</v>
      </c>
      <c r="G426" t="s">
        <v>11</v>
      </c>
      <c r="H426" t="s">
        <v>12</v>
      </c>
      <c r="I426" t="s">
        <v>13</v>
      </c>
      <c r="J426">
        <v>1</v>
      </c>
    </row>
    <row r="427" spans="1:10" x14ac:dyDescent="0.3">
      <c r="A427" t="s">
        <v>9</v>
      </c>
      <c r="B427">
        <v>15</v>
      </c>
      <c r="C427">
        <v>0</v>
      </c>
      <c r="D427">
        <v>0</v>
      </c>
      <c r="E427">
        <v>0</v>
      </c>
      <c r="F427" t="s">
        <v>10</v>
      </c>
      <c r="G427" t="s">
        <v>16</v>
      </c>
      <c r="H427" t="s">
        <v>18</v>
      </c>
      <c r="I427" t="s">
        <v>13</v>
      </c>
      <c r="J427">
        <v>0</v>
      </c>
    </row>
    <row r="428" spans="1:10" x14ac:dyDescent="0.3">
      <c r="A428" t="s">
        <v>9</v>
      </c>
      <c r="B428">
        <v>21</v>
      </c>
      <c r="C428">
        <v>0</v>
      </c>
      <c r="D428">
        <v>0</v>
      </c>
      <c r="E428">
        <v>0</v>
      </c>
      <c r="F428" t="s">
        <v>31</v>
      </c>
      <c r="G428" t="s">
        <v>11</v>
      </c>
      <c r="H428" t="s">
        <v>18</v>
      </c>
      <c r="I428" t="s">
        <v>13</v>
      </c>
      <c r="J428">
        <v>0</v>
      </c>
    </row>
    <row r="429" spans="1:10" x14ac:dyDescent="0.3">
      <c r="A429" t="s">
        <v>9</v>
      </c>
      <c r="B429">
        <v>31</v>
      </c>
      <c r="C429">
        <v>0</v>
      </c>
      <c r="D429">
        <v>0</v>
      </c>
      <c r="E429">
        <v>0</v>
      </c>
      <c r="F429" t="s">
        <v>28</v>
      </c>
      <c r="G429" t="s">
        <v>16</v>
      </c>
      <c r="H429" t="s">
        <v>18</v>
      </c>
      <c r="I429" t="s">
        <v>13</v>
      </c>
      <c r="J429">
        <v>0</v>
      </c>
    </row>
    <row r="430" spans="1:10" x14ac:dyDescent="0.3">
      <c r="A430" t="s">
        <v>9</v>
      </c>
      <c r="B430">
        <v>43</v>
      </c>
      <c r="C430">
        <v>1</v>
      </c>
      <c r="D430">
        <v>1</v>
      </c>
      <c r="E430">
        <v>0</v>
      </c>
      <c r="F430" t="s">
        <v>40</v>
      </c>
      <c r="G430" t="s">
        <v>11</v>
      </c>
      <c r="H430" t="s">
        <v>23</v>
      </c>
      <c r="I430" t="s">
        <v>13</v>
      </c>
      <c r="J430">
        <v>1</v>
      </c>
    </row>
    <row r="431" spans="1:10" x14ac:dyDescent="0.3">
      <c r="A431" t="s">
        <v>14</v>
      </c>
      <c r="B431">
        <v>29</v>
      </c>
      <c r="C431">
        <v>1</v>
      </c>
      <c r="D431">
        <v>1</v>
      </c>
      <c r="E431">
        <v>0</v>
      </c>
      <c r="F431" t="s">
        <v>37</v>
      </c>
      <c r="G431" t="s">
        <v>16</v>
      </c>
      <c r="H431" t="s">
        <v>23</v>
      </c>
      <c r="I431" t="s">
        <v>13</v>
      </c>
      <c r="J431">
        <v>1</v>
      </c>
    </row>
    <row r="432" spans="1:10" x14ac:dyDescent="0.3">
      <c r="A432" t="s">
        <v>9</v>
      </c>
      <c r="B432">
        <v>58</v>
      </c>
      <c r="C432">
        <v>0</v>
      </c>
      <c r="D432">
        <v>0</v>
      </c>
      <c r="E432">
        <v>1</v>
      </c>
      <c r="F432" t="s">
        <v>36</v>
      </c>
      <c r="G432" t="s">
        <v>11</v>
      </c>
      <c r="H432" t="s">
        <v>12</v>
      </c>
      <c r="I432" t="s">
        <v>13</v>
      </c>
      <c r="J432">
        <v>0</v>
      </c>
    </row>
    <row r="433" spans="1:10" x14ac:dyDescent="0.3">
      <c r="A433" t="s">
        <v>14</v>
      </c>
      <c r="B433">
        <v>27</v>
      </c>
      <c r="C433">
        <v>1</v>
      </c>
      <c r="D433">
        <v>1</v>
      </c>
      <c r="E433">
        <v>0</v>
      </c>
      <c r="F433" t="s">
        <v>46</v>
      </c>
      <c r="G433" t="s">
        <v>16</v>
      </c>
      <c r="H433" t="s">
        <v>12</v>
      </c>
      <c r="I433" t="s">
        <v>13</v>
      </c>
      <c r="J433">
        <v>1</v>
      </c>
    </row>
    <row r="434" spans="1:10" x14ac:dyDescent="0.3">
      <c r="A434" t="s">
        <v>14</v>
      </c>
      <c r="B434">
        <v>49</v>
      </c>
      <c r="C434">
        <v>0</v>
      </c>
      <c r="D434">
        <v>0</v>
      </c>
      <c r="E434">
        <v>0</v>
      </c>
      <c r="F434" t="s">
        <v>22</v>
      </c>
      <c r="G434" t="s">
        <v>11</v>
      </c>
      <c r="H434" t="s">
        <v>12</v>
      </c>
      <c r="I434" t="s">
        <v>13</v>
      </c>
      <c r="J434">
        <v>0</v>
      </c>
    </row>
    <row r="435" spans="1:10" x14ac:dyDescent="0.3">
      <c r="A435" t="s">
        <v>14</v>
      </c>
      <c r="B435">
        <v>43</v>
      </c>
      <c r="C435">
        <v>1</v>
      </c>
      <c r="D435">
        <v>1</v>
      </c>
      <c r="E435">
        <v>1</v>
      </c>
      <c r="F435" t="s">
        <v>28</v>
      </c>
      <c r="G435" t="s">
        <v>16</v>
      </c>
      <c r="H435" t="s">
        <v>12</v>
      </c>
      <c r="I435" t="s">
        <v>13</v>
      </c>
      <c r="J435">
        <v>1</v>
      </c>
    </row>
    <row r="436" spans="1:10" x14ac:dyDescent="0.3">
      <c r="A436" t="s">
        <v>14</v>
      </c>
      <c r="B436">
        <v>42</v>
      </c>
      <c r="C436">
        <v>1</v>
      </c>
      <c r="D436">
        <v>1</v>
      </c>
      <c r="E436">
        <v>0</v>
      </c>
      <c r="F436" t="s">
        <v>50</v>
      </c>
      <c r="G436" t="s">
        <v>11</v>
      </c>
      <c r="H436" t="s">
        <v>18</v>
      </c>
      <c r="I436" t="s">
        <v>13</v>
      </c>
      <c r="J436">
        <v>1</v>
      </c>
    </row>
    <row r="437" spans="1:10" x14ac:dyDescent="0.3">
      <c r="A437" t="s">
        <v>9</v>
      </c>
      <c r="B437">
        <v>18</v>
      </c>
      <c r="C437">
        <v>1</v>
      </c>
      <c r="D437">
        <v>1</v>
      </c>
      <c r="E437">
        <v>0</v>
      </c>
      <c r="F437" t="s">
        <v>47</v>
      </c>
      <c r="G437" t="s">
        <v>16</v>
      </c>
      <c r="H437" t="s">
        <v>12</v>
      </c>
      <c r="I437" t="s">
        <v>13</v>
      </c>
      <c r="J437">
        <v>1</v>
      </c>
    </row>
    <row r="438" spans="1:10" x14ac:dyDescent="0.3">
      <c r="A438" t="s">
        <v>14</v>
      </c>
      <c r="B438">
        <v>15</v>
      </c>
      <c r="C438">
        <v>1</v>
      </c>
      <c r="D438">
        <v>1</v>
      </c>
      <c r="E438">
        <v>0</v>
      </c>
      <c r="F438" t="s">
        <v>52</v>
      </c>
      <c r="G438" t="s">
        <v>11</v>
      </c>
      <c r="H438" t="s">
        <v>23</v>
      </c>
      <c r="I438" t="s">
        <v>13</v>
      </c>
      <c r="J438">
        <v>1</v>
      </c>
    </row>
    <row r="439" spans="1:10" x14ac:dyDescent="0.3">
      <c r="A439" t="s">
        <v>14</v>
      </c>
      <c r="B439">
        <v>22</v>
      </c>
      <c r="C439">
        <v>1</v>
      </c>
      <c r="D439">
        <v>1</v>
      </c>
      <c r="E439">
        <v>0</v>
      </c>
      <c r="F439" t="s">
        <v>28</v>
      </c>
      <c r="G439" t="s">
        <v>16</v>
      </c>
      <c r="H439" t="s">
        <v>12</v>
      </c>
      <c r="I439" t="s">
        <v>13</v>
      </c>
      <c r="J439">
        <v>1</v>
      </c>
    </row>
    <row r="440" spans="1:10" x14ac:dyDescent="0.3">
      <c r="A440" t="s">
        <v>14</v>
      </c>
      <c r="B440">
        <v>31</v>
      </c>
      <c r="C440">
        <v>1</v>
      </c>
      <c r="D440">
        <v>1</v>
      </c>
      <c r="E440">
        <v>0</v>
      </c>
      <c r="F440" t="s">
        <v>37</v>
      </c>
      <c r="G440" t="s">
        <v>11</v>
      </c>
      <c r="H440" t="s">
        <v>23</v>
      </c>
      <c r="I440" t="s">
        <v>13</v>
      </c>
      <c r="J440">
        <v>1</v>
      </c>
    </row>
    <row r="441" spans="1:10" x14ac:dyDescent="0.3">
      <c r="A441" t="s">
        <v>9</v>
      </c>
      <c r="B441">
        <v>26</v>
      </c>
      <c r="C441">
        <v>0</v>
      </c>
      <c r="D441">
        <v>0</v>
      </c>
      <c r="E441">
        <v>1</v>
      </c>
      <c r="F441" t="s">
        <v>33</v>
      </c>
      <c r="G441" t="s">
        <v>16</v>
      </c>
      <c r="H441" t="s">
        <v>12</v>
      </c>
      <c r="I441" t="s">
        <v>13</v>
      </c>
      <c r="J441">
        <v>0</v>
      </c>
    </row>
    <row r="442" spans="1:10" x14ac:dyDescent="0.3">
      <c r="A442" t="s">
        <v>14</v>
      </c>
      <c r="B442">
        <v>11</v>
      </c>
      <c r="C442">
        <v>1</v>
      </c>
      <c r="D442">
        <v>1</v>
      </c>
      <c r="E442">
        <v>1</v>
      </c>
      <c r="F442" t="s">
        <v>10</v>
      </c>
      <c r="G442" t="s">
        <v>11</v>
      </c>
      <c r="H442" t="s">
        <v>23</v>
      </c>
      <c r="I442" t="s">
        <v>13</v>
      </c>
      <c r="J442">
        <v>1</v>
      </c>
    </row>
    <row r="443" spans="1:10" x14ac:dyDescent="0.3">
      <c r="A443" t="s">
        <v>14</v>
      </c>
      <c r="B443">
        <v>47</v>
      </c>
      <c r="C443">
        <v>1</v>
      </c>
      <c r="D443">
        <v>1</v>
      </c>
      <c r="E443">
        <v>1</v>
      </c>
      <c r="F443" t="s">
        <v>10</v>
      </c>
      <c r="G443" t="s">
        <v>16</v>
      </c>
      <c r="H443" t="s">
        <v>23</v>
      </c>
      <c r="I443" t="s">
        <v>13</v>
      </c>
      <c r="J443">
        <v>1</v>
      </c>
    </row>
    <row r="444" spans="1:10" x14ac:dyDescent="0.3">
      <c r="A444" t="s">
        <v>9</v>
      </c>
      <c r="B444">
        <v>20</v>
      </c>
      <c r="C444">
        <v>0</v>
      </c>
      <c r="D444">
        <v>0</v>
      </c>
      <c r="E444">
        <v>1</v>
      </c>
      <c r="F444" t="s">
        <v>40</v>
      </c>
      <c r="G444" t="s">
        <v>11</v>
      </c>
      <c r="H444" t="s">
        <v>12</v>
      </c>
      <c r="I444" t="s">
        <v>13</v>
      </c>
      <c r="J444">
        <v>0</v>
      </c>
    </row>
    <row r="445" spans="1:10" x14ac:dyDescent="0.3">
      <c r="A445" t="s">
        <v>14</v>
      </c>
      <c r="B445">
        <v>58</v>
      </c>
      <c r="C445">
        <v>0</v>
      </c>
      <c r="D445">
        <v>0</v>
      </c>
      <c r="E445">
        <v>1</v>
      </c>
      <c r="F445" t="s">
        <v>44</v>
      </c>
      <c r="G445" t="s">
        <v>16</v>
      </c>
      <c r="H445" t="s">
        <v>12</v>
      </c>
      <c r="I445" t="s">
        <v>13</v>
      </c>
      <c r="J445">
        <v>0</v>
      </c>
    </row>
    <row r="446" spans="1:10" x14ac:dyDescent="0.3">
      <c r="A446" t="s">
        <v>14</v>
      </c>
      <c r="B446">
        <v>62</v>
      </c>
      <c r="C446">
        <v>1</v>
      </c>
      <c r="D446">
        <v>1</v>
      </c>
      <c r="E446">
        <v>0</v>
      </c>
      <c r="F446" t="s">
        <v>44</v>
      </c>
      <c r="G446" t="s">
        <v>11</v>
      </c>
      <c r="H446" t="s">
        <v>18</v>
      </c>
      <c r="I446" t="s">
        <v>13</v>
      </c>
      <c r="J446">
        <v>1</v>
      </c>
    </row>
    <row r="447" spans="1:10" x14ac:dyDescent="0.3">
      <c r="A447" t="s">
        <v>9</v>
      </c>
      <c r="B447">
        <v>27</v>
      </c>
      <c r="C447">
        <v>0</v>
      </c>
      <c r="D447">
        <v>0</v>
      </c>
      <c r="E447">
        <v>1</v>
      </c>
      <c r="F447" t="s">
        <v>37</v>
      </c>
      <c r="G447" t="s">
        <v>16</v>
      </c>
      <c r="H447" t="s">
        <v>18</v>
      </c>
      <c r="I447" t="s">
        <v>13</v>
      </c>
      <c r="J447">
        <v>0</v>
      </c>
    </row>
    <row r="448" spans="1:10" x14ac:dyDescent="0.3">
      <c r="A448" t="s">
        <v>9</v>
      </c>
      <c r="B448">
        <v>49</v>
      </c>
      <c r="C448">
        <v>1</v>
      </c>
      <c r="D448">
        <v>1</v>
      </c>
      <c r="E448">
        <v>1</v>
      </c>
      <c r="F448" t="s">
        <v>46</v>
      </c>
      <c r="G448" t="s">
        <v>11</v>
      </c>
      <c r="H448" t="s">
        <v>23</v>
      </c>
      <c r="I448" t="s">
        <v>13</v>
      </c>
      <c r="J448">
        <v>1</v>
      </c>
    </row>
    <row r="449" spans="1:10" x14ac:dyDescent="0.3">
      <c r="A449" t="s">
        <v>9</v>
      </c>
      <c r="B449">
        <v>30</v>
      </c>
      <c r="C449">
        <v>1</v>
      </c>
      <c r="D449">
        <v>1</v>
      </c>
      <c r="E449">
        <v>0</v>
      </c>
      <c r="F449" t="s">
        <v>41</v>
      </c>
      <c r="G449" t="s">
        <v>16</v>
      </c>
      <c r="H449" t="s">
        <v>18</v>
      </c>
      <c r="I449" t="s">
        <v>13</v>
      </c>
      <c r="J449">
        <v>1</v>
      </c>
    </row>
    <row r="450" spans="1:10" x14ac:dyDescent="0.3">
      <c r="A450" t="s">
        <v>14</v>
      </c>
      <c r="B450">
        <v>61</v>
      </c>
      <c r="C450">
        <v>1</v>
      </c>
      <c r="D450">
        <v>1</v>
      </c>
      <c r="E450">
        <v>1</v>
      </c>
      <c r="F450" t="s">
        <v>20</v>
      </c>
      <c r="G450" t="s">
        <v>11</v>
      </c>
      <c r="H450" t="s">
        <v>18</v>
      </c>
      <c r="I450" t="s">
        <v>13</v>
      </c>
      <c r="J450">
        <v>1</v>
      </c>
    </row>
    <row r="451" spans="1:10" x14ac:dyDescent="0.3">
      <c r="A451" t="s">
        <v>9</v>
      </c>
      <c r="B451">
        <v>31</v>
      </c>
      <c r="C451">
        <v>1</v>
      </c>
      <c r="D451">
        <v>1</v>
      </c>
      <c r="E451">
        <v>1</v>
      </c>
      <c r="F451" t="s">
        <v>45</v>
      </c>
      <c r="G451" t="s">
        <v>16</v>
      </c>
      <c r="H451" t="s">
        <v>12</v>
      </c>
      <c r="I451" t="s">
        <v>13</v>
      </c>
      <c r="J451">
        <v>1</v>
      </c>
    </row>
    <row r="452" spans="1:10" x14ac:dyDescent="0.3">
      <c r="A452" t="s">
        <v>9</v>
      </c>
      <c r="B452">
        <v>64</v>
      </c>
      <c r="C452">
        <v>0</v>
      </c>
      <c r="D452">
        <v>0</v>
      </c>
      <c r="E452">
        <v>1</v>
      </c>
      <c r="F452" t="s">
        <v>19</v>
      </c>
      <c r="G452" t="s">
        <v>11</v>
      </c>
      <c r="H452" t="s">
        <v>18</v>
      </c>
      <c r="I452" t="s">
        <v>13</v>
      </c>
      <c r="J452">
        <v>0</v>
      </c>
    </row>
    <row r="453" spans="1:10" x14ac:dyDescent="0.3">
      <c r="A453" t="s">
        <v>9</v>
      </c>
      <c r="B453">
        <v>37</v>
      </c>
      <c r="C453">
        <v>0</v>
      </c>
      <c r="D453">
        <v>0</v>
      </c>
      <c r="E453">
        <v>1</v>
      </c>
      <c r="F453" t="s">
        <v>25</v>
      </c>
      <c r="G453" t="s">
        <v>16</v>
      </c>
      <c r="H453" t="s">
        <v>18</v>
      </c>
      <c r="I453" t="s">
        <v>13</v>
      </c>
      <c r="J453">
        <v>0</v>
      </c>
    </row>
    <row r="454" spans="1:10" x14ac:dyDescent="0.3">
      <c r="A454" t="s">
        <v>14</v>
      </c>
      <c r="B454">
        <v>45</v>
      </c>
      <c r="C454">
        <v>1</v>
      </c>
      <c r="D454">
        <v>1</v>
      </c>
      <c r="E454">
        <v>0</v>
      </c>
      <c r="F454" t="s">
        <v>51</v>
      </c>
      <c r="G454" t="s">
        <v>11</v>
      </c>
      <c r="H454" t="s">
        <v>18</v>
      </c>
      <c r="I454" t="s">
        <v>13</v>
      </c>
      <c r="J454">
        <v>1</v>
      </c>
    </row>
    <row r="455" spans="1:10" x14ac:dyDescent="0.3">
      <c r="A455" t="s">
        <v>14</v>
      </c>
      <c r="B455">
        <v>47</v>
      </c>
      <c r="C455">
        <v>1</v>
      </c>
      <c r="D455">
        <v>1</v>
      </c>
      <c r="E455">
        <v>0</v>
      </c>
      <c r="F455" t="s">
        <v>48</v>
      </c>
      <c r="G455" t="s">
        <v>16</v>
      </c>
      <c r="H455" t="s">
        <v>18</v>
      </c>
      <c r="I455" t="s">
        <v>13</v>
      </c>
      <c r="J455">
        <v>1</v>
      </c>
    </row>
    <row r="456" spans="1:10" x14ac:dyDescent="0.3">
      <c r="A456" t="s">
        <v>9</v>
      </c>
      <c r="B456">
        <v>34</v>
      </c>
      <c r="C456">
        <v>0</v>
      </c>
      <c r="D456">
        <v>0</v>
      </c>
      <c r="E456">
        <v>0</v>
      </c>
      <c r="F456" t="s">
        <v>38</v>
      </c>
      <c r="G456" t="s">
        <v>11</v>
      </c>
      <c r="H456" t="s">
        <v>23</v>
      </c>
      <c r="I456" t="s">
        <v>13</v>
      </c>
      <c r="J456">
        <v>0</v>
      </c>
    </row>
    <row r="457" spans="1:10" x14ac:dyDescent="0.3">
      <c r="A457" t="s">
        <v>14</v>
      </c>
      <c r="B457">
        <v>37</v>
      </c>
      <c r="C457">
        <v>1</v>
      </c>
      <c r="D457">
        <v>1</v>
      </c>
      <c r="E457">
        <v>1</v>
      </c>
      <c r="F457" t="s">
        <v>50</v>
      </c>
      <c r="G457" t="s">
        <v>16</v>
      </c>
      <c r="H457" t="s">
        <v>18</v>
      </c>
      <c r="I457" t="s">
        <v>13</v>
      </c>
      <c r="J457">
        <v>1</v>
      </c>
    </row>
    <row r="458" spans="1:10" x14ac:dyDescent="0.3">
      <c r="A458" t="s">
        <v>9</v>
      </c>
      <c r="B458">
        <v>17</v>
      </c>
      <c r="C458">
        <v>0</v>
      </c>
      <c r="D458">
        <v>0</v>
      </c>
      <c r="E458">
        <v>0</v>
      </c>
      <c r="F458" t="s">
        <v>24</v>
      </c>
      <c r="G458" t="s">
        <v>11</v>
      </c>
      <c r="H458" t="s">
        <v>12</v>
      </c>
      <c r="I458" t="s">
        <v>13</v>
      </c>
      <c r="J458">
        <v>0</v>
      </c>
    </row>
    <row r="459" spans="1:10" x14ac:dyDescent="0.3">
      <c r="A459" t="s">
        <v>14</v>
      </c>
      <c r="B459">
        <v>38</v>
      </c>
      <c r="C459">
        <v>0</v>
      </c>
      <c r="D459">
        <v>1</v>
      </c>
      <c r="E459">
        <v>0</v>
      </c>
      <c r="F459" t="s">
        <v>27</v>
      </c>
      <c r="G459" t="s">
        <v>16</v>
      </c>
      <c r="H459" t="s">
        <v>12</v>
      </c>
      <c r="I459" t="s">
        <v>13</v>
      </c>
      <c r="J459">
        <v>1</v>
      </c>
    </row>
    <row r="460" spans="1:10" x14ac:dyDescent="0.3">
      <c r="A460" t="s">
        <v>9</v>
      </c>
      <c r="B460">
        <v>13</v>
      </c>
      <c r="C460">
        <v>0</v>
      </c>
      <c r="D460">
        <v>0</v>
      </c>
      <c r="E460">
        <v>0</v>
      </c>
      <c r="F460" t="s">
        <v>30</v>
      </c>
      <c r="G460" t="s">
        <v>11</v>
      </c>
      <c r="H460" t="s">
        <v>23</v>
      </c>
      <c r="I460" t="s">
        <v>13</v>
      </c>
      <c r="J460">
        <v>0</v>
      </c>
    </row>
    <row r="461" spans="1:10" x14ac:dyDescent="0.3">
      <c r="A461" t="s">
        <v>9</v>
      </c>
      <c r="B461">
        <v>52</v>
      </c>
      <c r="C461">
        <v>1</v>
      </c>
      <c r="D461">
        <v>1</v>
      </c>
      <c r="E461">
        <v>1</v>
      </c>
      <c r="F461" t="s">
        <v>48</v>
      </c>
      <c r="G461" t="s">
        <v>16</v>
      </c>
      <c r="H461" t="s">
        <v>23</v>
      </c>
      <c r="I461" t="s">
        <v>13</v>
      </c>
      <c r="J461">
        <v>1</v>
      </c>
    </row>
    <row r="462" spans="1:10" x14ac:dyDescent="0.3">
      <c r="A462" t="s">
        <v>9</v>
      </c>
      <c r="B462">
        <v>50</v>
      </c>
      <c r="C462">
        <v>0</v>
      </c>
      <c r="D462">
        <v>0</v>
      </c>
      <c r="E462">
        <v>0</v>
      </c>
      <c r="F462" t="s">
        <v>35</v>
      </c>
      <c r="G462" t="s">
        <v>11</v>
      </c>
      <c r="H462" t="s">
        <v>23</v>
      </c>
      <c r="I462" t="s">
        <v>13</v>
      </c>
      <c r="J462">
        <v>0</v>
      </c>
    </row>
    <row r="463" spans="1:10" x14ac:dyDescent="0.3">
      <c r="A463" t="s">
        <v>14</v>
      </c>
      <c r="B463">
        <v>35</v>
      </c>
      <c r="C463">
        <v>0</v>
      </c>
      <c r="D463">
        <v>0</v>
      </c>
      <c r="E463">
        <v>0</v>
      </c>
      <c r="F463" t="s">
        <v>29</v>
      </c>
      <c r="G463" t="s">
        <v>16</v>
      </c>
      <c r="H463" t="s">
        <v>12</v>
      </c>
      <c r="I463" t="s">
        <v>13</v>
      </c>
      <c r="J463">
        <v>0</v>
      </c>
    </row>
    <row r="464" spans="1:10" x14ac:dyDescent="0.3">
      <c r="A464" t="s">
        <v>14</v>
      </c>
      <c r="B464">
        <v>14</v>
      </c>
      <c r="C464">
        <v>1</v>
      </c>
      <c r="D464">
        <v>1</v>
      </c>
      <c r="E464">
        <v>1</v>
      </c>
      <c r="F464" t="s">
        <v>47</v>
      </c>
      <c r="G464" t="s">
        <v>11</v>
      </c>
      <c r="H464" t="s">
        <v>18</v>
      </c>
      <c r="I464" t="s">
        <v>13</v>
      </c>
      <c r="J464">
        <v>1</v>
      </c>
    </row>
    <row r="465" spans="1:10" x14ac:dyDescent="0.3">
      <c r="A465" t="s">
        <v>9</v>
      </c>
      <c r="B465">
        <v>31</v>
      </c>
      <c r="C465">
        <v>0</v>
      </c>
      <c r="D465">
        <v>0</v>
      </c>
      <c r="E465">
        <v>1</v>
      </c>
      <c r="F465" t="s">
        <v>26</v>
      </c>
      <c r="G465" t="s">
        <v>16</v>
      </c>
      <c r="H465" t="s">
        <v>12</v>
      </c>
      <c r="I465" t="s">
        <v>13</v>
      </c>
      <c r="J465">
        <v>0</v>
      </c>
    </row>
    <row r="466" spans="1:10" x14ac:dyDescent="0.3">
      <c r="A466" t="s">
        <v>9</v>
      </c>
      <c r="B466">
        <v>23</v>
      </c>
      <c r="C466">
        <v>1</v>
      </c>
      <c r="D466">
        <v>1</v>
      </c>
      <c r="E466">
        <v>0</v>
      </c>
      <c r="F466" t="s">
        <v>30</v>
      </c>
      <c r="G466" t="s">
        <v>11</v>
      </c>
      <c r="H466" t="s">
        <v>23</v>
      </c>
      <c r="I466" t="s">
        <v>13</v>
      </c>
      <c r="J466">
        <v>1</v>
      </c>
    </row>
    <row r="467" spans="1:10" x14ac:dyDescent="0.3">
      <c r="A467" t="s">
        <v>14</v>
      </c>
      <c r="B467">
        <v>32</v>
      </c>
      <c r="C467">
        <v>0</v>
      </c>
      <c r="D467">
        <v>0</v>
      </c>
      <c r="E467">
        <v>0</v>
      </c>
      <c r="F467" t="s">
        <v>46</v>
      </c>
      <c r="G467" t="s">
        <v>16</v>
      </c>
      <c r="H467" t="s">
        <v>23</v>
      </c>
      <c r="I467" t="s">
        <v>13</v>
      </c>
      <c r="J467">
        <v>0</v>
      </c>
    </row>
    <row r="468" spans="1:10" x14ac:dyDescent="0.3">
      <c r="A468" t="s">
        <v>14</v>
      </c>
      <c r="B468">
        <v>39</v>
      </c>
      <c r="C468">
        <v>1</v>
      </c>
      <c r="D468">
        <v>1</v>
      </c>
      <c r="E468">
        <v>0</v>
      </c>
      <c r="F468" t="s">
        <v>20</v>
      </c>
      <c r="G468" t="s">
        <v>11</v>
      </c>
      <c r="H468" t="s">
        <v>23</v>
      </c>
      <c r="I468" t="s">
        <v>13</v>
      </c>
      <c r="J468">
        <v>1</v>
      </c>
    </row>
    <row r="469" spans="1:10" x14ac:dyDescent="0.3">
      <c r="A469" t="s">
        <v>9</v>
      </c>
      <c r="B469">
        <v>53</v>
      </c>
      <c r="C469">
        <v>0</v>
      </c>
      <c r="D469">
        <v>0</v>
      </c>
      <c r="E469">
        <v>0</v>
      </c>
      <c r="F469" t="s">
        <v>44</v>
      </c>
      <c r="G469" t="s">
        <v>16</v>
      </c>
      <c r="H469" t="s">
        <v>12</v>
      </c>
      <c r="I469" t="s">
        <v>13</v>
      </c>
      <c r="J469">
        <v>0</v>
      </c>
    </row>
    <row r="470" spans="1:10" x14ac:dyDescent="0.3">
      <c r="A470" t="s">
        <v>14</v>
      </c>
      <c r="B470">
        <v>29</v>
      </c>
      <c r="C470">
        <v>0</v>
      </c>
      <c r="D470">
        <v>0</v>
      </c>
      <c r="E470">
        <v>1</v>
      </c>
      <c r="F470" t="s">
        <v>30</v>
      </c>
      <c r="G470" t="s">
        <v>11</v>
      </c>
      <c r="H470" t="s">
        <v>18</v>
      </c>
      <c r="I470" t="s">
        <v>13</v>
      </c>
      <c r="J470">
        <v>0</v>
      </c>
    </row>
    <row r="471" spans="1:10" x14ac:dyDescent="0.3">
      <c r="A471" t="s">
        <v>14</v>
      </c>
      <c r="B471">
        <v>51</v>
      </c>
      <c r="C471">
        <v>1</v>
      </c>
      <c r="D471">
        <v>1</v>
      </c>
      <c r="E471">
        <v>1</v>
      </c>
      <c r="F471" t="s">
        <v>40</v>
      </c>
      <c r="G471" t="s">
        <v>16</v>
      </c>
      <c r="H471" t="s">
        <v>18</v>
      </c>
      <c r="I471" t="s">
        <v>13</v>
      </c>
      <c r="J471">
        <v>1</v>
      </c>
    </row>
    <row r="472" spans="1:10" x14ac:dyDescent="0.3">
      <c r="A472" t="s">
        <v>14</v>
      </c>
      <c r="B472">
        <v>11</v>
      </c>
      <c r="C472">
        <v>0</v>
      </c>
      <c r="D472">
        <v>0</v>
      </c>
      <c r="E472">
        <v>1</v>
      </c>
      <c r="F472" t="s">
        <v>34</v>
      </c>
      <c r="G472" t="s">
        <v>11</v>
      </c>
      <c r="H472" t="s">
        <v>18</v>
      </c>
      <c r="I472" t="s">
        <v>13</v>
      </c>
      <c r="J472">
        <v>0</v>
      </c>
    </row>
    <row r="473" spans="1:10" x14ac:dyDescent="0.3">
      <c r="A473" t="s">
        <v>9</v>
      </c>
      <c r="B473">
        <v>29</v>
      </c>
      <c r="C473">
        <v>1</v>
      </c>
      <c r="D473">
        <v>1</v>
      </c>
      <c r="E473">
        <v>1</v>
      </c>
      <c r="F473" t="s">
        <v>50</v>
      </c>
      <c r="G473" t="s">
        <v>16</v>
      </c>
      <c r="H473" t="s">
        <v>12</v>
      </c>
      <c r="I473" t="s">
        <v>13</v>
      </c>
      <c r="J473">
        <v>1</v>
      </c>
    </row>
    <row r="474" spans="1:10" x14ac:dyDescent="0.3">
      <c r="A474" t="s">
        <v>14</v>
      </c>
      <c r="B474">
        <v>45</v>
      </c>
      <c r="C474">
        <v>1</v>
      </c>
      <c r="D474">
        <v>1</v>
      </c>
      <c r="E474">
        <v>0</v>
      </c>
      <c r="F474" t="s">
        <v>29</v>
      </c>
      <c r="G474" t="s">
        <v>11</v>
      </c>
      <c r="H474" t="s">
        <v>12</v>
      </c>
      <c r="I474" t="s">
        <v>13</v>
      </c>
      <c r="J474">
        <v>1</v>
      </c>
    </row>
    <row r="475" spans="1:10" x14ac:dyDescent="0.3">
      <c r="A475" t="s">
        <v>14</v>
      </c>
      <c r="B475">
        <v>19</v>
      </c>
      <c r="C475">
        <v>0</v>
      </c>
      <c r="D475">
        <v>0</v>
      </c>
      <c r="E475">
        <v>0</v>
      </c>
      <c r="F475" t="s">
        <v>48</v>
      </c>
      <c r="G475" t="s">
        <v>16</v>
      </c>
      <c r="H475" t="s">
        <v>12</v>
      </c>
      <c r="I475" t="s">
        <v>13</v>
      </c>
      <c r="J475">
        <v>0</v>
      </c>
    </row>
    <row r="476" spans="1:10" x14ac:dyDescent="0.3">
      <c r="A476" t="s">
        <v>14</v>
      </c>
      <c r="B476">
        <v>24</v>
      </c>
      <c r="C476">
        <v>1</v>
      </c>
      <c r="D476">
        <v>1</v>
      </c>
      <c r="E476">
        <v>0</v>
      </c>
      <c r="F476" t="s">
        <v>47</v>
      </c>
      <c r="G476" t="s">
        <v>11</v>
      </c>
      <c r="H476" t="s">
        <v>23</v>
      </c>
      <c r="I476" t="s">
        <v>13</v>
      </c>
      <c r="J476">
        <v>1</v>
      </c>
    </row>
    <row r="477" spans="1:10" x14ac:dyDescent="0.3">
      <c r="A477" t="s">
        <v>14</v>
      </c>
      <c r="B477">
        <v>48</v>
      </c>
      <c r="C477">
        <v>0</v>
      </c>
      <c r="D477">
        <v>0</v>
      </c>
      <c r="E477">
        <v>0</v>
      </c>
      <c r="F477" t="s">
        <v>43</v>
      </c>
      <c r="G477" t="s">
        <v>16</v>
      </c>
      <c r="H477" t="s">
        <v>12</v>
      </c>
      <c r="I477" t="s">
        <v>13</v>
      </c>
      <c r="J477">
        <v>0</v>
      </c>
    </row>
    <row r="478" spans="1:10" x14ac:dyDescent="0.3">
      <c r="A478" t="s">
        <v>9</v>
      </c>
      <c r="B478">
        <v>53</v>
      </c>
      <c r="C478">
        <v>1</v>
      </c>
      <c r="D478">
        <v>1</v>
      </c>
      <c r="E478">
        <v>0</v>
      </c>
      <c r="F478" t="s">
        <v>41</v>
      </c>
      <c r="G478" t="s">
        <v>11</v>
      </c>
      <c r="H478" t="s">
        <v>23</v>
      </c>
      <c r="I478" t="s">
        <v>13</v>
      </c>
      <c r="J478">
        <v>1</v>
      </c>
    </row>
    <row r="479" spans="1:10" x14ac:dyDescent="0.3">
      <c r="A479" t="s">
        <v>9</v>
      </c>
      <c r="B479">
        <v>33</v>
      </c>
      <c r="C479">
        <v>1</v>
      </c>
      <c r="D479">
        <v>1</v>
      </c>
      <c r="E479">
        <v>0</v>
      </c>
      <c r="F479" t="s">
        <v>39</v>
      </c>
      <c r="G479" t="s">
        <v>16</v>
      </c>
      <c r="H479" t="s">
        <v>23</v>
      </c>
      <c r="I479" t="s">
        <v>13</v>
      </c>
      <c r="J479">
        <v>1</v>
      </c>
    </row>
    <row r="480" spans="1:10" x14ac:dyDescent="0.3">
      <c r="A480" t="s">
        <v>14</v>
      </c>
      <c r="B480">
        <v>41</v>
      </c>
      <c r="C480">
        <v>1</v>
      </c>
      <c r="D480">
        <v>1</v>
      </c>
      <c r="E480">
        <v>1</v>
      </c>
      <c r="F480" t="s">
        <v>26</v>
      </c>
      <c r="G480" t="s">
        <v>11</v>
      </c>
      <c r="H480" t="s">
        <v>23</v>
      </c>
      <c r="I480" t="s">
        <v>13</v>
      </c>
      <c r="J480">
        <v>1</v>
      </c>
    </row>
    <row r="481" spans="1:10" x14ac:dyDescent="0.3">
      <c r="A481" t="s">
        <v>9</v>
      </c>
      <c r="B481">
        <v>35</v>
      </c>
      <c r="C481">
        <v>0</v>
      </c>
      <c r="D481">
        <v>0</v>
      </c>
      <c r="E481">
        <v>1</v>
      </c>
      <c r="F481" t="s">
        <v>21</v>
      </c>
      <c r="G481" t="s">
        <v>16</v>
      </c>
      <c r="H481" t="s">
        <v>12</v>
      </c>
      <c r="I481" t="s">
        <v>13</v>
      </c>
      <c r="J481">
        <v>0</v>
      </c>
    </row>
    <row r="482" spans="1:10" x14ac:dyDescent="0.3">
      <c r="A482" t="s">
        <v>14</v>
      </c>
      <c r="B482">
        <v>63</v>
      </c>
      <c r="C482">
        <v>0</v>
      </c>
      <c r="D482">
        <v>0</v>
      </c>
      <c r="E482">
        <v>0</v>
      </c>
      <c r="F482" t="s">
        <v>21</v>
      </c>
      <c r="G482" t="s">
        <v>11</v>
      </c>
      <c r="H482" t="s">
        <v>23</v>
      </c>
      <c r="I482" t="s">
        <v>13</v>
      </c>
      <c r="J482">
        <v>0</v>
      </c>
    </row>
    <row r="483" spans="1:10" x14ac:dyDescent="0.3">
      <c r="A483" t="s">
        <v>9</v>
      </c>
      <c r="B483">
        <v>54</v>
      </c>
      <c r="C483">
        <v>1</v>
      </c>
      <c r="D483">
        <v>1</v>
      </c>
      <c r="E483">
        <v>0</v>
      </c>
      <c r="F483" t="s">
        <v>32</v>
      </c>
      <c r="G483" t="s">
        <v>16</v>
      </c>
      <c r="H483" t="s">
        <v>23</v>
      </c>
      <c r="I483" t="s">
        <v>13</v>
      </c>
      <c r="J483">
        <v>1</v>
      </c>
    </row>
    <row r="484" spans="1:10" x14ac:dyDescent="0.3">
      <c r="A484" t="s">
        <v>9</v>
      </c>
      <c r="B484">
        <v>40</v>
      </c>
      <c r="C484">
        <v>1</v>
      </c>
      <c r="D484">
        <v>1</v>
      </c>
      <c r="E484">
        <v>1</v>
      </c>
      <c r="F484" t="s">
        <v>42</v>
      </c>
      <c r="G484" t="s">
        <v>11</v>
      </c>
      <c r="H484" t="s">
        <v>23</v>
      </c>
      <c r="I484" t="s">
        <v>13</v>
      </c>
      <c r="J484">
        <v>1</v>
      </c>
    </row>
    <row r="485" spans="1:10" x14ac:dyDescent="0.3">
      <c r="A485" t="s">
        <v>9</v>
      </c>
      <c r="B485">
        <v>23</v>
      </c>
      <c r="C485">
        <v>0</v>
      </c>
      <c r="D485">
        <v>0</v>
      </c>
      <c r="E485">
        <v>1</v>
      </c>
      <c r="F485" t="s">
        <v>51</v>
      </c>
      <c r="G485" t="s">
        <v>16</v>
      </c>
      <c r="H485" t="s">
        <v>18</v>
      </c>
      <c r="I485" t="s">
        <v>13</v>
      </c>
      <c r="J485">
        <v>0</v>
      </c>
    </row>
    <row r="486" spans="1:10" x14ac:dyDescent="0.3">
      <c r="A486" t="s">
        <v>9</v>
      </c>
      <c r="B486">
        <v>55</v>
      </c>
      <c r="C486">
        <v>0</v>
      </c>
      <c r="D486">
        <v>0</v>
      </c>
      <c r="E486">
        <v>0</v>
      </c>
      <c r="F486" t="s">
        <v>26</v>
      </c>
      <c r="G486" t="s">
        <v>11</v>
      </c>
      <c r="H486" t="s">
        <v>18</v>
      </c>
      <c r="I486" t="s">
        <v>13</v>
      </c>
      <c r="J486">
        <v>0</v>
      </c>
    </row>
    <row r="487" spans="1:10" x14ac:dyDescent="0.3">
      <c r="A487" t="s">
        <v>9</v>
      </c>
      <c r="B487">
        <v>32</v>
      </c>
      <c r="C487">
        <v>0</v>
      </c>
      <c r="D487">
        <v>0</v>
      </c>
      <c r="E487">
        <v>0</v>
      </c>
      <c r="F487" t="s">
        <v>41</v>
      </c>
      <c r="G487" t="s">
        <v>16</v>
      </c>
      <c r="H487" t="s">
        <v>18</v>
      </c>
      <c r="I487" t="s">
        <v>13</v>
      </c>
      <c r="J487">
        <v>0</v>
      </c>
    </row>
    <row r="488" spans="1:10" x14ac:dyDescent="0.3">
      <c r="A488" t="s">
        <v>14</v>
      </c>
      <c r="B488">
        <v>13</v>
      </c>
      <c r="C488">
        <v>0</v>
      </c>
      <c r="D488">
        <v>0</v>
      </c>
      <c r="E488">
        <v>1</v>
      </c>
      <c r="F488" t="s">
        <v>20</v>
      </c>
      <c r="G488" t="s">
        <v>11</v>
      </c>
      <c r="H488" t="s">
        <v>23</v>
      </c>
      <c r="I488" t="s">
        <v>13</v>
      </c>
      <c r="J488">
        <v>0</v>
      </c>
    </row>
    <row r="489" spans="1:10" x14ac:dyDescent="0.3">
      <c r="A489" t="s">
        <v>14</v>
      </c>
      <c r="B489">
        <v>44</v>
      </c>
      <c r="C489">
        <v>1</v>
      </c>
      <c r="D489">
        <v>1</v>
      </c>
      <c r="E489">
        <v>0</v>
      </c>
      <c r="F489" t="s">
        <v>39</v>
      </c>
      <c r="G489" t="s">
        <v>16</v>
      </c>
      <c r="H489" t="s">
        <v>12</v>
      </c>
      <c r="I489" t="s">
        <v>13</v>
      </c>
      <c r="J489">
        <v>1</v>
      </c>
    </row>
    <row r="490" spans="1:10" x14ac:dyDescent="0.3">
      <c r="A490" t="s">
        <v>9</v>
      </c>
      <c r="B490">
        <v>52</v>
      </c>
      <c r="C490">
        <v>0</v>
      </c>
      <c r="D490">
        <v>0</v>
      </c>
      <c r="E490">
        <v>1</v>
      </c>
      <c r="F490" t="s">
        <v>29</v>
      </c>
      <c r="G490" t="s">
        <v>11</v>
      </c>
      <c r="H490" t="s">
        <v>23</v>
      </c>
      <c r="I490" t="s">
        <v>13</v>
      </c>
      <c r="J490">
        <v>0</v>
      </c>
    </row>
    <row r="491" spans="1:10" x14ac:dyDescent="0.3">
      <c r="A491" t="s">
        <v>14</v>
      </c>
      <c r="B491">
        <v>65</v>
      </c>
      <c r="C491">
        <v>0</v>
      </c>
      <c r="D491">
        <v>0</v>
      </c>
      <c r="E491">
        <v>0</v>
      </c>
      <c r="F491" t="s">
        <v>31</v>
      </c>
      <c r="G491" t="s">
        <v>16</v>
      </c>
      <c r="H491" t="s">
        <v>18</v>
      </c>
      <c r="I491" t="s">
        <v>13</v>
      </c>
      <c r="J491">
        <v>0</v>
      </c>
    </row>
    <row r="492" spans="1:10" x14ac:dyDescent="0.3">
      <c r="A492" t="s">
        <v>14</v>
      </c>
      <c r="B492">
        <v>55</v>
      </c>
      <c r="C492">
        <v>0</v>
      </c>
      <c r="D492">
        <v>0</v>
      </c>
      <c r="E492">
        <v>0</v>
      </c>
      <c r="F492" t="s">
        <v>36</v>
      </c>
      <c r="G492" t="s">
        <v>11</v>
      </c>
      <c r="H492" t="s">
        <v>18</v>
      </c>
      <c r="I492" t="s">
        <v>13</v>
      </c>
      <c r="J492">
        <v>0</v>
      </c>
    </row>
    <row r="493" spans="1:10" x14ac:dyDescent="0.3">
      <c r="A493" t="s">
        <v>9</v>
      </c>
      <c r="B493">
        <v>17</v>
      </c>
      <c r="C493">
        <v>0</v>
      </c>
      <c r="D493">
        <v>0</v>
      </c>
      <c r="E493">
        <v>1</v>
      </c>
      <c r="F493" t="s">
        <v>10</v>
      </c>
      <c r="G493" t="s">
        <v>16</v>
      </c>
      <c r="H493" t="s">
        <v>18</v>
      </c>
      <c r="I493" t="s">
        <v>13</v>
      </c>
      <c r="J493">
        <v>0</v>
      </c>
    </row>
    <row r="494" spans="1:10" x14ac:dyDescent="0.3">
      <c r="A494" t="s">
        <v>9</v>
      </c>
      <c r="B494">
        <v>31</v>
      </c>
      <c r="C494">
        <v>1</v>
      </c>
      <c r="D494">
        <v>1</v>
      </c>
      <c r="E494">
        <v>0</v>
      </c>
      <c r="F494" t="s">
        <v>36</v>
      </c>
      <c r="G494" t="s">
        <v>11</v>
      </c>
      <c r="H494" t="s">
        <v>12</v>
      </c>
      <c r="I494" t="s">
        <v>13</v>
      </c>
      <c r="J494">
        <v>1</v>
      </c>
    </row>
    <row r="495" spans="1:10" x14ac:dyDescent="0.3">
      <c r="A495" t="s">
        <v>14</v>
      </c>
      <c r="B495">
        <v>9</v>
      </c>
      <c r="C495">
        <v>1</v>
      </c>
      <c r="D495">
        <v>1</v>
      </c>
      <c r="E495">
        <v>1</v>
      </c>
      <c r="F495" t="s">
        <v>38</v>
      </c>
      <c r="G495" t="s">
        <v>16</v>
      </c>
      <c r="H495" t="s">
        <v>23</v>
      </c>
      <c r="I495" t="s">
        <v>13</v>
      </c>
      <c r="J495">
        <v>1</v>
      </c>
    </row>
    <row r="496" spans="1:10" x14ac:dyDescent="0.3">
      <c r="A496" t="s">
        <v>14</v>
      </c>
      <c r="B496">
        <v>22</v>
      </c>
      <c r="C496">
        <v>1</v>
      </c>
      <c r="D496">
        <v>1</v>
      </c>
      <c r="E496">
        <v>0</v>
      </c>
      <c r="F496" t="s">
        <v>38</v>
      </c>
      <c r="G496" t="s">
        <v>11</v>
      </c>
      <c r="H496" t="s">
        <v>23</v>
      </c>
      <c r="I496" t="s">
        <v>13</v>
      </c>
      <c r="J496">
        <v>1</v>
      </c>
    </row>
    <row r="497" spans="1:10" x14ac:dyDescent="0.3">
      <c r="A497" t="s">
        <v>9</v>
      </c>
      <c r="B497">
        <v>21</v>
      </c>
      <c r="C497">
        <v>1</v>
      </c>
      <c r="D497">
        <v>1</v>
      </c>
      <c r="E497">
        <v>0</v>
      </c>
      <c r="F497" t="s">
        <v>46</v>
      </c>
      <c r="G497" t="s">
        <v>16</v>
      </c>
      <c r="H497" t="s">
        <v>18</v>
      </c>
      <c r="I497" t="s">
        <v>13</v>
      </c>
      <c r="J497">
        <v>1</v>
      </c>
    </row>
    <row r="498" spans="1:10" x14ac:dyDescent="0.3">
      <c r="A498" t="s">
        <v>9</v>
      </c>
      <c r="B498">
        <v>15</v>
      </c>
      <c r="C498">
        <v>1</v>
      </c>
      <c r="D498">
        <v>1</v>
      </c>
      <c r="E498">
        <v>0</v>
      </c>
      <c r="F498" t="s">
        <v>51</v>
      </c>
      <c r="G498" t="s">
        <v>11</v>
      </c>
      <c r="H498" t="s">
        <v>12</v>
      </c>
      <c r="I498" t="s">
        <v>13</v>
      </c>
      <c r="J498">
        <v>1</v>
      </c>
    </row>
    <row r="499" spans="1:10" x14ac:dyDescent="0.3">
      <c r="A499" t="s">
        <v>14</v>
      </c>
      <c r="B499">
        <v>40</v>
      </c>
      <c r="C499">
        <v>1</v>
      </c>
      <c r="D499">
        <v>1</v>
      </c>
      <c r="E499">
        <v>0</v>
      </c>
      <c r="F499" t="s">
        <v>48</v>
      </c>
      <c r="G499" t="s">
        <v>16</v>
      </c>
      <c r="H499" t="s">
        <v>23</v>
      </c>
      <c r="I499" t="s">
        <v>13</v>
      </c>
      <c r="J499">
        <v>1</v>
      </c>
    </row>
    <row r="500" spans="1:10" x14ac:dyDescent="0.3">
      <c r="A500" t="s">
        <v>9</v>
      </c>
      <c r="B500">
        <v>37</v>
      </c>
      <c r="C500">
        <v>1</v>
      </c>
      <c r="D500">
        <v>1</v>
      </c>
      <c r="E500">
        <v>1</v>
      </c>
      <c r="F500" t="s">
        <v>19</v>
      </c>
      <c r="G500" t="s">
        <v>11</v>
      </c>
      <c r="H500" t="s">
        <v>12</v>
      </c>
      <c r="I500" t="s">
        <v>13</v>
      </c>
      <c r="J500">
        <v>1</v>
      </c>
    </row>
    <row r="501" spans="1:10" x14ac:dyDescent="0.3">
      <c r="A501" t="s">
        <v>14</v>
      </c>
      <c r="B501">
        <v>53</v>
      </c>
      <c r="C501">
        <v>0</v>
      </c>
      <c r="D501">
        <v>0</v>
      </c>
      <c r="E501">
        <v>0</v>
      </c>
      <c r="F501" t="s">
        <v>20</v>
      </c>
      <c r="G501" t="s">
        <v>16</v>
      </c>
      <c r="H501" t="s">
        <v>18</v>
      </c>
      <c r="I501" t="s">
        <v>13</v>
      </c>
      <c r="J501">
        <v>0</v>
      </c>
    </row>
    <row r="502" spans="1:10" x14ac:dyDescent="0.3">
      <c r="A502" t="s">
        <v>9</v>
      </c>
      <c r="B502">
        <v>46</v>
      </c>
      <c r="C502">
        <v>0</v>
      </c>
      <c r="D502">
        <v>0</v>
      </c>
      <c r="E502">
        <v>0</v>
      </c>
      <c r="F502" t="s">
        <v>22</v>
      </c>
      <c r="G502" t="s">
        <v>11</v>
      </c>
      <c r="H502" t="s">
        <v>23</v>
      </c>
      <c r="I502" t="s">
        <v>13</v>
      </c>
      <c r="J502">
        <v>0</v>
      </c>
    </row>
    <row r="503" spans="1:10" x14ac:dyDescent="0.3">
      <c r="A503" t="s">
        <v>14</v>
      </c>
      <c r="B503">
        <v>9</v>
      </c>
      <c r="C503">
        <v>1</v>
      </c>
      <c r="D503">
        <v>1</v>
      </c>
      <c r="E503">
        <v>1</v>
      </c>
      <c r="F503" t="s">
        <v>33</v>
      </c>
      <c r="G503" t="s">
        <v>16</v>
      </c>
      <c r="H503" t="s">
        <v>18</v>
      </c>
      <c r="I503" t="s">
        <v>13</v>
      </c>
      <c r="J503">
        <v>1</v>
      </c>
    </row>
    <row r="504" spans="1:10" x14ac:dyDescent="0.3">
      <c r="A504" t="s">
        <v>14</v>
      </c>
      <c r="B504">
        <v>35</v>
      </c>
      <c r="C504">
        <v>0</v>
      </c>
      <c r="D504">
        <v>0</v>
      </c>
      <c r="E504">
        <v>1</v>
      </c>
      <c r="F504" t="s">
        <v>22</v>
      </c>
      <c r="G504" t="s">
        <v>11</v>
      </c>
      <c r="H504" t="s">
        <v>23</v>
      </c>
      <c r="I504" t="s">
        <v>13</v>
      </c>
      <c r="J504">
        <v>0</v>
      </c>
    </row>
    <row r="505" spans="1:10" x14ac:dyDescent="0.3">
      <c r="A505" t="s">
        <v>9</v>
      </c>
      <c r="B505">
        <v>18</v>
      </c>
      <c r="C505">
        <v>0</v>
      </c>
      <c r="D505">
        <v>0</v>
      </c>
      <c r="E505">
        <v>1</v>
      </c>
      <c r="F505" t="s">
        <v>35</v>
      </c>
      <c r="G505" t="s">
        <v>16</v>
      </c>
      <c r="H505" t="s">
        <v>18</v>
      </c>
      <c r="I505" t="s">
        <v>13</v>
      </c>
      <c r="J505">
        <v>0</v>
      </c>
    </row>
    <row r="506" spans="1:10" x14ac:dyDescent="0.3">
      <c r="A506" t="s">
        <v>9</v>
      </c>
      <c r="B506">
        <v>10</v>
      </c>
      <c r="C506">
        <v>0</v>
      </c>
      <c r="D506">
        <v>0</v>
      </c>
      <c r="E506">
        <v>1</v>
      </c>
      <c r="F506" t="s">
        <v>34</v>
      </c>
      <c r="G506" t="s">
        <v>11</v>
      </c>
      <c r="H506" t="s">
        <v>18</v>
      </c>
      <c r="I506" t="s">
        <v>13</v>
      </c>
      <c r="J506">
        <v>0</v>
      </c>
    </row>
    <row r="507" spans="1:10" x14ac:dyDescent="0.3">
      <c r="A507" t="s">
        <v>9</v>
      </c>
      <c r="B507">
        <v>13</v>
      </c>
      <c r="C507">
        <v>1</v>
      </c>
      <c r="D507">
        <v>1</v>
      </c>
      <c r="E507">
        <v>1</v>
      </c>
      <c r="F507" t="s">
        <v>10</v>
      </c>
      <c r="G507" t="s">
        <v>16</v>
      </c>
      <c r="H507" t="s">
        <v>23</v>
      </c>
      <c r="I507" t="s">
        <v>13</v>
      </c>
      <c r="J507">
        <v>1</v>
      </c>
    </row>
    <row r="508" spans="1:10" x14ac:dyDescent="0.3">
      <c r="A508" t="s">
        <v>9</v>
      </c>
      <c r="B508">
        <v>19</v>
      </c>
      <c r="C508">
        <v>1</v>
      </c>
      <c r="D508">
        <v>1</v>
      </c>
      <c r="E508">
        <v>0</v>
      </c>
      <c r="F508" t="s">
        <v>50</v>
      </c>
      <c r="G508" t="s">
        <v>11</v>
      </c>
      <c r="H508" t="s">
        <v>23</v>
      </c>
      <c r="I508" t="s">
        <v>13</v>
      </c>
      <c r="J508">
        <v>1</v>
      </c>
    </row>
    <row r="509" spans="1:10" x14ac:dyDescent="0.3">
      <c r="A509" t="s">
        <v>14</v>
      </c>
      <c r="B509">
        <v>37</v>
      </c>
      <c r="C509">
        <v>0</v>
      </c>
      <c r="D509">
        <v>0</v>
      </c>
      <c r="E509">
        <v>1</v>
      </c>
      <c r="F509" t="s">
        <v>30</v>
      </c>
      <c r="G509" t="s">
        <v>16</v>
      </c>
      <c r="H509" t="s">
        <v>18</v>
      </c>
      <c r="I509" t="s">
        <v>13</v>
      </c>
      <c r="J509">
        <v>0</v>
      </c>
    </row>
    <row r="510" spans="1:10" x14ac:dyDescent="0.3">
      <c r="A510" t="s">
        <v>9</v>
      </c>
      <c r="B510">
        <v>40</v>
      </c>
      <c r="C510">
        <v>1</v>
      </c>
      <c r="D510">
        <v>1</v>
      </c>
      <c r="E510">
        <v>0</v>
      </c>
      <c r="F510" t="s">
        <v>48</v>
      </c>
      <c r="G510" t="s">
        <v>11</v>
      </c>
      <c r="H510" t="s">
        <v>12</v>
      </c>
      <c r="I510" t="s">
        <v>13</v>
      </c>
      <c r="J510">
        <v>1</v>
      </c>
    </row>
    <row r="511" spans="1:10" x14ac:dyDescent="0.3">
      <c r="A511" t="s">
        <v>9</v>
      </c>
      <c r="B511">
        <v>10</v>
      </c>
      <c r="C511">
        <v>0</v>
      </c>
      <c r="D511">
        <v>0</v>
      </c>
      <c r="E511">
        <v>0</v>
      </c>
      <c r="F511" t="s">
        <v>48</v>
      </c>
      <c r="G511" t="s">
        <v>16</v>
      </c>
      <c r="H511" t="s">
        <v>23</v>
      </c>
      <c r="I511" t="s">
        <v>13</v>
      </c>
      <c r="J511">
        <v>0</v>
      </c>
    </row>
    <row r="512" spans="1:10" x14ac:dyDescent="0.3">
      <c r="A512" t="s">
        <v>9</v>
      </c>
      <c r="B512">
        <v>17</v>
      </c>
      <c r="C512">
        <v>0</v>
      </c>
      <c r="D512">
        <v>0</v>
      </c>
      <c r="E512">
        <v>1</v>
      </c>
      <c r="F512" t="s">
        <v>24</v>
      </c>
      <c r="G512" t="s">
        <v>11</v>
      </c>
      <c r="H512" t="s">
        <v>18</v>
      </c>
      <c r="I512" t="s">
        <v>13</v>
      </c>
      <c r="J512">
        <v>0</v>
      </c>
    </row>
    <row r="513" spans="1:10" x14ac:dyDescent="0.3">
      <c r="A513" t="s">
        <v>9</v>
      </c>
      <c r="B513">
        <v>47</v>
      </c>
      <c r="C513">
        <v>1</v>
      </c>
      <c r="D513">
        <v>1</v>
      </c>
      <c r="E513">
        <v>0</v>
      </c>
      <c r="F513" t="s">
        <v>41</v>
      </c>
      <c r="G513" t="s">
        <v>16</v>
      </c>
      <c r="H513" t="s">
        <v>12</v>
      </c>
      <c r="I513" t="s">
        <v>13</v>
      </c>
      <c r="J513">
        <v>1</v>
      </c>
    </row>
    <row r="514" spans="1:10" x14ac:dyDescent="0.3">
      <c r="A514" t="s">
        <v>14</v>
      </c>
      <c r="B514">
        <v>51</v>
      </c>
      <c r="C514">
        <v>0</v>
      </c>
      <c r="D514">
        <v>0</v>
      </c>
      <c r="E514">
        <v>0</v>
      </c>
      <c r="F514" t="s">
        <v>37</v>
      </c>
      <c r="G514" t="s">
        <v>11</v>
      </c>
      <c r="H514" t="s">
        <v>18</v>
      </c>
      <c r="I514" t="s">
        <v>13</v>
      </c>
      <c r="J514">
        <v>0</v>
      </c>
    </row>
    <row r="515" spans="1:10" x14ac:dyDescent="0.3">
      <c r="A515" t="s">
        <v>14</v>
      </c>
      <c r="B515">
        <v>33</v>
      </c>
      <c r="C515">
        <v>1</v>
      </c>
      <c r="D515">
        <v>1</v>
      </c>
      <c r="E515">
        <v>1</v>
      </c>
      <c r="F515" t="s">
        <v>51</v>
      </c>
      <c r="G515" t="s">
        <v>16</v>
      </c>
      <c r="H515" t="s">
        <v>12</v>
      </c>
      <c r="I515" t="s">
        <v>13</v>
      </c>
      <c r="J515">
        <v>1</v>
      </c>
    </row>
    <row r="516" spans="1:10" x14ac:dyDescent="0.3">
      <c r="A516" t="s">
        <v>14</v>
      </c>
      <c r="B516">
        <v>51</v>
      </c>
      <c r="C516">
        <v>1</v>
      </c>
      <c r="D516">
        <v>1</v>
      </c>
      <c r="E516">
        <v>1</v>
      </c>
      <c r="F516" t="s">
        <v>21</v>
      </c>
      <c r="G516" t="s">
        <v>11</v>
      </c>
      <c r="H516" t="s">
        <v>18</v>
      </c>
      <c r="I516" t="s">
        <v>13</v>
      </c>
      <c r="J516">
        <v>1</v>
      </c>
    </row>
    <row r="517" spans="1:10" x14ac:dyDescent="0.3">
      <c r="A517" t="s">
        <v>9</v>
      </c>
      <c r="B517">
        <v>60</v>
      </c>
      <c r="C517">
        <v>0</v>
      </c>
      <c r="D517">
        <v>0</v>
      </c>
      <c r="E517">
        <v>1</v>
      </c>
      <c r="F517" t="s">
        <v>36</v>
      </c>
      <c r="G517" t="s">
        <v>16</v>
      </c>
      <c r="H517" t="s">
        <v>12</v>
      </c>
      <c r="I517" t="s">
        <v>13</v>
      </c>
      <c r="J517">
        <v>0</v>
      </c>
    </row>
    <row r="518" spans="1:10" x14ac:dyDescent="0.3">
      <c r="A518" t="s">
        <v>9</v>
      </c>
      <c r="B518">
        <v>23</v>
      </c>
      <c r="C518">
        <v>0</v>
      </c>
      <c r="D518">
        <v>0</v>
      </c>
      <c r="E518">
        <v>1</v>
      </c>
      <c r="F518" t="s">
        <v>50</v>
      </c>
      <c r="G518" t="s">
        <v>11</v>
      </c>
      <c r="H518" t="s">
        <v>18</v>
      </c>
      <c r="I518" t="s">
        <v>13</v>
      </c>
      <c r="J518">
        <v>0</v>
      </c>
    </row>
    <row r="519" spans="1:10" x14ac:dyDescent="0.3">
      <c r="A519" t="s">
        <v>9</v>
      </c>
      <c r="B519">
        <v>8</v>
      </c>
      <c r="C519">
        <v>0</v>
      </c>
      <c r="D519">
        <v>0</v>
      </c>
      <c r="E519">
        <v>0</v>
      </c>
      <c r="F519" t="s">
        <v>21</v>
      </c>
      <c r="G519" t="s">
        <v>16</v>
      </c>
      <c r="H519" t="s">
        <v>18</v>
      </c>
      <c r="I519" t="s">
        <v>13</v>
      </c>
      <c r="J519">
        <v>0</v>
      </c>
    </row>
    <row r="520" spans="1:10" x14ac:dyDescent="0.3">
      <c r="A520" t="s">
        <v>14</v>
      </c>
      <c r="B520">
        <v>52</v>
      </c>
      <c r="C520">
        <v>0</v>
      </c>
      <c r="D520">
        <v>0</v>
      </c>
      <c r="E520">
        <v>1</v>
      </c>
      <c r="F520" t="s">
        <v>10</v>
      </c>
      <c r="G520" t="s">
        <v>11</v>
      </c>
      <c r="H520" t="s">
        <v>12</v>
      </c>
      <c r="I520" t="s">
        <v>13</v>
      </c>
      <c r="J520">
        <v>0</v>
      </c>
    </row>
    <row r="521" spans="1:10" x14ac:dyDescent="0.3">
      <c r="A521" t="s">
        <v>9</v>
      </c>
      <c r="B521">
        <v>10</v>
      </c>
      <c r="C521">
        <v>1</v>
      </c>
      <c r="D521">
        <v>1</v>
      </c>
      <c r="E521">
        <v>1</v>
      </c>
      <c r="F521" t="s">
        <v>24</v>
      </c>
      <c r="G521" t="s">
        <v>16</v>
      </c>
      <c r="H521" t="s">
        <v>23</v>
      </c>
      <c r="I521" t="s">
        <v>13</v>
      </c>
      <c r="J521">
        <v>1</v>
      </c>
    </row>
    <row r="522" spans="1:10" x14ac:dyDescent="0.3">
      <c r="A522" t="s">
        <v>14</v>
      </c>
      <c r="B522">
        <v>22</v>
      </c>
      <c r="C522">
        <v>1</v>
      </c>
      <c r="D522">
        <v>1</v>
      </c>
      <c r="E522">
        <v>0</v>
      </c>
      <c r="F522" t="s">
        <v>24</v>
      </c>
      <c r="G522" t="s">
        <v>11</v>
      </c>
      <c r="H522" t="s">
        <v>12</v>
      </c>
      <c r="I522" t="s">
        <v>13</v>
      </c>
      <c r="J522">
        <v>1</v>
      </c>
    </row>
    <row r="523" spans="1:10" x14ac:dyDescent="0.3">
      <c r="A523" t="s">
        <v>14</v>
      </c>
      <c r="B523">
        <v>23</v>
      </c>
      <c r="C523">
        <v>1</v>
      </c>
      <c r="D523">
        <v>1</v>
      </c>
      <c r="E523">
        <v>0</v>
      </c>
      <c r="F523" t="s">
        <v>34</v>
      </c>
      <c r="G523" t="s">
        <v>16</v>
      </c>
      <c r="H523" t="s">
        <v>23</v>
      </c>
      <c r="I523" t="s">
        <v>13</v>
      </c>
      <c r="J523">
        <v>1</v>
      </c>
    </row>
    <row r="524" spans="1:10" x14ac:dyDescent="0.3">
      <c r="A524" t="s">
        <v>9</v>
      </c>
      <c r="B524">
        <v>13</v>
      </c>
      <c r="C524">
        <v>0</v>
      </c>
      <c r="D524">
        <v>0</v>
      </c>
      <c r="E524">
        <v>1</v>
      </c>
      <c r="F524" t="s">
        <v>52</v>
      </c>
      <c r="G524" t="s">
        <v>11</v>
      </c>
      <c r="H524" t="s">
        <v>23</v>
      </c>
      <c r="I524" t="s">
        <v>13</v>
      </c>
      <c r="J524">
        <v>0</v>
      </c>
    </row>
    <row r="525" spans="1:10" x14ac:dyDescent="0.3">
      <c r="A525" t="s">
        <v>9</v>
      </c>
      <c r="B525">
        <v>22</v>
      </c>
      <c r="C525">
        <v>0</v>
      </c>
      <c r="D525">
        <v>0</v>
      </c>
      <c r="E525">
        <v>0</v>
      </c>
      <c r="F525" t="s">
        <v>25</v>
      </c>
      <c r="G525" t="s">
        <v>16</v>
      </c>
      <c r="H525" t="s">
        <v>12</v>
      </c>
      <c r="I525" t="s">
        <v>13</v>
      </c>
      <c r="J525">
        <v>0</v>
      </c>
    </row>
    <row r="526" spans="1:10" x14ac:dyDescent="0.3">
      <c r="A526" t="s">
        <v>14</v>
      </c>
      <c r="B526">
        <v>64</v>
      </c>
      <c r="C526">
        <v>1</v>
      </c>
      <c r="D526">
        <v>1</v>
      </c>
      <c r="E526">
        <v>1</v>
      </c>
      <c r="F526" t="s">
        <v>32</v>
      </c>
      <c r="G526" t="s">
        <v>11</v>
      </c>
      <c r="H526" t="s">
        <v>12</v>
      </c>
      <c r="I526" t="s">
        <v>13</v>
      </c>
      <c r="J526">
        <v>1</v>
      </c>
    </row>
    <row r="527" spans="1:10" x14ac:dyDescent="0.3">
      <c r="A527" t="s">
        <v>9</v>
      </c>
      <c r="B527">
        <v>9</v>
      </c>
      <c r="C527">
        <v>0</v>
      </c>
      <c r="D527">
        <v>0</v>
      </c>
      <c r="E527">
        <v>0</v>
      </c>
      <c r="F527" t="s">
        <v>42</v>
      </c>
      <c r="G527" t="s">
        <v>16</v>
      </c>
      <c r="H527" t="s">
        <v>23</v>
      </c>
      <c r="I527" t="s">
        <v>13</v>
      </c>
      <c r="J527">
        <v>0</v>
      </c>
    </row>
    <row r="528" spans="1:10" x14ac:dyDescent="0.3">
      <c r="A528" t="s">
        <v>9</v>
      </c>
      <c r="B528">
        <v>26</v>
      </c>
      <c r="C528">
        <v>0</v>
      </c>
      <c r="D528">
        <v>0</v>
      </c>
      <c r="E528">
        <v>0</v>
      </c>
      <c r="F528" t="s">
        <v>42</v>
      </c>
      <c r="G528" t="s">
        <v>11</v>
      </c>
      <c r="H528" t="s">
        <v>23</v>
      </c>
      <c r="I528" t="s">
        <v>13</v>
      </c>
      <c r="J528">
        <v>0</v>
      </c>
    </row>
    <row r="529" spans="1:10" x14ac:dyDescent="0.3">
      <c r="A529" t="s">
        <v>14</v>
      </c>
      <c r="B529">
        <v>32</v>
      </c>
      <c r="C529">
        <v>0</v>
      </c>
      <c r="D529">
        <v>0</v>
      </c>
      <c r="E529">
        <v>0</v>
      </c>
      <c r="F529" t="s">
        <v>32</v>
      </c>
      <c r="G529" t="s">
        <v>16</v>
      </c>
      <c r="H529" t="s">
        <v>23</v>
      </c>
      <c r="I529" t="s">
        <v>13</v>
      </c>
      <c r="J529">
        <v>0</v>
      </c>
    </row>
    <row r="530" spans="1:10" x14ac:dyDescent="0.3">
      <c r="A530" t="s">
        <v>9</v>
      </c>
      <c r="B530">
        <v>48</v>
      </c>
      <c r="C530">
        <v>0</v>
      </c>
      <c r="D530">
        <v>0</v>
      </c>
      <c r="E530">
        <v>1</v>
      </c>
      <c r="F530" t="s">
        <v>47</v>
      </c>
      <c r="G530" t="s">
        <v>11</v>
      </c>
      <c r="H530" t="s">
        <v>12</v>
      </c>
      <c r="I530" t="s">
        <v>13</v>
      </c>
      <c r="J530">
        <v>0</v>
      </c>
    </row>
    <row r="531" spans="1:10" x14ac:dyDescent="0.3">
      <c r="A531" t="s">
        <v>14</v>
      </c>
      <c r="B531">
        <v>48</v>
      </c>
      <c r="C531">
        <v>0</v>
      </c>
      <c r="D531">
        <v>1</v>
      </c>
      <c r="E531">
        <v>0</v>
      </c>
      <c r="F531" t="s">
        <v>27</v>
      </c>
      <c r="G531" t="s">
        <v>16</v>
      </c>
      <c r="H531" t="s">
        <v>18</v>
      </c>
      <c r="I531" t="s">
        <v>13</v>
      </c>
      <c r="J531">
        <v>1</v>
      </c>
    </row>
    <row r="532" spans="1:10" x14ac:dyDescent="0.3">
      <c r="A532" t="s">
        <v>9</v>
      </c>
      <c r="B532">
        <v>33</v>
      </c>
      <c r="C532">
        <v>0</v>
      </c>
      <c r="D532">
        <v>0</v>
      </c>
      <c r="E532">
        <v>0</v>
      </c>
      <c r="F532" t="s">
        <v>22</v>
      </c>
      <c r="G532" t="s">
        <v>11</v>
      </c>
      <c r="H532" t="s">
        <v>18</v>
      </c>
      <c r="I532" t="s">
        <v>13</v>
      </c>
      <c r="J532">
        <v>0</v>
      </c>
    </row>
    <row r="533" spans="1:10" x14ac:dyDescent="0.3">
      <c r="A533" t="s">
        <v>9</v>
      </c>
      <c r="B533">
        <v>36</v>
      </c>
      <c r="C533">
        <v>0</v>
      </c>
      <c r="D533">
        <v>0</v>
      </c>
      <c r="E533">
        <v>0</v>
      </c>
      <c r="F533" t="s">
        <v>44</v>
      </c>
      <c r="G533" t="s">
        <v>16</v>
      </c>
      <c r="H533" t="s">
        <v>18</v>
      </c>
      <c r="I533" t="s">
        <v>13</v>
      </c>
      <c r="J533">
        <v>0</v>
      </c>
    </row>
    <row r="534" spans="1:10" x14ac:dyDescent="0.3">
      <c r="A534" t="s">
        <v>9</v>
      </c>
      <c r="B534">
        <v>32</v>
      </c>
      <c r="C534">
        <v>0</v>
      </c>
      <c r="D534">
        <v>0</v>
      </c>
      <c r="E534">
        <v>0</v>
      </c>
      <c r="F534" t="s">
        <v>46</v>
      </c>
      <c r="G534" t="s">
        <v>11</v>
      </c>
      <c r="H534" t="s">
        <v>18</v>
      </c>
      <c r="I534" t="s">
        <v>13</v>
      </c>
      <c r="J534">
        <v>0</v>
      </c>
    </row>
    <row r="535" spans="1:10" x14ac:dyDescent="0.3">
      <c r="A535" t="s">
        <v>14</v>
      </c>
      <c r="B535">
        <v>53</v>
      </c>
      <c r="C535">
        <v>0</v>
      </c>
      <c r="D535">
        <v>0</v>
      </c>
      <c r="E535">
        <v>0</v>
      </c>
      <c r="F535" t="s">
        <v>19</v>
      </c>
      <c r="G535" t="s">
        <v>16</v>
      </c>
      <c r="H535" t="s">
        <v>12</v>
      </c>
      <c r="I535" t="s">
        <v>13</v>
      </c>
      <c r="J535">
        <v>0</v>
      </c>
    </row>
    <row r="536" spans="1:10" x14ac:dyDescent="0.3">
      <c r="A536" t="s">
        <v>9</v>
      </c>
      <c r="B536">
        <v>9</v>
      </c>
      <c r="C536">
        <v>1</v>
      </c>
      <c r="D536">
        <v>1</v>
      </c>
      <c r="E536">
        <v>0</v>
      </c>
      <c r="F536" t="s">
        <v>22</v>
      </c>
      <c r="G536" t="s">
        <v>11</v>
      </c>
      <c r="H536" t="s">
        <v>18</v>
      </c>
      <c r="I536" t="s">
        <v>13</v>
      </c>
      <c r="J536">
        <v>1</v>
      </c>
    </row>
    <row r="537" spans="1:10" x14ac:dyDescent="0.3">
      <c r="A537" t="s">
        <v>14</v>
      </c>
      <c r="B537">
        <v>9</v>
      </c>
      <c r="C537">
        <v>1</v>
      </c>
      <c r="D537">
        <v>1</v>
      </c>
      <c r="E537">
        <v>0</v>
      </c>
      <c r="F537" t="s">
        <v>30</v>
      </c>
      <c r="G537" t="s">
        <v>16</v>
      </c>
      <c r="H537" t="s">
        <v>12</v>
      </c>
      <c r="I537" t="s">
        <v>13</v>
      </c>
      <c r="J537">
        <v>1</v>
      </c>
    </row>
    <row r="538" spans="1:10" x14ac:dyDescent="0.3">
      <c r="A538" t="s">
        <v>14</v>
      </c>
      <c r="B538">
        <v>40</v>
      </c>
      <c r="C538">
        <v>0</v>
      </c>
      <c r="D538">
        <v>0</v>
      </c>
      <c r="E538">
        <v>1</v>
      </c>
      <c r="F538" t="s">
        <v>24</v>
      </c>
      <c r="G538" t="s">
        <v>11</v>
      </c>
      <c r="H538" t="s">
        <v>12</v>
      </c>
      <c r="I538" t="s">
        <v>13</v>
      </c>
      <c r="J538">
        <v>0</v>
      </c>
    </row>
    <row r="539" spans="1:10" x14ac:dyDescent="0.3">
      <c r="A539" t="s">
        <v>9</v>
      </c>
      <c r="B539">
        <v>55</v>
      </c>
      <c r="C539">
        <v>1</v>
      </c>
      <c r="D539">
        <v>1</v>
      </c>
      <c r="E539">
        <v>1</v>
      </c>
      <c r="F539" t="s">
        <v>37</v>
      </c>
      <c r="G539" t="s">
        <v>16</v>
      </c>
      <c r="H539" t="s">
        <v>23</v>
      </c>
      <c r="I539" t="s">
        <v>13</v>
      </c>
      <c r="J539">
        <v>1</v>
      </c>
    </row>
    <row r="540" spans="1:10" x14ac:dyDescent="0.3">
      <c r="A540" t="s">
        <v>14</v>
      </c>
      <c r="B540">
        <v>34</v>
      </c>
      <c r="C540">
        <v>0</v>
      </c>
      <c r="D540">
        <v>0</v>
      </c>
      <c r="E540">
        <v>1</v>
      </c>
      <c r="F540" t="s">
        <v>31</v>
      </c>
      <c r="G540" t="s">
        <v>11</v>
      </c>
      <c r="H540" t="s">
        <v>23</v>
      </c>
      <c r="I540" t="s">
        <v>13</v>
      </c>
      <c r="J540">
        <v>0</v>
      </c>
    </row>
    <row r="541" spans="1:10" x14ac:dyDescent="0.3">
      <c r="A541" t="s">
        <v>9</v>
      </c>
      <c r="B541">
        <v>19</v>
      </c>
      <c r="C541">
        <v>1</v>
      </c>
      <c r="D541">
        <v>1</v>
      </c>
      <c r="E541">
        <v>1</v>
      </c>
      <c r="F541" t="s">
        <v>32</v>
      </c>
      <c r="G541" t="s">
        <v>16</v>
      </c>
      <c r="H541" t="s">
        <v>12</v>
      </c>
      <c r="I541" t="s">
        <v>13</v>
      </c>
      <c r="J541">
        <v>1</v>
      </c>
    </row>
    <row r="542" spans="1:10" x14ac:dyDescent="0.3">
      <c r="A542" t="s">
        <v>14</v>
      </c>
      <c r="B542">
        <v>48</v>
      </c>
      <c r="C542">
        <v>1</v>
      </c>
      <c r="D542">
        <v>1</v>
      </c>
      <c r="E542">
        <v>1</v>
      </c>
      <c r="F542" t="s">
        <v>45</v>
      </c>
      <c r="G542" t="s">
        <v>11</v>
      </c>
      <c r="H542" t="s">
        <v>18</v>
      </c>
      <c r="I542" t="s">
        <v>13</v>
      </c>
      <c r="J542">
        <v>1</v>
      </c>
    </row>
    <row r="543" spans="1:10" x14ac:dyDescent="0.3">
      <c r="A543" t="s">
        <v>9</v>
      </c>
      <c r="B543">
        <v>30</v>
      </c>
      <c r="C543">
        <v>1</v>
      </c>
      <c r="D543">
        <v>1</v>
      </c>
      <c r="E543">
        <v>0</v>
      </c>
      <c r="F543" t="s">
        <v>10</v>
      </c>
      <c r="G543" t="s">
        <v>16</v>
      </c>
      <c r="H543" t="s">
        <v>12</v>
      </c>
      <c r="I543" t="s">
        <v>13</v>
      </c>
      <c r="J543">
        <v>1</v>
      </c>
    </row>
    <row r="544" spans="1:10" x14ac:dyDescent="0.3">
      <c r="A544" t="s">
        <v>9</v>
      </c>
      <c r="B544">
        <v>27</v>
      </c>
      <c r="C544">
        <v>0</v>
      </c>
      <c r="D544">
        <v>0</v>
      </c>
      <c r="E544">
        <v>0</v>
      </c>
      <c r="F544" t="s">
        <v>47</v>
      </c>
      <c r="G544" t="s">
        <v>11</v>
      </c>
      <c r="H544" t="s">
        <v>12</v>
      </c>
      <c r="I544" t="s">
        <v>13</v>
      </c>
      <c r="J544">
        <v>0</v>
      </c>
    </row>
    <row r="545" spans="1:10" x14ac:dyDescent="0.3">
      <c r="A545" t="s">
        <v>14</v>
      </c>
      <c r="B545">
        <v>49</v>
      </c>
      <c r="C545">
        <v>0</v>
      </c>
      <c r="D545">
        <v>0</v>
      </c>
      <c r="E545">
        <v>0</v>
      </c>
      <c r="F545" t="s">
        <v>28</v>
      </c>
      <c r="G545" t="s">
        <v>16</v>
      </c>
      <c r="H545" t="s">
        <v>18</v>
      </c>
      <c r="I545" t="s">
        <v>13</v>
      </c>
      <c r="J545">
        <v>0</v>
      </c>
    </row>
    <row r="546" spans="1:10" x14ac:dyDescent="0.3">
      <c r="A546" t="s">
        <v>9</v>
      </c>
      <c r="B546">
        <v>28</v>
      </c>
      <c r="C546">
        <v>0</v>
      </c>
      <c r="D546">
        <v>0</v>
      </c>
      <c r="E546">
        <v>1</v>
      </c>
      <c r="F546" t="s">
        <v>34</v>
      </c>
      <c r="G546" t="s">
        <v>11</v>
      </c>
      <c r="H546" t="s">
        <v>18</v>
      </c>
      <c r="I546" t="s">
        <v>13</v>
      </c>
      <c r="J546">
        <v>0</v>
      </c>
    </row>
    <row r="547" spans="1:10" x14ac:dyDescent="0.3">
      <c r="A547" t="s">
        <v>9</v>
      </c>
      <c r="B547">
        <v>29</v>
      </c>
      <c r="C547">
        <v>1</v>
      </c>
      <c r="D547">
        <v>1</v>
      </c>
      <c r="E547">
        <v>1</v>
      </c>
      <c r="F547" t="s">
        <v>41</v>
      </c>
      <c r="G547" t="s">
        <v>16</v>
      </c>
      <c r="H547" t="s">
        <v>23</v>
      </c>
      <c r="I547" t="s">
        <v>13</v>
      </c>
      <c r="J547">
        <v>1</v>
      </c>
    </row>
    <row r="548" spans="1:10" x14ac:dyDescent="0.3">
      <c r="A548" t="s">
        <v>14</v>
      </c>
      <c r="B548">
        <v>65</v>
      </c>
      <c r="C548">
        <v>1</v>
      </c>
      <c r="D548">
        <v>1</v>
      </c>
      <c r="E548">
        <v>0</v>
      </c>
      <c r="F548" t="s">
        <v>25</v>
      </c>
      <c r="G548" t="s">
        <v>11</v>
      </c>
      <c r="H548" t="s">
        <v>23</v>
      </c>
      <c r="I548" t="s">
        <v>13</v>
      </c>
      <c r="J548">
        <v>1</v>
      </c>
    </row>
    <row r="549" spans="1:10" x14ac:dyDescent="0.3">
      <c r="A549" t="s">
        <v>14</v>
      </c>
      <c r="B549">
        <v>36</v>
      </c>
      <c r="C549">
        <v>0</v>
      </c>
      <c r="D549">
        <v>0</v>
      </c>
      <c r="E549">
        <v>1</v>
      </c>
      <c r="F549" t="s">
        <v>44</v>
      </c>
      <c r="G549" t="s">
        <v>16</v>
      </c>
      <c r="H549" t="s">
        <v>12</v>
      </c>
      <c r="I549" t="s">
        <v>13</v>
      </c>
      <c r="J549">
        <v>0</v>
      </c>
    </row>
    <row r="550" spans="1:10" x14ac:dyDescent="0.3">
      <c r="A550" t="s">
        <v>9</v>
      </c>
      <c r="B550">
        <v>55</v>
      </c>
      <c r="C550">
        <v>1</v>
      </c>
      <c r="D550">
        <v>1</v>
      </c>
      <c r="E550">
        <v>0</v>
      </c>
      <c r="F550" t="s">
        <v>26</v>
      </c>
      <c r="G550" t="s">
        <v>11</v>
      </c>
      <c r="H550" t="s">
        <v>12</v>
      </c>
      <c r="I550" t="s">
        <v>13</v>
      </c>
      <c r="J550">
        <v>1</v>
      </c>
    </row>
    <row r="551" spans="1:10" x14ac:dyDescent="0.3">
      <c r="A551" t="s">
        <v>14</v>
      </c>
      <c r="B551">
        <v>22</v>
      </c>
      <c r="C551">
        <v>0</v>
      </c>
      <c r="D551">
        <v>0</v>
      </c>
      <c r="E551">
        <v>1</v>
      </c>
      <c r="F551" t="s">
        <v>41</v>
      </c>
      <c r="G551" t="s">
        <v>16</v>
      </c>
      <c r="H551" t="s">
        <v>12</v>
      </c>
      <c r="I551" t="s">
        <v>13</v>
      </c>
      <c r="J551">
        <v>0</v>
      </c>
    </row>
    <row r="552" spans="1:10" x14ac:dyDescent="0.3">
      <c r="A552" t="s">
        <v>14</v>
      </c>
      <c r="B552">
        <v>26</v>
      </c>
      <c r="C552">
        <v>1</v>
      </c>
      <c r="D552">
        <v>1</v>
      </c>
      <c r="E552">
        <v>0</v>
      </c>
      <c r="F552" t="s">
        <v>22</v>
      </c>
      <c r="G552" t="s">
        <v>11</v>
      </c>
      <c r="H552" t="s">
        <v>23</v>
      </c>
      <c r="I552" t="s">
        <v>13</v>
      </c>
      <c r="J552">
        <v>1</v>
      </c>
    </row>
    <row r="553" spans="1:10" x14ac:dyDescent="0.3">
      <c r="A553" t="s">
        <v>14</v>
      </c>
      <c r="B553">
        <v>31</v>
      </c>
      <c r="C553">
        <v>1</v>
      </c>
      <c r="D553">
        <v>1</v>
      </c>
      <c r="E553">
        <v>0</v>
      </c>
      <c r="F553" t="s">
        <v>38</v>
      </c>
      <c r="G553" t="s">
        <v>16</v>
      </c>
      <c r="H553" t="s">
        <v>23</v>
      </c>
      <c r="I553" t="s">
        <v>13</v>
      </c>
      <c r="J553">
        <v>1</v>
      </c>
    </row>
    <row r="554" spans="1:10" x14ac:dyDescent="0.3">
      <c r="A554" t="s">
        <v>9</v>
      </c>
      <c r="B554">
        <v>50</v>
      </c>
      <c r="C554">
        <v>0</v>
      </c>
      <c r="D554">
        <v>0</v>
      </c>
      <c r="E554">
        <v>0</v>
      </c>
      <c r="F554" t="s">
        <v>46</v>
      </c>
      <c r="G554" t="s">
        <v>11</v>
      </c>
      <c r="H554" t="s">
        <v>12</v>
      </c>
      <c r="I554" t="s">
        <v>13</v>
      </c>
      <c r="J554">
        <v>0</v>
      </c>
    </row>
    <row r="555" spans="1:10" x14ac:dyDescent="0.3">
      <c r="A555" t="s">
        <v>14</v>
      </c>
      <c r="B555">
        <v>25</v>
      </c>
      <c r="C555">
        <v>0</v>
      </c>
      <c r="D555">
        <v>0</v>
      </c>
      <c r="E555">
        <v>0</v>
      </c>
      <c r="F555" t="s">
        <v>35</v>
      </c>
      <c r="G555" t="s">
        <v>16</v>
      </c>
      <c r="H555" t="s">
        <v>23</v>
      </c>
      <c r="I555" t="s">
        <v>13</v>
      </c>
      <c r="J555">
        <v>0</v>
      </c>
    </row>
    <row r="556" spans="1:10" x14ac:dyDescent="0.3">
      <c r="A556" t="s">
        <v>9</v>
      </c>
      <c r="B556">
        <v>34</v>
      </c>
      <c r="C556">
        <v>1</v>
      </c>
      <c r="D556">
        <v>1</v>
      </c>
      <c r="E556">
        <v>0</v>
      </c>
      <c r="F556" t="s">
        <v>22</v>
      </c>
      <c r="G556" t="s">
        <v>11</v>
      </c>
      <c r="H556" t="s">
        <v>12</v>
      </c>
      <c r="I556" t="s">
        <v>13</v>
      </c>
      <c r="J556">
        <v>1</v>
      </c>
    </row>
    <row r="557" spans="1:10" x14ac:dyDescent="0.3">
      <c r="A557" t="s">
        <v>9</v>
      </c>
      <c r="B557">
        <v>54</v>
      </c>
      <c r="C557">
        <v>0</v>
      </c>
      <c r="D557">
        <v>0</v>
      </c>
      <c r="E557">
        <v>0</v>
      </c>
      <c r="F557" t="s">
        <v>10</v>
      </c>
      <c r="G557" t="s">
        <v>16</v>
      </c>
      <c r="H557" t="s">
        <v>23</v>
      </c>
      <c r="I557" t="s">
        <v>13</v>
      </c>
      <c r="J557">
        <v>0</v>
      </c>
    </row>
    <row r="558" spans="1:10" x14ac:dyDescent="0.3">
      <c r="A558" t="s">
        <v>9</v>
      </c>
      <c r="B558">
        <v>35</v>
      </c>
      <c r="C558">
        <v>1</v>
      </c>
      <c r="D558">
        <v>1</v>
      </c>
      <c r="E558">
        <v>0</v>
      </c>
      <c r="F558" t="s">
        <v>40</v>
      </c>
      <c r="G558" t="s">
        <v>11</v>
      </c>
      <c r="H558" t="s">
        <v>12</v>
      </c>
      <c r="I558" t="s">
        <v>13</v>
      </c>
      <c r="J558">
        <v>1</v>
      </c>
    </row>
    <row r="559" spans="1:10" x14ac:dyDescent="0.3">
      <c r="A559" t="s">
        <v>14</v>
      </c>
      <c r="B559">
        <v>29</v>
      </c>
      <c r="C559">
        <v>1</v>
      </c>
      <c r="D559">
        <v>1</v>
      </c>
      <c r="E559">
        <v>1</v>
      </c>
      <c r="F559" t="s">
        <v>27</v>
      </c>
      <c r="G559" t="s">
        <v>16</v>
      </c>
      <c r="H559" t="s">
        <v>12</v>
      </c>
      <c r="I559" t="s">
        <v>13</v>
      </c>
      <c r="J559">
        <v>1</v>
      </c>
    </row>
    <row r="560" spans="1:10" x14ac:dyDescent="0.3">
      <c r="A560" t="s">
        <v>9</v>
      </c>
      <c r="B560">
        <v>18</v>
      </c>
      <c r="C560">
        <v>1</v>
      </c>
      <c r="D560">
        <v>1</v>
      </c>
      <c r="E560">
        <v>0</v>
      </c>
      <c r="F560" t="s">
        <v>46</v>
      </c>
      <c r="G560" t="s">
        <v>11</v>
      </c>
      <c r="H560" t="s">
        <v>18</v>
      </c>
      <c r="I560" t="s">
        <v>13</v>
      </c>
      <c r="J560">
        <v>1</v>
      </c>
    </row>
    <row r="561" spans="1:10" x14ac:dyDescent="0.3">
      <c r="A561" t="s">
        <v>9</v>
      </c>
      <c r="B561">
        <v>12</v>
      </c>
      <c r="C561">
        <v>1</v>
      </c>
      <c r="D561">
        <v>1</v>
      </c>
      <c r="E561">
        <v>1</v>
      </c>
      <c r="F561" t="s">
        <v>52</v>
      </c>
      <c r="G561" t="s">
        <v>16</v>
      </c>
      <c r="H561" t="s">
        <v>23</v>
      </c>
      <c r="I561" t="s">
        <v>13</v>
      </c>
      <c r="J561">
        <v>1</v>
      </c>
    </row>
    <row r="562" spans="1:10" x14ac:dyDescent="0.3">
      <c r="A562" t="s">
        <v>9</v>
      </c>
      <c r="B562">
        <v>19</v>
      </c>
      <c r="C562">
        <v>0</v>
      </c>
      <c r="D562">
        <v>0</v>
      </c>
      <c r="E562">
        <v>0</v>
      </c>
      <c r="F562" t="s">
        <v>39</v>
      </c>
      <c r="G562" t="s">
        <v>11</v>
      </c>
      <c r="H562" t="s">
        <v>18</v>
      </c>
      <c r="I562" t="s">
        <v>13</v>
      </c>
      <c r="J562">
        <v>0</v>
      </c>
    </row>
    <row r="563" spans="1:10" x14ac:dyDescent="0.3">
      <c r="A563" t="s">
        <v>9</v>
      </c>
      <c r="B563">
        <v>38</v>
      </c>
      <c r="C563">
        <v>1</v>
      </c>
      <c r="D563">
        <v>1</v>
      </c>
      <c r="E563">
        <v>0</v>
      </c>
      <c r="F563" t="s">
        <v>26</v>
      </c>
      <c r="G563" t="s">
        <v>16</v>
      </c>
      <c r="H563" t="s">
        <v>18</v>
      </c>
      <c r="I563" t="s">
        <v>13</v>
      </c>
      <c r="J563">
        <v>1</v>
      </c>
    </row>
    <row r="564" spans="1:10" x14ac:dyDescent="0.3">
      <c r="A564" t="s">
        <v>14</v>
      </c>
      <c r="B564">
        <v>46</v>
      </c>
      <c r="C564">
        <v>0</v>
      </c>
      <c r="D564">
        <v>0</v>
      </c>
      <c r="E564">
        <v>0</v>
      </c>
      <c r="F564" t="s">
        <v>41</v>
      </c>
      <c r="G564" t="s">
        <v>11</v>
      </c>
      <c r="H564" t="s">
        <v>18</v>
      </c>
      <c r="I564" t="s">
        <v>13</v>
      </c>
      <c r="J564">
        <v>0</v>
      </c>
    </row>
    <row r="565" spans="1:10" x14ac:dyDescent="0.3">
      <c r="A565" t="s">
        <v>9</v>
      </c>
      <c r="B565">
        <v>9</v>
      </c>
      <c r="C565">
        <v>1</v>
      </c>
      <c r="D565">
        <v>1</v>
      </c>
      <c r="E565">
        <v>0</v>
      </c>
      <c r="F565" t="s">
        <v>24</v>
      </c>
      <c r="G565" t="s">
        <v>16</v>
      </c>
      <c r="H565" t="s">
        <v>12</v>
      </c>
      <c r="I565" t="s">
        <v>13</v>
      </c>
      <c r="J565">
        <v>1</v>
      </c>
    </row>
    <row r="566" spans="1:10" x14ac:dyDescent="0.3">
      <c r="A566" t="s">
        <v>9</v>
      </c>
      <c r="B566">
        <v>42</v>
      </c>
      <c r="C566">
        <v>1</v>
      </c>
      <c r="D566">
        <v>1</v>
      </c>
      <c r="E566">
        <v>1</v>
      </c>
      <c r="F566" t="s">
        <v>30</v>
      </c>
      <c r="G566" t="s">
        <v>11</v>
      </c>
      <c r="H566" t="s">
        <v>12</v>
      </c>
      <c r="I566" t="s">
        <v>13</v>
      </c>
      <c r="J566">
        <v>1</v>
      </c>
    </row>
    <row r="567" spans="1:10" x14ac:dyDescent="0.3">
      <c r="A567" t="s">
        <v>14</v>
      </c>
      <c r="B567">
        <v>23</v>
      </c>
      <c r="C567">
        <v>0</v>
      </c>
      <c r="D567">
        <v>0</v>
      </c>
      <c r="E567">
        <v>1</v>
      </c>
      <c r="F567" t="s">
        <v>17</v>
      </c>
      <c r="G567" t="s">
        <v>16</v>
      </c>
      <c r="H567" t="s">
        <v>12</v>
      </c>
      <c r="I567" t="s">
        <v>13</v>
      </c>
      <c r="J567">
        <v>0</v>
      </c>
    </row>
    <row r="568" spans="1:10" x14ac:dyDescent="0.3">
      <c r="A568" t="s">
        <v>9</v>
      </c>
      <c r="B568">
        <v>45</v>
      </c>
      <c r="C568">
        <v>1</v>
      </c>
      <c r="D568">
        <v>1</v>
      </c>
      <c r="E568">
        <v>1</v>
      </c>
      <c r="F568" t="s">
        <v>17</v>
      </c>
      <c r="G568" t="s">
        <v>11</v>
      </c>
      <c r="H568" t="s">
        <v>12</v>
      </c>
      <c r="I568" t="s">
        <v>13</v>
      </c>
      <c r="J568">
        <v>1</v>
      </c>
    </row>
    <row r="569" spans="1:10" x14ac:dyDescent="0.3">
      <c r="A569" t="s">
        <v>9</v>
      </c>
      <c r="B569">
        <v>29</v>
      </c>
      <c r="C569">
        <v>1</v>
      </c>
      <c r="D569">
        <v>1</v>
      </c>
      <c r="E569">
        <v>1</v>
      </c>
      <c r="F569" t="s">
        <v>17</v>
      </c>
      <c r="G569" t="s">
        <v>16</v>
      </c>
      <c r="H569" t="s">
        <v>12</v>
      </c>
      <c r="I569" t="s">
        <v>13</v>
      </c>
      <c r="J569">
        <v>1</v>
      </c>
    </row>
    <row r="570" spans="1:10" x14ac:dyDescent="0.3">
      <c r="A570" t="s">
        <v>14</v>
      </c>
      <c r="B570">
        <v>31</v>
      </c>
      <c r="C570">
        <v>1</v>
      </c>
      <c r="D570">
        <v>1</v>
      </c>
      <c r="E570">
        <v>1</v>
      </c>
      <c r="F570" t="s">
        <v>50</v>
      </c>
      <c r="G570" t="s">
        <v>11</v>
      </c>
      <c r="H570" t="s">
        <v>23</v>
      </c>
      <c r="I570" t="s">
        <v>13</v>
      </c>
      <c r="J570">
        <v>1</v>
      </c>
    </row>
    <row r="571" spans="1:10" x14ac:dyDescent="0.3">
      <c r="A571" t="s">
        <v>14</v>
      </c>
      <c r="B571">
        <v>34</v>
      </c>
      <c r="C571">
        <v>0</v>
      </c>
      <c r="D571">
        <v>0</v>
      </c>
      <c r="E571">
        <v>0</v>
      </c>
      <c r="F571" t="s">
        <v>35</v>
      </c>
      <c r="G571" t="s">
        <v>16</v>
      </c>
      <c r="H571" t="s">
        <v>23</v>
      </c>
      <c r="I571" t="s">
        <v>13</v>
      </c>
      <c r="J571">
        <v>0</v>
      </c>
    </row>
    <row r="572" spans="1:10" x14ac:dyDescent="0.3">
      <c r="A572" t="s">
        <v>9</v>
      </c>
      <c r="B572">
        <v>61</v>
      </c>
      <c r="C572">
        <v>1</v>
      </c>
      <c r="D572">
        <v>1</v>
      </c>
      <c r="E572">
        <v>1</v>
      </c>
      <c r="F572" t="s">
        <v>52</v>
      </c>
      <c r="G572" t="s">
        <v>11</v>
      </c>
      <c r="H572" t="s">
        <v>23</v>
      </c>
      <c r="I572" t="s">
        <v>13</v>
      </c>
      <c r="J572">
        <v>1</v>
      </c>
    </row>
    <row r="573" spans="1:10" x14ac:dyDescent="0.3">
      <c r="A573" t="s">
        <v>9</v>
      </c>
      <c r="B573">
        <v>26</v>
      </c>
      <c r="C573">
        <v>1</v>
      </c>
      <c r="D573">
        <v>1</v>
      </c>
      <c r="E573">
        <v>1</v>
      </c>
      <c r="F573" t="s">
        <v>39</v>
      </c>
      <c r="G573" t="s">
        <v>16</v>
      </c>
      <c r="H573" t="s">
        <v>23</v>
      </c>
      <c r="I573" t="s">
        <v>13</v>
      </c>
      <c r="J573">
        <v>1</v>
      </c>
    </row>
    <row r="574" spans="1:10" x14ac:dyDescent="0.3">
      <c r="A574" t="s">
        <v>9</v>
      </c>
      <c r="B574">
        <v>52</v>
      </c>
      <c r="C574">
        <v>0</v>
      </c>
      <c r="D574">
        <v>0</v>
      </c>
      <c r="E574">
        <v>0</v>
      </c>
      <c r="F574" t="s">
        <v>35</v>
      </c>
      <c r="G574" t="s">
        <v>11</v>
      </c>
      <c r="H574" t="s">
        <v>18</v>
      </c>
      <c r="I574" t="s">
        <v>13</v>
      </c>
      <c r="J574">
        <v>0</v>
      </c>
    </row>
    <row r="575" spans="1:10" x14ac:dyDescent="0.3">
      <c r="A575" t="s">
        <v>9</v>
      </c>
      <c r="B575">
        <v>24</v>
      </c>
      <c r="C575">
        <v>0</v>
      </c>
      <c r="D575">
        <v>0</v>
      </c>
      <c r="E575">
        <v>0</v>
      </c>
      <c r="F575" t="s">
        <v>25</v>
      </c>
      <c r="G575" t="s">
        <v>16</v>
      </c>
      <c r="H575" t="s">
        <v>23</v>
      </c>
      <c r="I575" t="s">
        <v>13</v>
      </c>
      <c r="J575">
        <v>0</v>
      </c>
    </row>
    <row r="576" spans="1:10" x14ac:dyDescent="0.3">
      <c r="A576" t="s">
        <v>14</v>
      </c>
      <c r="B576">
        <v>19</v>
      </c>
      <c r="C576">
        <v>0</v>
      </c>
      <c r="D576">
        <v>0</v>
      </c>
      <c r="E576">
        <v>1</v>
      </c>
      <c r="F576" t="s">
        <v>36</v>
      </c>
      <c r="G576" t="s">
        <v>11</v>
      </c>
      <c r="H576" t="s">
        <v>12</v>
      </c>
      <c r="I576" t="s">
        <v>13</v>
      </c>
      <c r="J576">
        <v>0</v>
      </c>
    </row>
    <row r="577" spans="1:10" x14ac:dyDescent="0.3">
      <c r="A577" t="s">
        <v>9</v>
      </c>
      <c r="B577">
        <v>47</v>
      </c>
      <c r="C577">
        <v>1</v>
      </c>
      <c r="D577">
        <v>1</v>
      </c>
      <c r="E577">
        <v>0</v>
      </c>
      <c r="F577" t="s">
        <v>47</v>
      </c>
      <c r="G577" t="s">
        <v>16</v>
      </c>
      <c r="H577" t="s">
        <v>23</v>
      </c>
      <c r="I577" t="s">
        <v>13</v>
      </c>
      <c r="J577">
        <v>1</v>
      </c>
    </row>
    <row r="578" spans="1:10" x14ac:dyDescent="0.3">
      <c r="A578" t="s">
        <v>9</v>
      </c>
      <c r="B578">
        <v>14</v>
      </c>
      <c r="C578">
        <v>1</v>
      </c>
      <c r="D578">
        <v>1</v>
      </c>
      <c r="E578">
        <v>1</v>
      </c>
      <c r="F578" t="s">
        <v>27</v>
      </c>
      <c r="G578" t="s">
        <v>11</v>
      </c>
      <c r="H578" t="s">
        <v>23</v>
      </c>
      <c r="I578" t="s">
        <v>13</v>
      </c>
      <c r="J578">
        <v>1</v>
      </c>
    </row>
    <row r="579" spans="1:10" x14ac:dyDescent="0.3">
      <c r="A579" t="s">
        <v>14</v>
      </c>
      <c r="B579">
        <v>62</v>
      </c>
      <c r="C579">
        <v>1</v>
      </c>
      <c r="D579">
        <v>1</v>
      </c>
      <c r="E579">
        <v>0</v>
      </c>
      <c r="F579" t="s">
        <v>36</v>
      </c>
      <c r="G579" t="s">
        <v>16</v>
      </c>
      <c r="H579" t="s">
        <v>23</v>
      </c>
      <c r="I579" t="s">
        <v>13</v>
      </c>
      <c r="J579">
        <v>1</v>
      </c>
    </row>
    <row r="580" spans="1:10" x14ac:dyDescent="0.3">
      <c r="A580" t="s">
        <v>14</v>
      </c>
      <c r="B580">
        <v>53</v>
      </c>
      <c r="C580">
        <v>1</v>
      </c>
      <c r="D580">
        <v>1</v>
      </c>
      <c r="E580">
        <v>1</v>
      </c>
      <c r="F580" t="s">
        <v>10</v>
      </c>
      <c r="G580" t="s">
        <v>11</v>
      </c>
      <c r="H580" t="s">
        <v>23</v>
      </c>
      <c r="I580" t="s">
        <v>13</v>
      </c>
      <c r="J580">
        <v>1</v>
      </c>
    </row>
    <row r="581" spans="1:10" x14ac:dyDescent="0.3">
      <c r="A581" t="s">
        <v>14</v>
      </c>
      <c r="B581">
        <v>49</v>
      </c>
      <c r="C581">
        <v>0</v>
      </c>
      <c r="D581">
        <v>0</v>
      </c>
      <c r="E581">
        <v>1</v>
      </c>
      <c r="F581" t="s">
        <v>46</v>
      </c>
      <c r="G581" t="s">
        <v>16</v>
      </c>
      <c r="H581" t="s">
        <v>23</v>
      </c>
      <c r="I581" t="s">
        <v>13</v>
      </c>
      <c r="J581">
        <v>0</v>
      </c>
    </row>
    <row r="582" spans="1:10" x14ac:dyDescent="0.3">
      <c r="A582" t="s">
        <v>9</v>
      </c>
      <c r="B582">
        <v>51</v>
      </c>
      <c r="C582">
        <v>0</v>
      </c>
      <c r="D582">
        <v>0</v>
      </c>
      <c r="E582">
        <v>1</v>
      </c>
      <c r="F582" t="s">
        <v>28</v>
      </c>
      <c r="G582" t="s">
        <v>11</v>
      </c>
      <c r="H582" t="s">
        <v>12</v>
      </c>
      <c r="I582" t="s">
        <v>13</v>
      </c>
      <c r="J582">
        <v>0</v>
      </c>
    </row>
    <row r="583" spans="1:10" x14ac:dyDescent="0.3">
      <c r="A583" t="s">
        <v>9</v>
      </c>
      <c r="B583">
        <v>61</v>
      </c>
      <c r="C583">
        <v>0</v>
      </c>
      <c r="D583">
        <v>0</v>
      </c>
      <c r="E583">
        <v>0</v>
      </c>
      <c r="F583" t="s">
        <v>34</v>
      </c>
      <c r="G583" t="s">
        <v>16</v>
      </c>
      <c r="H583" t="s">
        <v>12</v>
      </c>
      <c r="I583" t="s">
        <v>13</v>
      </c>
      <c r="J583">
        <v>0</v>
      </c>
    </row>
    <row r="584" spans="1:10" x14ac:dyDescent="0.3">
      <c r="A584" t="s">
        <v>9</v>
      </c>
      <c r="B584">
        <v>35</v>
      </c>
      <c r="C584">
        <v>1</v>
      </c>
      <c r="D584">
        <v>1</v>
      </c>
      <c r="E584">
        <v>0</v>
      </c>
      <c r="F584" t="s">
        <v>34</v>
      </c>
      <c r="G584" t="s">
        <v>11</v>
      </c>
      <c r="H584" t="s">
        <v>12</v>
      </c>
      <c r="I584" t="s">
        <v>13</v>
      </c>
      <c r="J584">
        <v>1</v>
      </c>
    </row>
    <row r="585" spans="1:10" x14ac:dyDescent="0.3">
      <c r="A585" t="s">
        <v>9</v>
      </c>
      <c r="B585">
        <v>45</v>
      </c>
      <c r="C585">
        <v>0</v>
      </c>
      <c r="D585">
        <v>0</v>
      </c>
      <c r="E585">
        <v>1</v>
      </c>
      <c r="F585" t="s">
        <v>49</v>
      </c>
      <c r="G585" t="s">
        <v>16</v>
      </c>
      <c r="H585" t="s">
        <v>23</v>
      </c>
      <c r="I585" t="s">
        <v>13</v>
      </c>
      <c r="J585">
        <v>0</v>
      </c>
    </row>
    <row r="586" spans="1:10" x14ac:dyDescent="0.3">
      <c r="A586" t="s">
        <v>14</v>
      </c>
      <c r="B586">
        <v>25</v>
      </c>
      <c r="C586">
        <v>1</v>
      </c>
      <c r="D586">
        <v>1</v>
      </c>
      <c r="E586">
        <v>1</v>
      </c>
      <c r="F586" t="s">
        <v>38</v>
      </c>
      <c r="G586" t="s">
        <v>11</v>
      </c>
      <c r="H586" t="s">
        <v>12</v>
      </c>
      <c r="I586" t="s">
        <v>13</v>
      </c>
      <c r="J586">
        <v>1</v>
      </c>
    </row>
    <row r="587" spans="1:10" x14ac:dyDescent="0.3">
      <c r="A587" t="s">
        <v>9</v>
      </c>
      <c r="B587">
        <v>53</v>
      </c>
      <c r="C587">
        <v>1</v>
      </c>
      <c r="D587">
        <v>1</v>
      </c>
      <c r="E587">
        <v>0</v>
      </c>
      <c r="F587" t="s">
        <v>32</v>
      </c>
      <c r="G587" t="s">
        <v>16</v>
      </c>
      <c r="H587" t="s">
        <v>12</v>
      </c>
      <c r="I587" t="s">
        <v>13</v>
      </c>
      <c r="J587">
        <v>1</v>
      </c>
    </row>
    <row r="588" spans="1:10" x14ac:dyDescent="0.3">
      <c r="A588" t="s">
        <v>9</v>
      </c>
      <c r="B588">
        <v>37</v>
      </c>
      <c r="C588">
        <v>1</v>
      </c>
      <c r="D588">
        <v>1</v>
      </c>
      <c r="E588">
        <v>0</v>
      </c>
      <c r="F588" t="s">
        <v>20</v>
      </c>
      <c r="G588" t="s">
        <v>11</v>
      </c>
      <c r="H588" t="s">
        <v>12</v>
      </c>
      <c r="I588" t="s">
        <v>13</v>
      </c>
      <c r="J588">
        <v>1</v>
      </c>
    </row>
    <row r="589" spans="1:10" x14ac:dyDescent="0.3">
      <c r="A589" t="s">
        <v>14</v>
      </c>
      <c r="B589">
        <v>25</v>
      </c>
      <c r="C589">
        <v>0</v>
      </c>
      <c r="D589">
        <v>0</v>
      </c>
      <c r="E589">
        <v>1</v>
      </c>
      <c r="F589" t="s">
        <v>51</v>
      </c>
      <c r="G589" t="s">
        <v>16</v>
      </c>
      <c r="H589" t="s">
        <v>12</v>
      </c>
      <c r="I589" t="s">
        <v>13</v>
      </c>
      <c r="J589">
        <v>0</v>
      </c>
    </row>
    <row r="590" spans="1:10" x14ac:dyDescent="0.3">
      <c r="A590" t="s">
        <v>14</v>
      </c>
      <c r="B590">
        <v>38</v>
      </c>
      <c r="C590">
        <v>1</v>
      </c>
      <c r="D590">
        <v>1</v>
      </c>
      <c r="E590">
        <v>1</v>
      </c>
      <c r="F590" t="s">
        <v>37</v>
      </c>
      <c r="G590" t="s">
        <v>11</v>
      </c>
      <c r="H590" t="s">
        <v>23</v>
      </c>
      <c r="I590" t="s">
        <v>13</v>
      </c>
      <c r="J590">
        <v>1</v>
      </c>
    </row>
    <row r="591" spans="1:10" x14ac:dyDescent="0.3">
      <c r="A591" t="s">
        <v>9</v>
      </c>
      <c r="B591">
        <v>50</v>
      </c>
      <c r="C591">
        <v>1</v>
      </c>
      <c r="D591">
        <v>1</v>
      </c>
      <c r="E591">
        <v>0</v>
      </c>
      <c r="F591" t="s">
        <v>51</v>
      </c>
      <c r="G591" t="s">
        <v>16</v>
      </c>
      <c r="H591" t="s">
        <v>18</v>
      </c>
      <c r="I591" t="s">
        <v>13</v>
      </c>
      <c r="J591">
        <v>1</v>
      </c>
    </row>
    <row r="592" spans="1:10" x14ac:dyDescent="0.3">
      <c r="A592" t="s">
        <v>14</v>
      </c>
      <c r="B592">
        <v>30</v>
      </c>
      <c r="C592">
        <v>1</v>
      </c>
      <c r="D592">
        <v>1</v>
      </c>
      <c r="E592">
        <v>1</v>
      </c>
      <c r="F592" t="s">
        <v>47</v>
      </c>
      <c r="G592" t="s">
        <v>11</v>
      </c>
      <c r="H592" t="s">
        <v>12</v>
      </c>
      <c r="I592" t="s">
        <v>13</v>
      </c>
      <c r="J592">
        <v>1</v>
      </c>
    </row>
    <row r="593" spans="1:10" x14ac:dyDescent="0.3">
      <c r="A593" t="s">
        <v>9</v>
      </c>
      <c r="B593">
        <v>20</v>
      </c>
      <c r="C593">
        <v>0</v>
      </c>
      <c r="D593">
        <v>0</v>
      </c>
      <c r="E593">
        <v>0</v>
      </c>
      <c r="F593" t="s">
        <v>15</v>
      </c>
      <c r="G593" t="s">
        <v>16</v>
      </c>
      <c r="H593" t="s">
        <v>12</v>
      </c>
      <c r="I593" t="s">
        <v>13</v>
      </c>
      <c r="J593">
        <v>0</v>
      </c>
    </row>
    <row r="594" spans="1:10" x14ac:dyDescent="0.3">
      <c r="A594" t="s">
        <v>14</v>
      </c>
      <c r="B594">
        <v>44</v>
      </c>
      <c r="C594">
        <v>1</v>
      </c>
      <c r="D594">
        <v>1</v>
      </c>
      <c r="E594">
        <v>0</v>
      </c>
      <c r="F594" t="s">
        <v>30</v>
      </c>
      <c r="G594" t="s">
        <v>11</v>
      </c>
      <c r="H594" t="s">
        <v>18</v>
      </c>
      <c r="I594" t="s">
        <v>13</v>
      </c>
      <c r="J594">
        <v>1</v>
      </c>
    </row>
    <row r="595" spans="1:10" x14ac:dyDescent="0.3">
      <c r="A595" t="s">
        <v>9</v>
      </c>
      <c r="B595">
        <v>57</v>
      </c>
      <c r="C595">
        <v>0</v>
      </c>
      <c r="D595">
        <v>0</v>
      </c>
      <c r="E595">
        <v>1</v>
      </c>
      <c r="F595" t="s">
        <v>43</v>
      </c>
      <c r="G595" t="s">
        <v>16</v>
      </c>
      <c r="H595" t="s">
        <v>12</v>
      </c>
      <c r="I595" t="s">
        <v>13</v>
      </c>
      <c r="J595">
        <v>0</v>
      </c>
    </row>
    <row r="596" spans="1:10" x14ac:dyDescent="0.3">
      <c r="A596" t="s">
        <v>14</v>
      </c>
      <c r="B596">
        <v>19</v>
      </c>
      <c r="C596">
        <v>1</v>
      </c>
      <c r="D596">
        <v>1</v>
      </c>
      <c r="E596">
        <v>1</v>
      </c>
      <c r="F596" t="s">
        <v>33</v>
      </c>
      <c r="G596" t="s">
        <v>11</v>
      </c>
      <c r="H596" t="s">
        <v>18</v>
      </c>
      <c r="I596" t="s">
        <v>13</v>
      </c>
      <c r="J596">
        <v>1</v>
      </c>
    </row>
    <row r="597" spans="1:10" x14ac:dyDescent="0.3">
      <c r="A597" t="s">
        <v>9</v>
      </c>
      <c r="B597">
        <v>34</v>
      </c>
      <c r="C597">
        <v>0</v>
      </c>
      <c r="D597">
        <v>0</v>
      </c>
      <c r="E597">
        <v>0</v>
      </c>
      <c r="F597" t="s">
        <v>41</v>
      </c>
      <c r="G597" t="s">
        <v>16</v>
      </c>
      <c r="H597" t="s">
        <v>18</v>
      </c>
      <c r="I597" t="s">
        <v>13</v>
      </c>
      <c r="J597">
        <v>0</v>
      </c>
    </row>
    <row r="598" spans="1:10" x14ac:dyDescent="0.3">
      <c r="A598" t="s">
        <v>9</v>
      </c>
      <c r="B598">
        <v>42</v>
      </c>
      <c r="C598">
        <v>1</v>
      </c>
      <c r="D598">
        <v>1</v>
      </c>
      <c r="E598">
        <v>1</v>
      </c>
      <c r="F598" t="s">
        <v>29</v>
      </c>
      <c r="G598" t="s">
        <v>11</v>
      </c>
      <c r="H598" t="s">
        <v>18</v>
      </c>
      <c r="I598" t="s">
        <v>13</v>
      </c>
      <c r="J598">
        <v>1</v>
      </c>
    </row>
    <row r="599" spans="1:10" x14ac:dyDescent="0.3">
      <c r="A599" t="s">
        <v>9</v>
      </c>
      <c r="B599">
        <v>48</v>
      </c>
      <c r="C599">
        <v>1</v>
      </c>
      <c r="D599">
        <v>1</v>
      </c>
      <c r="E599">
        <v>1</v>
      </c>
      <c r="F599" t="s">
        <v>48</v>
      </c>
      <c r="G599" t="s">
        <v>16</v>
      </c>
      <c r="H599" t="s">
        <v>18</v>
      </c>
      <c r="I599" t="s">
        <v>13</v>
      </c>
      <c r="J599">
        <v>1</v>
      </c>
    </row>
    <row r="600" spans="1:10" x14ac:dyDescent="0.3">
      <c r="A600" t="s">
        <v>14</v>
      </c>
      <c r="B600">
        <v>45</v>
      </c>
      <c r="C600">
        <v>1</v>
      </c>
      <c r="D600">
        <v>1</v>
      </c>
      <c r="E600">
        <v>1</v>
      </c>
      <c r="F600" t="s">
        <v>27</v>
      </c>
      <c r="G600" t="s">
        <v>11</v>
      </c>
      <c r="H600" t="s">
        <v>12</v>
      </c>
      <c r="I600" t="s">
        <v>13</v>
      </c>
      <c r="J600">
        <v>1</v>
      </c>
    </row>
    <row r="601" spans="1:10" x14ac:dyDescent="0.3">
      <c r="A601" t="s">
        <v>9</v>
      </c>
      <c r="B601">
        <v>48</v>
      </c>
      <c r="C601">
        <v>0</v>
      </c>
      <c r="D601">
        <v>0</v>
      </c>
      <c r="E601">
        <v>1</v>
      </c>
      <c r="F601" t="s">
        <v>44</v>
      </c>
      <c r="G601" t="s">
        <v>16</v>
      </c>
      <c r="H601" t="s">
        <v>23</v>
      </c>
      <c r="I601" t="s">
        <v>13</v>
      </c>
      <c r="J601">
        <v>0</v>
      </c>
    </row>
    <row r="602" spans="1:10" x14ac:dyDescent="0.3">
      <c r="A602" t="s">
        <v>9</v>
      </c>
      <c r="B602">
        <v>50</v>
      </c>
      <c r="C602">
        <v>1</v>
      </c>
      <c r="D602">
        <v>1</v>
      </c>
      <c r="E602">
        <v>0</v>
      </c>
      <c r="F602" t="s">
        <v>22</v>
      </c>
      <c r="G602" t="s">
        <v>11</v>
      </c>
      <c r="H602" t="s">
        <v>18</v>
      </c>
      <c r="I602" t="s">
        <v>13</v>
      </c>
      <c r="J602">
        <v>1</v>
      </c>
    </row>
    <row r="603" spans="1:10" x14ac:dyDescent="0.3">
      <c r="A603" t="s">
        <v>9</v>
      </c>
      <c r="B603">
        <v>37</v>
      </c>
      <c r="C603">
        <v>0</v>
      </c>
      <c r="D603">
        <v>0</v>
      </c>
      <c r="E603">
        <v>1</v>
      </c>
      <c r="F603" t="s">
        <v>24</v>
      </c>
      <c r="G603" t="s">
        <v>16</v>
      </c>
      <c r="H603" t="s">
        <v>12</v>
      </c>
      <c r="I603" t="s">
        <v>13</v>
      </c>
      <c r="J603">
        <v>0</v>
      </c>
    </row>
    <row r="604" spans="1:10" x14ac:dyDescent="0.3">
      <c r="A604" t="s">
        <v>9</v>
      </c>
      <c r="B604">
        <v>28</v>
      </c>
      <c r="C604">
        <v>1</v>
      </c>
      <c r="D604">
        <v>1</v>
      </c>
      <c r="E604">
        <v>0</v>
      </c>
      <c r="F604" t="s">
        <v>36</v>
      </c>
      <c r="G604" t="s">
        <v>11</v>
      </c>
      <c r="H604" t="s">
        <v>23</v>
      </c>
      <c r="I604" t="s">
        <v>13</v>
      </c>
      <c r="J604">
        <v>1</v>
      </c>
    </row>
    <row r="605" spans="1:10" x14ac:dyDescent="0.3">
      <c r="A605" t="s">
        <v>14</v>
      </c>
      <c r="B605">
        <v>51</v>
      </c>
      <c r="C605">
        <v>1</v>
      </c>
      <c r="D605">
        <v>1</v>
      </c>
      <c r="E605">
        <v>1</v>
      </c>
      <c r="F605" t="s">
        <v>39</v>
      </c>
      <c r="G605" t="s">
        <v>16</v>
      </c>
      <c r="H605" t="s">
        <v>18</v>
      </c>
      <c r="I605" t="s">
        <v>13</v>
      </c>
      <c r="J605">
        <v>1</v>
      </c>
    </row>
    <row r="606" spans="1:10" x14ac:dyDescent="0.3">
      <c r="A606" t="s">
        <v>9</v>
      </c>
      <c r="B606">
        <v>37</v>
      </c>
      <c r="C606">
        <v>1</v>
      </c>
      <c r="D606">
        <v>1</v>
      </c>
      <c r="E606">
        <v>1</v>
      </c>
      <c r="F606" t="s">
        <v>32</v>
      </c>
      <c r="G606" t="s">
        <v>11</v>
      </c>
      <c r="H606" t="s">
        <v>12</v>
      </c>
      <c r="I606" t="s">
        <v>13</v>
      </c>
      <c r="J606">
        <v>1</v>
      </c>
    </row>
    <row r="607" spans="1:10" x14ac:dyDescent="0.3">
      <c r="A607" t="s">
        <v>9</v>
      </c>
      <c r="B607">
        <v>12</v>
      </c>
      <c r="C607">
        <v>0</v>
      </c>
      <c r="D607">
        <v>0</v>
      </c>
      <c r="E607">
        <v>1</v>
      </c>
      <c r="F607" t="s">
        <v>25</v>
      </c>
      <c r="G607" t="s">
        <v>16</v>
      </c>
      <c r="H607" t="s">
        <v>12</v>
      </c>
      <c r="I607" t="s">
        <v>13</v>
      </c>
      <c r="J607">
        <v>0</v>
      </c>
    </row>
    <row r="608" spans="1:10" x14ac:dyDescent="0.3">
      <c r="A608" t="s">
        <v>14</v>
      </c>
      <c r="B608">
        <v>65</v>
      </c>
      <c r="C608">
        <v>1</v>
      </c>
      <c r="D608">
        <v>1</v>
      </c>
      <c r="E608">
        <v>0</v>
      </c>
      <c r="F608" t="s">
        <v>32</v>
      </c>
      <c r="G608" t="s">
        <v>11</v>
      </c>
      <c r="H608" t="s">
        <v>18</v>
      </c>
      <c r="I608" t="s">
        <v>13</v>
      </c>
      <c r="J608">
        <v>1</v>
      </c>
    </row>
    <row r="609" spans="1:10" x14ac:dyDescent="0.3">
      <c r="A609" t="s">
        <v>9</v>
      </c>
      <c r="B609">
        <v>44</v>
      </c>
      <c r="C609">
        <v>1</v>
      </c>
      <c r="D609">
        <v>1</v>
      </c>
      <c r="E609">
        <v>0</v>
      </c>
      <c r="F609" t="s">
        <v>26</v>
      </c>
      <c r="G609" t="s">
        <v>16</v>
      </c>
      <c r="H609" t="s">
        <v>12</v>
      </c>
      <c r="I609" t="s">
        <v>13</v>
      </c>
      <c r="J609">
        <v>1</v>
      </c>
    </row>
    <row r="610" spans="1:10" x14ac:dyDescent="0.3">
      <c r="A610" t="s">
        <v>14</v>
      </c>
      <c r="B610">
        <v>52</v>
      </c>
      <c r="C610">
        <v>1</v>
      </c>
      <c r="D610">
        <v>1</v>
      </c>
      <c r="E610">
        <v>0</v>
      </c>
      <c r="F610" t="s">
        <v>22</v>
      </c>
      <c r="G610" t="s">
        <v>11</v>
      </c>
      <c r="H610" t="s">
        <v>12</v>
      </c>
      <c r="I610" t="s">
        <v>13</v>
      </c>
      <c r="J610">
        <v>1</v>
      </c>
    </row>
    <row r="611" spans="1:10" x14ac:dyDescent="0.3">
      <c r="A611" t="s">
        <v>9</v>
      </c>
      <c r="B611">
        <v>10</v>
      </c>
      <c r="C611">
        <v>1</v>
      </c>
      <c r="D611">
        <v>1</v>
      </c>
      <c r="E611">
        <v>1</v>
      </c>
      <c r="F611" t="s">
        <v>43</v>
      </c>
      <c r="G611" t="s">
        <v>16</v>
      </c>
      <c r="H611" t="s">
        <v>23</v>
      </c>
      <c r="I611" t="s">
        <v>13</v>
      </c>
      <c r="J611">
        <v>1</v>
      </c>
    </row>
    <row r="612" spans="1:10" x14ac:dyDescent="0.3">
      <c r="A612" t="s">
        <v>14</v>
      </c>
      <c r="B612">
        <v>16</v>
      </c>
      <c r="C612">
        <v>1</v>
      </c>
      <c r="D612">
        <v>1</v>
      </c>
      <c r="E612">
        <v>0</v>
      </c>
      <c r="F612" t="s">
        <v>39</v>
      </c>
      <c r="G612" t="s">
        <v>11</v>
      </c>
      <c r="H612" t="s">
        <v>12</v>
      </c>
      <c r="I612" t="s">
        <v>13</v>
      </c>
      <c r="J612">
        <v>1</v>
      </c>
    </row>
    <row r="613" spans="1:10" x14ac:dyDescent="0.3">
      <c r="A613" t="s">
        <v>9</v>
      </c>
      <c r="B613">
        <v>17</v>
      </c>
      <c r="C613">
        <v>1</v>
      </c>
      <c r="D613">
        <v>1</v>
      </c>
      <c r="E613">
        <v>0</v>
      </c>
      <c r="F613" t="s">
        <v>37</v>
      </c>
      <c r="G613" t="s">
        <v>16</v>
      </c>
      <c r="H613" t="s">
        <v>18</v>
      </c>
      <c r="I613" t="s">
        <v>13</v>
      </c>
      <c r="J613">
        <v>1</v>
      </c>
    </row>
    <row r="614" spans="1:10" x14ac:dyDescent="0.3">
      <c r="A614" t="s">
        <v>9</v>
      </c>
      <c r="B614">
        <v>63</v>
      </c>
      <c r="C614">
        <v>0</v>
      </c>
      <c r="D614">
        <v>0</v>
      </c>
      <c r="E614">
        <v>1</v>
      </c>
      <c r="F614" t="s">
        <v>42</v>
      </c>
      <c r="G614" t="s">
        <v>11</v>
      </c>
      <c r="H614" t="s">
        <v>18</v>
      </c>
      <c r="I614" t="s">
        <v>13</v>
      </c>
      <c r="J614">
        <v>0</v>
      </c>
    </row>
    <row r="615" spans="1:10" x14ac:dyDescent="0.3">
      <c r="A615" t="s">
        <v>9</v>
      </c>
      <c r="B615">
        <v>29</v>
      </c>
      <c r="C615">
        <v>1</v>
      </c>
      <c r="D615">
        <v>1</v>
      </c>
      <c r="E615">
        <v>1</v>
      </c>
      <c r="F615" t="s">
        <v>10</v>
      </c>
      <c r="G615" t="s">
        <v>16</v>
      </c>
      <c r="H615" t="s">
        <v>18</v>
      </c>
      <c r="I615" t="s">
        <v>13</v>
      </c>
      <c r="J615">
        <v>1</v>
      </c>
    </row>
    <row r="616" spans="1:10" x14ac:dyDescent="0.3">
      <c r="A616" t="s">
        <v>14</v>
      </c>
      <c r="B616">
        <v>62</v>
      </c>
      <c r="C616">
        <v>0</v>
      </c>
      <c r="D616">
        <v>0</v>
      </c>
      <c r="E616">
        <v>1</v>
      </c>
      <c r="F616" t="s">
        <v>36</v>
      </c>
      <c r="G616" t="s">
        <v>11</v>
      </c>
      <c r="H616" t="s">
        <v>12</v>
      </c>
      <c r="I616" t="s">
        <v>13</v>
      </c>
      <c r="J616">
        <v>0</v>
      </c>
    </row>
    <row r="617" spans="1:10" x14ac:dyDescent="0.3">
      <c r="A617" t="s">
        <v>9</v>
      </c>
      <c r="B617">
        <v>16</v>
      </c>
      <c r="C617">
        <v>0</v>
      </c>
      <c r="D617">
        <v>0</v>
      </c>
      <c r="E617">
        <v>0</v>
      </c>
      <c r="F617" t="s">
        <v>24</v>
      </c>
      <c r="G617" t="s">
        <v>16</v>
      </c>
      <c r="H617" t="s">
        <v>23</v>
      </c>
      <c r="I617" t="s">
        <v>13</v>
      </c>
      <c r="J617">
        <v>0</v>
      </c>
    </row>
    <row r="618" spans="1:10" x14ac:dyDescent="0.3">
      <c r="A618" t="s">
        <v>14</v>
      </c>
      <c r="B618">
        <v>8</v>
      </c>
      <c r="C618">
        <v>0</v>
      </c>
      <c r="D618">
        <v>0</v>
      </c>
      <c r="E618">
        <v>0</v>
      </c>
      <c r="F618" t="s">
        <v>20</v>
      </c>
      <c r="G618" t="s">
        <v>11</v>
      </c>
      <c r="H618" t="s">
        <v>12</v>
      </c>
      <c r="I618" t="s">
        <v>13</v>
      </c>
      <c r="J618">
        <v>0</v>
      </c>
    </row>
    <row r="619" spans="1:10" x14ac:dyDescent="0.3">
      <c r="A619" t="s">
        <v>9</v>
      </c>
      <c r="B619">
        <v>10</v>
      </c>
      <c r="C619">
        <v>1</v>
      </c>
      <c r="D619">
        <v>1</v>
      </c>
      <c r="E619">
        <v>0</v>
      </c>
      <c r="F619" t="s">
        <v>50</v>
      </c>
      <c r="G619" t="s">
        <v>16</v>
      </c>
      <c r="H619" t="s">
        <v>23</v>
      </c>
      <c r="I619" t="s">
        <v>13</v>
      </c>
      <c r="J619">
        <v>1</v>
      </c>
    </row>
    <row r="620" spans="1:10" x14ac:dyDescent="0.3">
      <c r="A620" t="s">
        <v>9</v>
      </c>
      <c r="B620">
        <v>40</v>
      </c>
      <c r="C620">
        <v>1</v>
      </c>
      <c r="D620">
        <v>1</v>
      </c>
      <c r="E620">
        <v>0</v>
      </c>
      <c r="F620" t="s">
        <v>30</v>
      </c>
      <c r="G620" t="s">
        <v>11</v>
      </c>
      <c r="H620" t="s">
        <v>23</v>
      </c>
      <c r="I620" t="s">
        <v>13</v>
      </c>
      <c r="J620">
        <v>1</v>
      </c>
    </row>
    <row r="621" spans="1:10" x14ac:dyDescent="0.3">
      <c r="A621" t="s">
        <v>9</v>
      </c>
      <c r="B621">
        <v>51</v>
      </c>
      <c r="C621">
        <v>0</v>
      </c>
      <c r="D621">
        <v>0</v>
      </c>
      <c r="E621">
        <v>1</v>
      </c>
      <c r="F621" t="s">
        <v>15</v>
      </c>
      <c r="G621" t="s">
        <v>16</v>
      </c>
      <c r="H621" t="s">
        <v>18</v>
      </c>
      <c r="I621" t="s">
        <v>13</v>
      </c>
      <c r="J621">
        <v>0</v>
      </c>
    </row>
    <row r="622" spans="1:10" x14ac:dyDescent="0.3">
      <c r="A622" t="s">
        <v>9</v>
      </c>
      <c r="B622">
        <v>40</v>
      </c>
      <c r="C622">
        <v>1</v>
      </c>
      <c r="D622">
        <v>1</v>
      </c>
      <c r="E622">
        <v>1</v>
      </c>
      <c r="F622" t="s">
        <v>43</v>
      </c>
      <c r="G622" t="s">
        <v>11</v>
      </c>
      <c r="H622" t="s">
        <v>12</v>
      </c>
      <c r="I622" t="s">
        <v>13</v>
      </c>
      <c r="J622">
        <v>1</v>
      </c>
    </row>
    <row r="623" spans="1:10" x14ac:dyDescent="0.3">
      <c r="A623" t="s">
        <v>9</v>
      </c>
      <c r="B623">
        <v>50</v>
      </c>
      <c r="C623">
        <v>0</v>
      </c>
      <c r="D623">
        <v>0</v>
      </c>
      <c r="E623">
        <v>0</v>
      </c>
      <c r="F623" t="s">
        <v>24</v>
      </c>
      <c r="G623" t="s">
        <v>16</v>
      </c>
      <c r="H623" t="s">
        <v>18</v>
      </c>
      <c r="I623" t="s">
        <v>13</v>
      </c>
      <c r="J623">
        <v>0</v>
      </c>
    </row>
    <row r="624" spans="1:10" x14ac:dyDescent="0.3">
      <c r="A624" t="s">
        <v>14</v>
      </c>
      <c r="B624">
        <v>20</v>
      </c>
      <c r="C624">
        <v>1</v>
      </c>
      <c r="D624">
        <v>1</v>
      </c>
      <c r="E624">
        <v>1</v>
      </c>
      <c r="F624" t="s">
        <v>10</v>
      </c>
      <c r="G624" t="s">
        <v>11</v>
      </c>
      <c r="H624" t="s">
        <v>23</v>
      </c>
      <c r="I624" t="s">
        <v>13</v>
      </c>
      <c r="J624">
        <v>1</v>
      </c>
    </row>
    <row r="625" spans="1:10" x14ac:dyDescent="0.3">
      <c r="A625" t="s">
        <v>9</v>
      </c>
      <c r="B625">
        <v>27</v>
      </c>
      <c r="C625">
        <v>0</v>
      </c>
      <c r="D625">
        <v>0</v>
      </c>
      <c r="E625">
        <v>0</v>
      </c>
      <c r="F625" t="s">
        <v>20</v>
      </c>
      <c r="G625" t="s">
        <v>16</v>
      </c>
      <c r="H625" t="s">
        <v>18</v>
      </c>
      <c r="I625" t="s">
        <v>13</v>
      </c>
      <c r="J625">
        <v>0</v>
      </c>
    </row>
    <row r="626" spans="1:10" x14ac:dyDescent="0.3">
      <c r="A626" t="s">
        <v>9</v>
      </c>
      <c r="B626">
        <v>65</v>
      </c>
      <c r="C626">
        <v>0</v>
      </c>
      <c r="D626">
        <v>0</v>
      </c>
      <c r="E626">
        <v>0</v>
      </c>
      <c r="F626" t="s">
        <v>19</v>
      </c>
      <c r="G626" t="s">
        <v>11</v>
      </c>
      <c r="H626" t="s">
        <v>23</v>
      </c>
      <c r="I626" t="s">
        <v>13</v>
      </c>
      <c r="J626">
        <v>0</v>
      </c>
    </row>
    <row r="627" spans="1:10" x14ac:dyDescent="0.3">
      <c r="A627" t="s">
        <v>9</v>
      </c>
      <c r="B627">
        <v>10</v>
      </c>
      <c r="C627">
        <v>1</v>
      </c>
      <c r="D627">
        <v>1</v>
      </c>
      <c r="E627">
        <v>1</v>
      </c>
      <c r="F627" t="s">
        <v>49</v>
      </c>
      <c r="G627" t="s">
        <v>16</v>
      </c>
      <c r="H627" t="s">
        <v>23</v>
      </c>
      <c r="I627" t="s">
        <v>13</v>
      </c>
      <c r="J627">
        <v>1</v>
      </c>
    </row>
    <row r="628" spans="1:10" x14ac:dyDescent="0.3">
      <c r="A628" t="s">
        <v>9</v>
      </c>
      <c r="B628">
        <v>33</v>
      </c>
      <c r="C628">
        <v>1</v>
      </c>
      <c r="D628">
        <v>1</v>
      </c>
      <c r="E628">
        <v>1</v>
      </c>
      <c r="F628" t="s">
        <v>19</v>
      </c>
      <c r="G628" t="s">
        <v>11</v>
      </c>
      <c r="H628" t="s">
        <v>23</v>
      </c>
      <c r="I628" t="s">
        <v>13</v>
      </c>
      <c r="J628">
        <v>1</v>
      </c>
    </row>
    <row r="629" spans="1:10" x14ac:dyDescent="0.3">
      <c r="A629" t="s">
        <v>14</v>
      </c>
      <c r="B629">
        <v>20</v>
      </c>
      <c r="C629">
        <v>1</v>
      </c>
      <c r="D629">
        <v>1</v>
      </c>
      <c r="E629">
        <v>1</v>
      </c>
      <c r="F629" t="s">
        <v>19</v>
      </c>
      <c r="G629" t="s">
        <v>16</v>
      </c>
      <c r="H629" t="s">
        <v>23</v>
      </c>
      <c r="I629" t="s">
        <v>13</v>
      </c>
      <c r="J629">
        <v>1</v>
      </c>
    </row>
    <row r="630" spans="1:10" x14ac:dyDescent="0.3">
      <c r="A630" t="s">
        <v>9</v>
      </c>
      <c r="B630">
        <v>44</v>
      </c>
      <c r="C630">
        <v>1</v>
      </c>
      <c r="D630">
        <v>1</v>
      </c>
      <c r="E630">
        <v>1</v>
      </c>
      <c r="F630" t="s">
        <v>24</v>
      </c>
      <c r="G630" t="s">
        <v>11</v>
      </c>
      <c r="H630" t="s">
        <v>12</v>
      </c>
      <c r="I630" t="s">
        <v>13</v>
      </c>
      <c r="J630">
        <v>1</v>
      </c>
    </row>
    <row r="631" spans="1:10" x14ac:dyDescent="0.3">
      <c r="A631" t="s">
        <v>14</v>
      </c>
      <c r="B631">
        <v>62</v>
      </c>
      <c r="C631">
        <v>0</v>
      </c>
      <c r="D631">
        <v>0</v>
      </c>
      <c r="E631">
        <v>0</v>
      </c>
      <c r="F631" t="s">
        <v>24</v>
      </c>
      <c r="G631" t="s">
        <v>16</v>
      </c>
      <c r="H631" t="s">
        <v>12</v>
      </c>
      <c r="I631" t="s">
        <v>13</v>
      </c>
      <c r="J631">
        <v>0</v>
      </c>
    </row>
    <row r="632" spans="1:10" x14ac:dyDescent="0.3">
      <c r="A632" t="s">
        <v>14</v>
      </c>
      <c r="B632">
        <v>62</v>
      </c>
      <c r="C632">
        <v>1</v>
      </c>
      <c r="D632">
        <v>1</v>
      </c>
      <c r="E632">
        <v>0</v>
      </c>
      <c r="F632" t="s">
        <v>49</v>
      </c>
      <c r="G632" t="s">
        <v>11</v>
      </c>
      <c r="H632" t="s">
        <v>18</v>
      </c>
      <c r="I632" t="s">
        <v>13</v>
      </c>
      <c r="J632">
        <v>1</v>
      </c>
    </row>
    <row r="633" spans="1:10" x14ac:dyDescent="0.3">
      <c r="A633" t="s">
        <v>14</v>
      </c>
      <c r="B633">
        <v>54</v>
      </c>
      <c r="C633">
        <v>1</v>
      </c>
      <c r="D633">
        <v>1</v>
      </c>
      <c r="E633">
        <v>1</v>
      </c>
      <c r="F633" t="s">
        <v>37</v>
      </c>
      <c r="G633" t="s">
        <v>16</v>
      </c>
      <c r="H633" t="s">
        <v>12</v>
      </c>
      <c r="I633" t="s">
        <v>13</v>
      </c>
      <c r="J633">
        <v>1</v>
      </c>
    </row>
    <row r="634" spans="1:10" x14ac:dyDescent="0.3">
      <c r="A634" t="s">
        <v>14</v>
      </c>
      <c r="B634">
        <v>62</v>
      </c>
      <c r="C634">
        <v>0</v>
      </c>
      <c r="D634">
        <v>0</v>
      </c>
      <c r="E634">
        <v>1</v>
      </c>
      <c r="F634" t="s">
        <v>17</v>
      </c>
      <c r="G634" t="s">
        <v>11</v>
      </c>
      <c r="H634" t="s">
        <v>23</v>
      </c>
      <c r="I634" t="s">
        <v>13</v>
      </c>
      <c r="J634">
        <v>0</v>
      </c>
    </row>
    <row r="635" spans="1:10" x14ac:dyDescent="0.3">
      <c r="A635" t="s">
        <v>14</v>
      </c>
      <c r="B635">
        <v>58</v>
      </c>
      <c r="C635">
        <v>1</v>
      </c>
      <c r="D635">
        <v>1</v>
      </c>
      <c r="E635">
        <v>0</v>
      </c>
      <c r="F635" t="s">
        <v>24</v>
      </c>
      <c r="G635" t="s">
        <v>16</v>
      </c>
      <c r="H635" t="s">
        <v>12</v>
      </c>
      <c r="I635" t="s">
        <v>13</v>
      </c>
      <c r="J635">
        <v>1</v>
      </c>
    </row>
    <row r="636" spans="1:10" x14ac:dyDescent="0.3">
      <c r="A636" t="s">
        <v>14</v>
      </c>
      <c r="B636">
        <v>10</v>
      </c>
      <c r="C636">
        <v>1</v>
      </c>
      <c r="D636">
        <v>1</v>
      </c>
      <c r="E636">
        <v>1</v>
      </c>
      <c r="F636" t="s">
        <v>25</v>
      </c>
      <c r="G636" t="s">
        <v>11</v>
      </c>
      <c r="H636" t="s">
        <v>18</v>
      </c>
      <c r="I636" t="s">
        <v>13</v>
      </c>
      <c r="J636">
        <v>1</v>
      </c>
    </row>
    <row r="637" spans="1:10" x14ac:dyDescent="0.3">
      <c r="A637" t="s">
        <v>9</v>
      </c>
      <c r="B637">
        <v>47</v>
      </c>
      <c r="C637">
        <v>0</v>
      </c>
      <c r="D637">
        <v>0</v>
      </c>
      <c r="E637">
        <v>1</v>
      </c>
      <c r="F637" t="s">
        <v>38</v>
      </c>
      <c r="G637" t="s">
        <v>16</v>
      </c>
      <c r="H637" t="s">
        <v>12</v>
      </c>
      <c r="I637" t="s">
        <v>13</v>
      </c>
      <c r="J637">
        <v>0</v>
      </c>
    </row>
    <row r="638" spans="1:10" x14ac:dyDescent="0.3">
      <c r="A638" t="s">
        <v>9</v>
      </c>
      <c r="B638">
        <v>20</v>
      </c>
      <c r="C638">
        <v>0</v>
      </c>
      <c r="D638">
        <v>0</v>
      </c>
      <c r="E638">
        <v>1</v>
      </c>
      <c r="F638" t="s">
        <v>35</v>
      </c>
      <c r="G638" t="s">
        <v>11</v>
      </c>
      <c r="H638" t="s">
        <v>23</v>
      </c>
      <c r="I638" t="s">
        <v>13</v>
      </c>
      <c r="J638">
        <v>0</v>
      </c>
    </row>
    <row r="639" spans="1:10" x14ac:dyDescent="0.3">
      <c r="A639" t="s">
        <v>14</v>
      </c>
      <c r="B639">
        <v>60</v>
      </c>
      <c r="C639">
        <v>0</v>
      </c>
      <c r="D639">
        <v>0</v>
      </c>
      <c r="E639">
        <v>1</v>
      </c>
      <c r="F639" t="s">
        <v>35</v>
      </c>
      <c r="G639" t="s">
        <v>16</v>
      </c>
      <c r="H639" t="s">
        <v>12</v>
      </c>
      <c r="I639" t="s">
        <v>13</v>
      </c>
      <c r="J639">
        <v>0</v>
      </c>
    </row>
    <row r="640" spans="1:10" x14ac:dyDescent="0.3">
      <c r="A640" t="s">
        <v>9</v>
      </c>
      <c r="B640">
        <v>28</v>
      </c>
      <c r="C640">
        <v>0</v>
      </c>
      <c r="D640">
        <v>0</v>
      </c>
      <c r="E640">
        <v>0</v>
      </c>
      <c r="F640" t="s">
        <v>48</v>
      </c>
      <c r="G640" t="s">
        <v>11</v>
      </c>
      <c r="H640" t="s">
        <v>23</v>
      </c>
      <c r="I640" t="s">
        <v>13</v>
      </c>
      <c r="J640">
        <v>0</v>
      </c>
    </row>
    <row r="641" spans="1:10" x14ac:dyDescent="0.3">
      <c r="A641" t="s">
        <v>9</v>
      </c>
      <c r="B641">
        <v>21</v>
      </c>
      <c r="C641">
        <v>1</v>
      </c>
      <c r="D641">
        <v>1</v>
      </c>
      <c r="E641">
        <v>1</v>
      </c>
      <c r="F641" t="s">
        <v>51</v>
      </c>
      <c r="G641" t="s">
        <v>16</v>
      </c>
      <c r="H641" t="s">
        <v>12</v>
      </c>
      <c r="I641" t="s">
        <v>13</v>
      </c>
      <c r="J641">
        <v>1</v>
      </c>
    </row>
    <row r="642" spans="1:10" x14ac:dyDescent="0.3">
      <c r="A642" t="s">
        <v>9</v>
      </c>
      <c r="B642">
        <v>48</v>
      </c>
      <c r="C642">
        <v>1</v>
      </c>
      <c r="D642">
        <v>1</v>
      </c>
      <c r="E642">
        <v>1</v>
      </c>
      <c r="F642" t="s">
        <v>52</v>
      </c>
      <c r="G642" t="s">
        <v>11</v>
      </c>
      <c r="H642" t="s">
        <v>18</v>
      </c>
      <c r="I642" t="s">
        <v>13</v>
      </c>
      <c r="J642">
        <v>1</v>
      </c>
    </row>
    <row r="643" spans="1:10" x14ac:dyDescent="0.3">
      <c r="A643" t="s">
        <v>14</v>
      </c>
      <c r="B643">
        <v>45</v>
      </c>
      <c r="C643">
        <v>0</v>
      </c>
      <c r="D643">
        <v>0</v>
      </c>
      <c r="E643">
        <v>0</v>
      </c>
      <c r="F643" t="s">
        <v>34</v>
      </c>
      <c r="G643" t="s">
        <v>16</v>
      </c>
      <c r="H643" t="s">
        <v>18</v>
      </c>
      <c r="I643" t="s">
        <v>13</v>
      </c>
      <c r="J643">
        <v>0</v>
      </c>
    </row>
    <row r="644" spans="1:10" x14ac:dyDescent="0.3">
      <c r="A644" t="s">
        <v>14</v>
      </c>
      <c r="B644">
        <v>23</v>
      </c>
      <c r="C644">
        <v>1</v>
      </c>
      <c r="D644">
        <v>1</v>
      </c>
      <c r="E644">
        <v>0</v>
      </c>
      <c r="F644" t="s">
        <v>47</v>
      </c>
      <c r="G644" t="s">
        <v>11</v>
      </c>
      <c r="H644" t="s">
        <v>12</v>
      </c>
      <c r="I644" t="s">
        <v>13</v>
      </c>
      <c r="J644">
        <v>1</v>
      </c>
    </row>
    <row r="645" spans="1:10" x14ac:dyDescent="0.3">
      <c r="A645" t="s">
        <v>9</v>
      </c>
      <c r="B645">
        <v>52</v>
      </c>
      <c r="C645">
        <v>0</v>
      </c>
      <c r="D645">
        <v>0</v>
      </c>
      <c r="E645">
        <v>0</v>
      </c>
      <c r="F645" t="s">
        <v>34</v>
      </c>
      <c r="G645" t="s">
        <v>16</v>
      </c>
      <c r="H645" t="s">
        <v>23</v>
      </c>
      <c r="I645" t="s">
        <v>13</v>
      </c>
      <c r="J645">
        <v>0</v>
      </c>
    </row>
    <row r="646" spans="1:10" x14ac:dyDescent="0.3">
      <c r="A646" t="s">
        <v>14</v>
      </c>
      <c r="B646">
        <v>28</v>
      </c>
      <c r="C646">
        <v>1</v>
      </c>
      <c r="D646">
        <v>1</v>
      </c>
      <c r="E646">
        <v>1</v>
      </c>
      <c r="F646" t="s">
        <v>51</v>
      </c>
      <c r="G646" t="s">
        <v>11</v>
      </c>
      <c r="H646" t="s">
        <v>12</v>
      </c>
      <c r="I646" t="s">
        <v>13</v>
      </c>
      <c r="J646">
        <v>1</v>
      </c>
    </row>
    <row r="647" spans="1:10" x14ac:dyDescent="0.3">
      <c r="A647" t="s">
        <v>14</v>
      </c>
      <c r="B647">
        <v>19</v>
      </c>
      <c r="C647">
        <v>0</v>
      </c>
      <c r="D647">
        <v>0</v>
      </c>
      <c r="E647">
        <v>0</v>
      </c>
      <c r="F647" t="s">
        <v>30</v>
      </c>
      <c r="G647" t="s">
        <v>16</v>
      </c>
      <c r="H647" t="s">
        <v>18</v>
      </c>
      <c r="I647" t="s">
        <v>13</v>
      </c>
      <c r="J647">
        <v>0</v>
      </c>
    </row>
    <row r="648" spans="1:10" x14ac:dyDescent="0.3">
      <c r="A648" t="s">
        <v>14</v>
      </c>
      <c r="B648">
        <v>46</v>
      </c>
      <c r="C648">
        <v>1</v>
      </c>
      <c r="D648">
        <v>1</v>
      </c>
      <c r="E648">
        <v>1</v>
      </c>
      <c r="F648" t="s">
        <v>33</v>
      </c>
      <c r="G648" t="s">
        <v>11</v>
      </c>
      <c r="H648" t="s">
        <v>12</v>
      </c>
      <c r="I648" t="s">
        <v>13</v>
      </c>
      <c r="J648">
        <v>1</v>
      </c>
    </row>
    <row r="649" spans="1:10" x14ac:dyDescent="0.3">
      <c r="A649" t="s">
        <v>9</v>
      </c>
      <c r="B649">
        <v>61</v>
      </c>
      <c r="C649">
        <v>0</v>
      </c>
      <c r="D649">
        <v>0</v>
      </c>
      <c r="E649">
        <v>0</v>
      </c>
      <c r="F649" t="s">
        <v>20</v>
      </c>
      <c r="G649" t="s">
        <v>16</v>
      </c>
      <c r="H649" t="s">
        <v>23</v>
      </c>
      <c r="I649" t="s">
        <v>13</v>
      </c>
      <c r="J649">
        <v>0</v>
      </c>
    </row>
    <row r="650" spans="1:10" x14ac:dyDescent="0.3">
      <c r="A650" t="s">
        <v>9</v>
      </c>
      <c r="B650">
        <v>32</v>
      </c>
      <c r="C650">
        <v>0</v>
      </c>
      <c r="D650">
        <v>0</v>
      </c>
      <c r="E650">
        <v>0</v>
      </c>
      <c r="F650" t="s">
        <v>17</v>
      </c>
      <c r="G650" t="s">
        <v>11</v>
      </c>
      <c r="H650" t="s">
        <v>12</v>
      </c>
      <c r="I650" t="s">
        <v>13</v>
      </c>
      <c r="J650">
        <v>0</v>
      </c>
    </row>
    <row r="651" spans="1:10" x14ac:dyDescent="0.3">
      <c r="A651" t="s">
        <v>14</v>
      </c>
      <c r="B651">
        <v>10</v>
      </c>
      <c r="C651">
        <v>1</v>
      </c>
      <c r="D651">
        <v>1</v>
      </c>
      <c r="E651">
        <v>1</v>
      </c>
      <c r="F651" t="s">
        <v>33</v>
      </c>
      <c r="G651" t="s">
        <v>16</v>
      </c>
      <c r="H651" t="s">
        <v>18</v>
      </c>
      <c r="I651" t="s">
        <v>13</v>
      </c>
      <c r="J651">
        <v>1</v>
      </c>
    </row>
    <row r="652" spans="1:10" x14ac:dyDescent="0.3">
      <c r="A652" t="s">
        <v>14</v>
      </c>
      <c r="B652">
        <v>27</v>
      </c>
      <c r="C652">
        <v>1</v>
      </c>
      <c r="D652">
        <v>1</v>
      </c>
      <c r="E652">
        <v>1</v>
      </c>
      <c r="F652" t="s">
        <v>22</v>
      </c>
      <c r="G652" t="s">
        <v>11</v>
      </c>
      <c r="H652" t="s">
        <v>18</v>
      </c>
      <c r="I652" t="s">
        <v>13</v>
      </c>
      <c r="J652">
        <v>1</v>
      </c>
    </row>
    <row r="653" spans="1:10" x14ac:dyDescent="0.3">
      <c r="A653" t="s">
        <v>9</v>
      </c>
      <c r="B653">
        <v>56</v>
      </c>
      <c r="C653">
        <v>0</v>
      </c>
      <c r="D653">
        <v>0</v>
      </c>
      <c r="E653">
        <v>0</v>
      </c>
      <c r="F653" t="s">
        <v>26</v>
      </c>
      <c r="G653" t="s">
        <v>16</v>
      </c>
      <c r="H653" t="s">
        <v>12</v>
      </c>
      <c r="I653" t="s">
        <v>13</v>
      </c>
      <c r="J653">
        <v>0</v>
      </c>
    </row>
    <row r="654" spans="1:10" x14ac:dyDescent="0.3">
      <c r="A654" t="s">
        <v>14</v>
      </c>
      <c r="B654">
        <v>26</v>
      </c>
      <c r="C654">
        <v>0</v>
      </c>
      <c r="D654">
        <v>0</v>
      </c>
      <c r="E654">
        <v>0</v>
      </c>
      <c r="F654" t="s">
        <v>41</v>
      </c>
      <c r="G654" t="s">
        <v>11</v>
      </c>
      <c r="H654" t="s">
        <v>12</v>
      </c>
      <c r="I654" t="s">
        <v>13</v>
      </c>
      <c r="J654">
        <v>0</v>
      </c>
    </row>
    <row r="655" spans="1:10" x14ac:dyDescent="0.3">
      <c r="A655" t="s">
        <v>14</v>
      </c>
      <c r="B655">
        <v>15</v>
      </c>
      <c r="C655">
        <v>1</v>
      </c>
      <c r="D655">
        <v>1</v>
      </c>
      <c r="E655">
        <v>0</v>
      </c>
      <c r="F655" t="s">
        <v>20</v>
      </c>
      <c r="G655" t="s">
        <v>16</v>
      </c>
      <c r="H655" t="s">
        <v>18</v>
      </c>
      <c r="I655" t="s">
        <v>13</v>
      </c>
      <c r="J655">
        <v>1</v>
      </c>
    </row>
    <row r="656" spans="1:10" x14ac:dyDescent="0.3">
      <c r="A656" t="s">
        <v>9</v>
      </c>
      <c r="B656">
        <v>10</v>
      </c>
      <c r="C656">
        <v>1</v>
      </c>
      <c r="D656">
        <v>1</v>
      </c>
      <c r="E656">
        <v>1</v>
      </c>
      <c r="F656" t="s">
        <v>20</v>
      </c>
      <c r="G656" t="s">
        <v>11</v>
      </c>
      <c r="H656" t="s">
        <v>18</v>
      </c>
      <c r="I656" t="s">
        <v>13</v>
      </c>
      <c r="J656">
        <v>1</v>
      </c>
    </row>
    <row r="657" spans="1:10" x14ac:dyDescent="0.3">
      <c r="A657" t="s">
        <v>14</v>
      </c>
      <c r="B657">
        <v>24</v>
      </c>
      <c r="C657">
        <v>1</v>
      </c>
      <c r="D657">
        <v>1</v>
      </c>
      <c r="E657">
        <v>1</v>
      </c>
      <c r="F657" t="s">
        <v>33</v>
      </c>
      <c r="G657" t="s">
        <v>16</v>
      </c>
      <c r="H657" t="s">
        <v>23</v>
      </c>
      <c r="I657" t="s">
        <v>13</v>
      </c>
      <c r="J657">
        <v>1</v>
      </c>
    </row>
    <row r="658" spans="1:10" x14ac:dyDescent="0.3">
      <c r="A658" t="s">
        <v>9</v>
      </c>
      <c r="B658">
        <v>51</v>
      </c>
      <c r="C658">
        <v>0</v>
      </c>
      <c r="D658">
        <v>0</v>
      </c>
      <c r="E658">
        <v>1</v>
      </c>
      <c r="F658" t="s">
        <v>45</v>
      </c>
      <c r="G658" t="s">
        <v>11</v>
      </c>
      <c r="H658" t="s">
        <v>23</v>
      </c>
      <c r="I658" t="s">
        <v>13</v>
      </c>
      <c r="J658">
        <v>0</v>
      </c>
    </row>
    <row r="659" spans="1:10" x14ac:dyDescent="0.3">
      <c r="A659" t="s">
        <v>9</v>
      </c>
      <c r="B659">
        <v>41</v>
      </c>
      <c r="C659">
        <v>0</v>
      </c>
      <c r="D659">
        <v>0</v>
      </c>
      <c r="E659">
        <v>1</v>
      </c>
      <c r="F659" t="s">
        <v>17</v>
      </c>
      <c r="G659" t="s">
        <v>16</v>
      </c>
      <c r="H659" t="s">
        <v>18</v>
      </c>
      <c r="I659" t="s">
        <v>13</v>
      </c>
      <c r="J659">
        <v>0</v>
      </c>
    </row>
    <row r="660" spans="1:10" x14ac:dyDescent="0.3">
      <c r="A660" t="s">
        <v>14</v>
      </c>
      <c r="B660">
        <v>65</v>
      </c>
      <c r="C660">
        <v>1</v>
      </c>
      <c r="D660">
        <v>1</v>
      </c>
      <c r="E660">
        <v>0</v>
      </c>
      <c r="F660" t="s">
        <v>45</v>
      </c>
      <c r="G660" t="s">
        <v>11</v>
      </c>
      <c r="H660" t="s">
        <v>12</v>
      </c>
      <c r="I660" t="s">
        <v>13</v>
      </c>
      <c r="J660">
        <v>1</v>
      </c>
    </row>
    <row r="661" spans="1:10" x14ac:dyDescent="0.3">
      <c r="A661" t="s">
        <v>9</v>
      </c>
      <c r="B661">
        <v>51</v>
      </c>
      <c r="C661">
        <v>0</v>
      </c>
      <c r="D661">
        <v>0</v>
      </c>
      <c r="E661">
        <v>1</v>
      </c>
      <c r="F661" t="s">
        <v>21</v>
      </c>
      <c r="G661" t="s">
        <v>16</v>
      </c>
      <c r="H661" t="s">
        <v>12</v>
      </c>
      <c r="I661" t="s">
        <v>13</v>
      </c>
      <c r="J661">
        <v>0</v>
      </c>
    </row>
    <row r="662" spans="1:10" x14ac:dyDescent="0.3">
      <c r="A662" t="s">
        <v>14</v>
      </c>
      <c r="B662">
        <v>18</v>
      </c>
      <c r="C662">
        <v>0</v>
      </c>
      <c r="D662">
        <v>0</v>
      </c>
      <c r="E662">
        <v>0</v>
      </c>
      <c r="F662" t="s">
        <v>22</v>
      </c>
      <c r="G662" t="s">
        <v>11</v>
      </c>
      <c r="H662" t="s">
        <v>12</v>
      </c>
      <c r="I662" t="s">
        <v>13</v>
      </c>
      <c r="J662">
        <v>0</v>
      </c>
    </row>
    <row r="663" spans="1:10" x14ac:dyDescent="0.3">
      <c r="A663" t="s">
        <v>14</v>
      </c>
      <c r="B663">
        <v>31</v>
      </c>
      <c r="C663">
        <v>0</v>
      </c>
      <c r="D663">
        <v>0</v>
      </c>
      <c r="E663">
        <v>1</v>
      </c>
      <c r="F663" t="s">
        <v>41</v>
      </c>
      <c r="G663" t="s">
        <v>16</v>
      </c>
      <c r="H663" t="s">
        <v>12</v>
      </c>
      <c r="I663" t="s">
        <v>13</v>
      </c>
      <c r="J663">
        <v>0</v>
      </c>
    </row>
    <row r="664" spans="1:10" x14ac:dyDescent="0.3">
      <c r="A664" t="s">
        <v>14</v>
      </c>
      <c r="B664">
        <v>30</v>
      </c>
      <c r="C664">
        <v>1</v>
      </c>
      <c r="D664">
        <v>1</v>
      </c>
      <c r="E664">
        <v>0</v>
      </c>
      <c r="F664" t="s">
        <v>47</v>
      </c>
      <c r="G664" t="s">
        <v>11</v>
      </c>
      <c r="H664" t="s">
        <v>12</v>
      </c>
      <c r="I664" t="s">
        <v>13</v>
      </c>
      <c r="J664">
        <v>1</v>
      </c>
    </row>
    <row r="665" spans="1:10" x14ac:dyDescent="0.3">
      <c r="A665" t="s">
        <v>14</v>
      </c>
      <c r="B665">
        <v>14</v>
      </c>
      <c r="C665">
        <v>1</v>
      </c>
      <c r="D665">
        <v>1</v>
      </c>
      <c r="E665">
        <v>1</v>
      </c>
      <c r="F665" t="s">
        <v>43</v>
      </c>
      <c r="G665" t="s">
        <v>16</v>
      </c>
      <c r="H665" t="s">
        <v>23</v>
      </c>
      <c r="I665" t="s">
        <v>13</v>
      </c>
      <c r="J665">
        <v>1</v>
      </c>
    </row>
    <row r="666" spans="1:10" x14ac:dyDescent="0.3">
      <c r="A666" t="s">
        <v>14</v>
      </c>
      <c r="B666">
        <v>17</v>
      </c>
      <c r="C666">
        <v>1</v>
      </c>
      <c r="D666">
        <v>1</v>
      </c>
      <c r="E666">
        <v>0</v>
      </c>
      <c r="F666" t="s">
        <v>22</v>
      </c>
      <c r="G666" t="s">
        <v>11</v>
      </c>
      <c r="H666" t="s">
        <v>18</v>
      </c>
      <c r="I666" t="s">
        <v>13</v>
      </c>
      <c r="J666">
        <v>1</v>
      </c>
    </row>
    <row r="667" spans="1:10" x14ac:dyDescent="0.3">
      <c r="A667" t="s">
        <v>14</v>
      </c>
      <c r="B667">
        <v>63</v>
      </c>
      <c r="C667">
        <v>1</v>
      </c>
      <c r="D667">
        <v>1</v>
      </c>
      <c r="E667">
        <v>0</v>
      </c>
      <c r="F667" t="s">
        <v>46</v>
      </c>
      <c r="G667" t="s">
        <v>16</v>
      </c>
      <c r="H667" t="s">
        <v>23</v>
      </c>
      <c r="I667" t="s">
        <v>13</v>
      </c>
      <c r="J667">
        <v>1</v>
      </c>
    </row>
    <row r="668" spans="1:10" x14ac:dyDescent="0.3">
      <c r="A668" t="s">
        <v>14</v>
      </c>
      <c r="B668">
        <v>49</v>
      </c>
      <c r="C668">
        <v>1</v>
      </c>
      <c r="D668">
        <v>1</v>
      </c>
      <c r="E668">
        <v>0</v>
      </c>
      <c r="F668" t="s">
        <v>15</v>
      </c>
      <c r="G668" t="s">
        <v>11</v>
      </c>
      <c r="H668" t="s">
        <v>12</v>
      </c>
      <c r="I668" t="s">
        <v>13</v>
      </c>
      <c r="J668">
        <v>1</v>
      </c>
    </row>
    <row r="669" spans="1:10" x14ac:dyDescent="0.3">
      <c r="A669" t="s">
        <v>9</v>
      </c>
      <c r="B669">
        <v>55</v>
      </c>
      <c r="C669">
        <v>0</v>
      </c>
      <c r="D669">
        <v>0</v>
      </c>
      <c r="E669">
        <v>0</v>
      </c>
      <c r="F669" t="s">
        <v>48</v>
      </c>
      <c r="G669" t="s">
        <v>16</v>
      </c>
      <c r="H669" t="s">
        <v>12</v>
      </c>
      <c r="I669" t="s">
        <v>13</v>
      </c>
      <c r="J669">
        <v>0</v>
      </c>
    </row>
    <row r="670" spans="1:10" x14ac:dyDescent="0.3">
      <c r="A670" t="s">
        <v>9</v>
      </c>
      <c r="B670">
        <v>17</v>
      </c>
      <c r="C670">
        <v>1</v>
      </c>
      <c r="D670">
        <v>1</v>
      </c>
      <c r="E670">
        <v>0</v>
      </c>
      <c r="F670" t="s">
        <v>38</v>
      </c>
      <c r="G670" t="s">
        <v>11</v>
      </c>
      <c r="H670" t="s">
        <v>18</v>
      </c>
      <c r="I670" t="s">
        <v>13</v>
      </c>
      <c r="J670">
        <v>1</v>
      </c>
    </row>
    <row r="671" spans="1:10" x14ac:dyDescent="0.3">
      <c r="A671" t="s">
        <v>14</v>
      </c>
      <c r="B671">
        <v>17</v>
      </c>
      <c r="C671">
        <v>0</v>
      </c>
      <c r="D671">
        <v>0</v>
      </c>
      <c r="E671">
        <v>1</v>
      </c>
      <c r="F671" t="s">
        <v>22</v>
      </c>
      <c r="G671" t="s">
        <v>16</v>
      </c>
      <c r="H671" t="s">
        <v>23</v>
      </c>
      <c r="I671" t="s">
        <v>13</v>
      </c>
      <c r="J671">
        <v>0</v>
      </c>
    </row>
    <row r="672" spans="1:10" x14ac:dyDescent="0.3">
      <c r="A672" t="s">
        <v>14</v>
      </c>
      <c r="B672">
        <v>55</v>
      </c>
      <c r="C672">
        <v>1</v>
      </c>
      <c r="D672">
        <v>1</v>
      </c>
      <c r="E672">
        <v>1</v>
      </c>
      <c r="F672" t="s">
        <v>33</v>
      </c>
      <c r="G672" t="s">
        <v>11</v>
      </c>
      <c r="H672" t="s">
        <v>12</v>
      </c>
      <c r="I672" t="s">
        <v>13</v>
      </c>
      <c r="J672">
        <v>1</v>
      </c>
    </row>
    <row r="673" spans="1:10" x14ac:dyDescent="0.3">
      <c r="A673" t="s">
        <v>9</v>
      </c>
      <c r="B673">
        <v>57</v>
      </c>
      <c r="C673">
        <v>1</v>
      </c>
      <c r="D673">
        <v>1</v>
      </c>
      <c r="E673">
        <v>0</v>
      </c>
      <c r="F673" t="s">
        <v>44</v>
      </c>
      <c r="G673" t="s">
        <v>16</v>
      </c>
      <c r="H673" t="s">
        <v>18</v>
      </c>
      <c r="I673" t="s">
        <v>13</v>
      </c>
      <c r="J673">
        <v>1</v>
      </c>
    </row>
    <row r="674" spans="1:10" x14ac:dyDescent="0.3">
      <c r="A674" t="s">
        <v>14</v>
      </c>
      <c r="B674">
        <v>45</v>
      </c>
      <c r="C674">
        <v>0</v>
      </c>
      <c r="D674">
        <v>0</v>
      </c>
      <c r="E674">
        <v>0</v>
      </c>
      <c r="F674" t="s">
        <v>26</v>
      </c>
      <c r="G674" t="s">
        <v>11</v>
      </c>
      <c r="H674" t="s">
        <v>23</v>
      </c>
      <c r="I674" t="s">
        <v>13</v>
      </c>
      <c r="J674">
        <v>0</v>
      </c>
    </row>
    <row r="675" spans="1:10" x14ac:dyDescent="0.3">
      <c r="A675" t="s">
        <v>9</v>
      </c>
      <c r="B675">
        <v>37</v>
      </c>
      <c r="C675">
        <v>0</v>
      </c>
      <c r="D675">
        <v>0</v>
      </c>
      <c r="E675">
        <v>0</v>
      </c>
      <c r="F675" t="s">
        <v>27</v>
      </c>
      <c r="G675" t="s">
        <v>16</v>
      </c>
      <c r="H675" t="s">
        <v>12</v>
      </c>
      <c r="I675" t="s">
        <v>13</v>
      </c>
      <c r="J675">
        <v>0</v>
      </c>
    </row>
    <row r="676" spans="1:10" x14ac:dyDescent="0.3">
      <c r="A676" t="s">
        <v>14</v>
      </c>
      <c r="B676">
        <v>47</v>
      </c>
      <c r="C676">
        <v>1</v>
      </c>
      <c r="D676">
        <v>1</v>
      </c>
      <c r="E676">
        <v>1</v>
      </c>
      <c r="F676" t="s">
        <v>33</v>
      </c>
      <c r="G676" t="s">
        <v>11</v>
      </c>
      <c r="H676" t="s">
        <v>18</v>
      </c>
      <c r="I676" t="s">
        <v>13</v>
      </c>
      <c r="J676">
        <v>1</v>
      </c>
    </row>
    <row r="677" spans="1:10" x14ac:dyDescent="0.3">
      <c r="A677" t="s">
        <v>9</v>
      </c>
      <c r="B677">
        <v>49</v>
      </c>
      <c r="C677">
        <v>1</v>
      </c>
      <c r="D677">
        <v>1</v>
      </c>
      <c r="E677">
        <v>1</v>
      </c>
      <c r="F677" t="s">
        <v>29</v>
      </c>
      <c r="G677" t="s">
        <v>16</v>
      </c>
      <c r="H677" t="s">
        <v>23</v>
      </c>
      <c r="I677" t="s">
        <v>13</v>
      </c>
      <c r="J677">
        <v>1</v>
      </c>
    </row>
    <row r="678" spans="1:10" x14ac:dyDescent="0.3">
      <c r="A678" t="s">
        <v>9</v>
      </c>
      <c r="B678">
        <v>32</v>
      </c>
      <c r="C678">
        <v>1</v>
      </c>
      <c r="D678">
        <v>1</v>
      </c>
      <c r="E678">
        <v>0</v>
      </c>
      <c r="F678" t="s">
        <v>30</v>
      </c>
      <c r="G678" t="s">
        <v>11</v>
      </c>
      <c r="H678" t="s">
        <v>23</v>
      </c>
      <c r="I678" t="s">
        <v>13</v>
      </c>
      <c r="J678">
        <v>1</v>
      </c>
    </row>
    <row r="679" spans="1:10" x14ac:dyDescent="0.3">
      <c r="A679" t="s">
        <v>14</v>
      </c>
      <c r="B679">
        <v>33</v>
      </c>
      <c r="C679">
        <v>1</v>
      </c>
      <c r="D679">
        <v>1</v>
      </c>
      <c r="E679">
        <v>0</v>
      </c>
      <c r="F679" t="s">
        <v>31</v>
      </c>
      <c r="G679" t="s">
        <v>16</v>
      </c>
      <c r="H679" t="s">
        <v>12</v>
      </c>
      <c r="I679" t="s">
        <v>13</v>
      </c>
      <c r="J679">
        <v>1</v>
      </c>
    </row>
    <row r="680" spans="1:10" x14ac:dyDescent="0.3">
      <c r="A680" t="s">
        <v>9</v>
      </c>
      <c r="B680">
        <v>25</v>
      </c>
      <c r="C680">
        <v>0</v>
      </c>
      <c r="D680">
        <v>0</v>
      </c>
      <c r="E680">
        <v>0</v>
      </c>
      <c r="F680" t="s">
        <v>33</v>
      </c>
      <c r="G680" t="s">
        <v>11</v>
      </c>
      <c r="H680" t="s">
        <v>18</v>
      </c>
      <c r="I680" t="s">
        <v>13</v>
      </c>
      <c r="J680">
        <v>0</v>
      </c>
    </row>
    <row r="681" spans="1:10" x14ac:dyDescent="0.3">
      <c r="A681" t="s">
        <v>14</v>
      </c>
      <c r="B681">
        <v>24</v>
      </c>
      <c r="C681">
        <v>0</v>
      </c>
      <c r="D681">
        <v>0</v>
      </c>
      <c r="E681">
        <v>0</v>
      </c>
      <c r="F681" t="s">
        <v>45</v>
      </c>
      <c r="G681" t="s">
        <v>16</v>
      </c>
      <c r="H681" t="s">
        <v>12</v>
      </c>
      <c r="I681" t="s">
        <v>13</v>
      </c>
      <c r="J681">
        <v>0</v>
      </c>
    </row>
    <row r="682" spans="1:10" x14ac:dyDescent="0.3">
      <c r="A682" t="s">
        <v>14</v>
      </c>
      <c r="B682">
        <v>22</v>
      </c>
      <c r="C682">
        <v>0</v>
      </c>
      <c r="D682">
        <v>0</v>
      </c>
      <c r="E682">
        <v>0</v>
      </c>
      <c r="F682" t="s">
        <v>49</v>
      </c>
      <c r="G682" t="s">
        <v>11</v>
      </c>
      <c r="H682" t="s">
        <v>12</v>
      </c>
      <c r="I682" t="s">
        <v>13</v>
      </c>
      <c r="J682">
        <v>0</v>
      </c>
    </row>
    <row r="683" spans="1:10" x14ac:dyDescent="0.3">
      <c r="A683" t="s">
        <v>9</v>
      </c>
      <c r="B683">
        <v>52</v>
      </c>
      <c r="C683">
        <v>1</v>
      </c>
      <c r="D683">
        <v>1</v>
      </c>
      <c r="E683">
        <v>1</v>
      </c>
      <c r="F683" t="s">
        <v>19</v>
      </c>
      <c r="G683" t="s">
        <v>16</v>
      </c>
      <c r="H683" t="s">
        <v>12</v>
      </c>
      <c r="I683" t="s">
        <v>13</v>
      </c>
      <c r="J683">
        <v>1</v>
      </c>
    </row>
    <row r="684" spans="1:10" x14ac:dyDescent="0.3">
      <c r="A684" t="s">
        <v>9</v>
      </c>
      <c r="B684">
        <v>16</v>
      </c>
      <c r="C684">
        <v>1</v>
      </c>
      <c r="D684">
        <v>1</v>
      </c>
      <c r="E684">
        <v>0</v>
      </c>
      <c r="F684" t="s">
        <v>25</v>
      </c>
      <c r="G684" t="s">
        <v>11</v>
      </c>
      <c r="H684" t="s">
        <v>23</v>
      </c>
      <c r="I684" t="s">
        <v>13</v>
      </c>
      <c r="J684">
        <v>1</v>
      </c>
    </row>
    <row r="685" spans="1:10" x14ac:dyDescent="0.3">
      <c r="A685" t="s">
        <v>9</v>
      </c>
      <c r="B685">
        <v>19</v>
      </c>
      <c r="C685">
        <v>0</v>
      </c>
      <c r="D685">
        <v>0</v>
      </c>
      <c r="E685">
        <v>0</v>
      </c>
      <c r="F685" t="s">
        <v>21</v>
      </c>
      <c r="G685" t="s">
        <v>16</v>
      </c>
      <c r="H685" t="s">
        <v>12</v>
      </c>
      <c r="I685" t="s">
        <v>13</v>
      </c>
      <c r="J685">
        <v>0</v>
      </c>
    </row>
    <row r="686" spans="1:10" x14ac:dyDescent="0.3">
      <c r="A686" t="s">
        <v>9</v>
      </c>
      <c r="B686">
        <v>31</v>
      </c>
      <c r="C686">
        <v>0</v>
      </c>
      <c r="D686">
        <v>0</v>
      </c>
      <c r="E686">
        <v>1</v>
      </c>
      <c r="F686" t="s">
        <v>22</v>
      </c>
      <c r="G686" t="s">
        <v>11</v>
      </c>
      <c r="H686" t="s">
        <v>18</v>
      </c>
      <c r="I686" t="s">
        <v>13</v>
      </c>
      <c r="J686">
        <v>0</v>
      </c>
    </row>
    <row r="687" spans="1:10" x14ac:dyDescent="0.3">
      <c r="A687" t="s">
        <v>14</v>
      </c>
      <c r="B687">
        <v>46</v>
      </c>
      <c r="C687">
        <v>0</v>
      </c>
      <c r="D687">
        <v>0</v>
      </c>
      <c r="E687">
        <v>1</v>
      </c>
      <c r="F687" t="s">
        <v>46</v>
      </c>
      <c r="G687" t="s">
        <v>16</v>
      </c>
      <c r="H687" t="s">
        <v>18</v>
      </c>
      <c r="I687" t="s">
        <v>13</v>
      </c>
      <c r="J687">
        <v>0</v>
      </c>
    </row>
    <row r="688" spans="1:10" x14ac:dyDescent="0.3">
      <c r="A688" t="s">
        <v>14</v>
      </c>
      <c r="B688">
        <v>61</v>
      </c>
      <c r="C688">
        <v>1</v>
      </c>
      <c r="D688">
        <v>1</v>
      </c>
      <c r="E688">
        <v>0</v>
      </c>
      <c r="F688" t="s">
        <v>35</v>
      </c>
      <c r="G688" t="s">
        <v>11</v>
      </c>
      <c r="H688" t="s">
        <v>23</v>
      </c>
      <c r="I688" t="s">
        <v>13</v>
      </c>
      <c r="J688">
        <v>1</v>
      </c>
    </row>
    <row r="689" spans="1:10" x14ac:dyDescent="0.3">
      <c r="A689" t="s">
        <v>9</v>
      </c>
      <c r="B689">
        <v>35</v>
      </c>
      <c r="C689">
        <v>0</v>
      </c>
      <c r="D689">
        <v>0</v>
      </c>
      <c r="E689">
        <v>0</v>
      </c>
      <c r="F689" t="s">
        <v>35</v>
      </c>
      <c r="G689" t="s">
        <v>16</v>
      </c>
      <c r="H689" t="s">
        <v>23</v>
      </c>
      <c r="I689" t="s">
        <v>13</v>
      </c>
      <c r="J689">
        <v>0</v>
      </c>
    </row>
    <row r="690" spans="1:10" x14ac:dyDescent="0.3">
      <c r="A690" t="s">
        <v>9</v>
      </c>
      <c r="B690">
        <v>44</v>
      </c>
      <c r="C690">
        <v>1</v>
      </c>
      <c r="D690">
        <v>1</v>
      </c>
      <c r="E690">
        <v>1</v>
      </c>
      <c r="F690" t="s">
        <v>25</v>
      </c>
      <c r="G690" t="s">
        <v>11</v>
      </c>
      <c r="H690" t="s">
        <v>18</v>
      </c>
      <c r="I690" t="s">
        <v>13</v>
      </c>
      <c r="J690">
        <v>1</v>
      </c>
    </row>
    <row r="691" spans="1:10" x14ac:dyDescent="0.3">
      <c r="A691" t="s">
        <v>9</v>
      </c>
      <c r="B691">
        <v>12</v>
      </c>
      <c r="C691">
        <v>0</v>
      </c>
      <c r="D691">
        <v>0</v>
      </c>
      <c r="E691">
        <v>1</v>
      </c>
      <c r="F691" t="s">
        <v>37</v>
      </c>
      <c r="G691" t="s">
        <v>16</v>
      </c>
      <c r="H691" t="s">
        <v>23</v>
      </c>
      <c r="I691" t="s">
        <v>13</v>
      </c>
      <c r="J691">
        <v>0</v>
      </c>
    </row>
    <row r="692" spans="1:10" x14ac:dyDescent="0.3">
      <c r="A692" t="s">
        <v>14</v>
      </c>
      <c r="B692">
        <v>51</v>
      </c>
      <c r="C692">
        <v>1</v>
      </c>
      <c r="D692">
        <v>1</v>
      </c>
      <c r="E692">
        <v>0</v>
      </c>
      <c r="F692" t="s">
        <v>26</v>
      </c>
      <c r="G692" t="s">
        <v>11</v>
      </c>
      <c r="H692" t="s">
        <v>18</v>
      </c>
      <c r="I692" t="s">
        <v>13</v>
      </c>
      <c r="J692">
        <v>1</v>
      </c>
    </row>
    <row r="693" spans="1:10" x14ac:dyDescent="0.3">
      <c r="A693" t="s">
        <v>9</v>
      </c>
      <c r="B693">
        <v>33</v>
      </c>
      <c r="C693">
        <v>1</v>
      </c>
      <c r="D693">
        <v>1</v>
      </c>
      <c r="E693">
        <v>1</v>
      </c>
      <c r="F693" t="s">
        <v>27</v>
      </c>
      <c r="G693" t="s">
        <v>16</v>
      </c>
      <c r="H693" t="s">
        <v>18</v>
      </c>
      <c r="I693" t="s">
        <v>13</v>
      </c>
      <c r="J693">
        <v>1</v>
      </c>
    </row>
    <row r="694" spans="1:10" x14ac:dyDescent="0.3">
      <c r="A694" t="s">
        <v>9</v>
      </c>
      <c r="B694">
        <v>53</v>
      </c>
      <c r="C694">
        <v>1</v>
      </c>
      <c r="D694">
        <v>1</v>
      </c>
      <c r="E694">
        <v>1</v>
      </c>
      <c r="F694" t="s">
        <v>32</v>
      </c>
      <c r="G694" t="s">
        <v>11</v>
      </c>
      <c r="H694" t="s">
        <v>12</v>
      </c>
      <c r="I694" t="s">
        <v>13</v>
      </c>
      <c r="J694">
        <v>1</v>
      </c>
    </row>
    <row r="695" spans="1:10" x14ac:dyDescent="0.3">
      <c r="A695" t="s">
        <v>14</v>
      </c>
      <c r="B695">
        <v>22</v>
      </c>
      <c r="C695">
        <v>0</v>
      </c>
      <c r="D695">
        <v>0</v>
      </c>
      <c r="E695">
        <v>0</v>
      </c>
      <c r="F695" t="s">
        <v>40</v>
      </c>
      <c r="G695" t="s">
        <v>16</v>
      </c>
      <c r="H695" t="s">
        <v>23</v>
      </c>
      <c r="I695" t="s">
        <v>13</v>
      </c>
      <c r="J695">
        <v>0</v>
      </c>
    </row>
    <row r="696" spans="1:10" x14ac:dyDescent="0.3">
      <c r="A696" t="s">
        <v>14</v>
      </c>
      <c r="B696">
        <v>32</v>
      </c>
      <c r="C696">
        <v>0</v>
      </c>
      <c r="D696">
        <v>0</v>
      </c>
      <c r="E696">
        <v>0</v>
      </c>
      <c r="F696" t="s">
        <v>34</v>
      </c>
      <c r="G696" t="s">
        <v>11</v>
      </c>
      <c r="H696" t="s">
        <v>18</v>
      </c>
      <c r="I696" t="s">
        <v>13</v>
      </c>
      <c r="J696">
        <v>0</v>
      </c>
    </row>
    <row r="697" spans="1:10" x14ac:dyDescent="0.3">
      <c r="A697" t="s">
        <v>14</v>
      </c>
      <c r="B697">
        <v>36</v>
      </c>
      <c r="C697">
        <v>0</v>
      </c>
      <c r="D697">
        <v>0</v>
      </c>
      <c r="E697">
        <v>1</v>
      </c>
      <c r="F697" t="s">
        <v>36</v>
      </c>
      <c r="G697" t="s">
        <v>16</v>
      </c>
      <c r="H697" t="s">
        <v>23</v>
      </c>
      <c r="I697" t="s">
        <v>13</v>
      </c>
      <c r="J697">
        <v>0</v>
      </c>
    </row>
    <row r="698" spans="1:10" x14ac:dyDescent="0.3">
      <c r="A698" t="s">
        <v>9</v>
      </c>
      <c r="B698">
        <v>14</v>
      </c>
      <c r="C698">
        <v>0</v>
      </c>
      <c r="D698">
        <v>0</v>
      </c>
      <c r="E698">
        <v>0</v>
      </c>
      <c r="F698" t="s">
        <v>22</v>
      </c>
      <c r="G698" t="s">
        <v>11</v>
      </c>
      <c r="H698" t="s">
        <v>23</v>
      </c>
      <c r="I698" t="s">
        <v>13</v>
      </c>
      <c r="J698">
        <v>0</v>
      </c>
    </row>
    <row r="699" spans="1:10" x14ac:dyDescent="0.3">
      <c r="A699" t="s">
        <v>14</v>
      </c>
      <c r="B699">
        <v>18</v>
      </c>
      <c r="C699">
        <v>1</v>
      </c>
      <c r="D699">
        <v>1</v>
      </c>
      <c r="E699">
        <v>0</v>
      </c>
      <c r="F699" t="s">
        <v>38</v>
      </c>
      <c r="G699" t="s">
        <v>16</v>
      </c>
      <c r="H699" t="s">
        <v>18</v>
      </c>
      <c r="I699" t="s">
        <v>13</v>
      </c>
      <c r="J699">
        <v>1</v>
      </c>
    </row>
    <row r="700" spans="1:10" x14ac:dyDescent="0.3">
      <c r="A700" t="s">
        <v>14</v>
      </c>
      <c r="B700">
        <v>52</v>
      </c>
      <c r="C700">
        <v>1</v>
      </c>
      <c r="D700">
        <v>1</v>
      </c>
      <c r="E700">
        <v>1</v>
      </c>
      <c r="F700" t="s">
        <v>46</v>
      </c>
      <c r="G700" t="s">
        <v>11</v>
      </c>
      <c r="H700" t="s">
        <v>12</v>
      </c>
      <c r="I700" t="s">
        <v>13</v>
      </c>
      <c r="J700">
        <v>1</v>
      </c>
    </row>
    <row r="701" spans="1:10" x14ac:dyDescent="0.3">
      <c r="A701" t="s">
        <v>9</v>
      </c>
      <c r="B701">
        <v>62</v>
      </c>
      <c r="C701">
        <v>0</v>
      </c>
      <c r="D701">
        <v>0</v>
      </c>
      <c r="E701">
        <v>1</v>
      </c>
      <c r="F701" t="s">
        <v>30</v>
      </c>
      <c r="G701" t="s">
        <v>16</v>
      </c>
      <c r="H701" t="s">
        <v>12</v>
      </c>
      <c r="I701" t="s">
        <v>13</v>
      </c>
      <c r="J701">
        <v>0</v>
      </c>
    </row>
    <row r="702" spans="1:10" x14ac:dyDescent="0.3">
      <c r="A702" t="s">
        <v>9</v>
      </c>
      <c r="B702">
        <v>41</v>
      </c>
      <c r="C702">
        <v>0</v>
      </c>
      <c r="D702">
        <v>0</v>
      </c>
      <c r="E702">
        <v>1</v>
      </c>
      <c r="F702" t="s">
        <v>46</v>
      </c>
      <c r="G702" t="s">
        <v>11</v>
      </c>
      <c r="H702" t="s">
        <v>18</v>
      </c>
      <c r="I702" t="s">
        <v>13</v>
      </c>
      <c r="J702">
        <v>0</v>
      </c>
    </row>
    <row r="703" spans="1:10" x14ac:dyDescent="0.3">
      <c r="A703" t="s">
        <v>9</v>
      </c>
      <c r="B703">
        <v>25</v>
      </c>
      <c r="C703">
        <v>0</v>
      </c>
      <c r="D703">
        <v>0</v>
      </c>
      <c r="E703">
        <v>1</v>
      </c>
      <c r="F703" t="s">
        <v>25</v>
      </c>
      <c r="G703" t="s">
        <v>16</v>
      </c>
      <c r="H703" t="s">
        <v>18</v>
      </c>
      <c r="I703" t="s">
        <v>13</v>
      </c>
      <c r="J703">
        <v>0</v>
      </c>
    </row>
    <row r="704" spans="1:10" x14ac:dyDescent="0.3">
      <c r="A704" t="s">
        <v>14</v>
      </c>
      <c r="B704">
        <v>31</v>
      </c>
      <c r="C704">
        <v>1</v>
      </c>
      <c r="D704">
        <v>1</v>
      </c>
      <c r="E704">
        <v>0</v>
      </c>
      <c r="F704" t="s">
        <v>43</v>
      </c>
      <c r="G704" t="s">
        <v>11</v>
      </c>
      <c r="H704" t="s">
        <v>18</v>
      </c>
      <c r="I704" t="s">
        <v>13</v>
      </c>
      <c r="J704">
        <v>1</v>
      </c>
    </row>
    <row r="705" spans="1:10" x14ac:dyDescent="0.3">
      <c r="A705" t="s">
        <v>9</v>
      </c>
      <c r="B705">
        <v>49</v>
      </c>
      <c r="C705">
        <v>0</v>
      </c>
      <c r="D705">
        <v>0</v>
      </c>
      <c r="E705">
        <v>0</v>
      </c>
      <c r="F705" t="s">
        <v>36</v>
      </c>
      <c r="G705" t="s">
        <v>16</v>
      </c>
      <c r="H705" t="s">
        <v>12</v>
      </c>
      <c r="I705" t="s">
        <v>13</v>
      </c>
      <c r="J705">
        <v>0</v>
      </c>
    </row>
    <row r="706" spans="1:10" x14ac:dyDescent="0.3">
      <c r="A706" t="s">
        <v>9</v>
      </c>
      <c r="B706">
        <v>39</v>
      </c>
      <c r="C706">
        <v>1</v>
      </c>
      <c r="D706">
        <v>1</v>
      </c>
      <c r="E706">
        <v>1</v>
      </c>
      <c r="F706" t="s">
        <v>37</v>
      </c>
      <c r="G706" t="s">
        <v>11</v>
      </c>
      <c r="H706" t="s">
        <v>18</v>
      </c>
      <c r="I706" t="s">
        <v>13</v>
      </c>
      <c r="J706">
        <v>1</v>
      </c>
    </row>
    <row r="707" spans="1:10" x14ac:dyDescent="0.3">
      <c r="A707" t="s">
        <v>9</v>
      </c>
      <c r="B707">
        <v>26</v>
      </c>
      <c r="C707">
        <v>0</v>
      </c>
      <c r="D707">
        <v>0</v>
      </c>
      <c r="E707">
        <v>0</v>
      </c>
      <c r="F707" t="s">
        <v>24</v>
      </c>
      <c r="G707" t="s">
        <v>16</v>
      </c>
      <c r="H707" t="s">
        <v>18</v>
      </c>
      <c r="I707" t="s">
        <v>13</v>
      </c>
      <c r="J707">
        <v>0</v>
      </c>
    </row>
    <row r="708" spans="1:10" x14ac:dyDescent="0.3">
      <c r="A708" t="s">
        <v>14</v>
      </c>
      <c r="B708">
        <v>24</v>
      </c>
      <c r="C708">
        <v>0</v>
      </c>
      <c r="D708">
        <v>0</v>
      </c>
      <c r="E708">
        <v>0</v>
      </c>
      <c r="F708" t="s">
        <v>39</v>
      </c>
      <c r="G708" t="s">
        <v>11</v>
      </c>
      <c r="H708" t="s">
        <v>23</v>
      </c>
      <c r="I708" t="s">
        <v>13</v>
      </c>
      <c r="J708">
        <v>0</v>
      </c>
    </row>
    <row r="709" spans="1:10" x14ac:dyDescent="0.3">
      <c r="A709" t="s">
        <v>14</v>
      </c>
      <c r="B709">
        <v>30</v>
      </c>
      <c r="C709">
        <v>0</v>
      </c>
      <c r="D709">
        <v>0</v>
      </c>
      <c r="E709">
        <v>0</v>
      </c>
      <c r="F709" t="s">
        <v>31</v>
      </c>
      <c r="G709" t="s">
        <v>16</v>
      </c>
      <c r="H709" t="s">
        <v>23</v>
      </c>
      <c r="I709" t="s">
        <v>13</v>
      </c>
      <c r="J709">
        <v>0</v>
      </c>
    </row>
    <row r="710" spans="1:10" x14ac:dyDescent="0.3">
      <c r="A710" t="s">
        <v>14</v>
      </c>
      <c r="B710">
        <v>20</v>
      </c>
      <c r="C710">
        <v>1</v>
      </c>
      <c r="D710">
        <v>1</v>
      </c>
      <c r="E710">
        <v>1</v>
      </c>
      <c r="F710" t="s">
        <v>26</v>
      </c>
      <c r="G710" t="s">
        <v>11</v>
      </c>
      <c r="H710" t="s">
        <v>12</v>
      </c>
      <c r="I710" t="s">
        <v>13</v>
      </c>
      <c r="J710">
        <v>1</v>
      </c>
    </row>
    <row r="711" spans="1:10" x14ac:dyDescent="0.3">
      <c r="A711" t="s">
        <v>9</v>
      </c>
      <c r="B711">
        <v>50</v>
      </c>
      <c r="C711">
        <v>1</v>
      </c>
      <c r="D711">
        <v>1</v>
      </c>
      <c r="E711">
        <v>1</v>
      </c>
      <c r="F711" t="s">
        <v>41</v>
      </c>
      <c r="G711" t="s">
        <v>16</v>
      </c>
      <c r="H711" t="s">
        <v>23</v>
      </c>
      <c r="I711" t="s">
        <v>13</v>
      </c>
      <c r="J711">
        <v>1</v>
      </c>
    </row>
    <row r="712" spans="1:10" x14ac:dyDescent="0.3">
      <c r="A712" t="s">
        <v>9</v>
      </c>
      <c r="B712">
        <v>13</v>
      </c>
      <c r="C712">
        <v>1</v>
      </c>
      <c r="D712">
        <v>1</v>
      </c>
      <c r="E712">
        <v>0</v>
      </c>
      <c r="F712" t="s">
        <v>30</v>
      </c>
      <c r="G712" t="s">
        <v>11</v>
      </c>
      <c r="H712" t="s">
        <v>18</v>
      </c>
      <c r="I712" t="s">
        <v>13</v>
      </c>
      <c r="J712">
        <v>1</v>
      </c>
    </row>
    <row r="713" spans="1:10" x14ac:dyDescent="0.3">
      <c r="A713" t="s">
        <v>14</v>
      </c>
      <c r="B713">
        <v>44</v>
      </c>
      <c r="C713">
        <v>1</v>
      </c>
      <c r="D713">
        <v>1</v>
      </c>
      <c r="E713">
        <v>0</v>
      </c>
      <c r="F713" t="s">
        <v>31</v>
      </c>
      <c r="G713" t="s">
        <v>16</v>
      </c>
      <c r="H713" t="s">
        <v>12</v>
      </c>
      <c r="I713" t="s">
        <v>13</v>
      </c>
      <c r="J713">
        <v>1</v>
      </c>
    </row>
    <row r="714" spans="1:10" x14ac:dyDescent="0.3">
      <c r="A714" t="s">
        <v>14</v>
      </c>
      <c r="B714">
        <v>19</v>
      </c>
      <c r="C714">
        <v>1</v>
      </c>
      <c r="D714">
        <v>1</v>
      </c>
      <c r="E714">
        <v>1</v>
      </c>
      <c r="F714" t="s">
        <v>26</v>
      </c>
      <c r="G714" t="s">
        <v>11</v>
      </c>
      <c r="H714" t="s">
        <v>18</v>
      </c>
      <c r="I714" t="s">
        <v>13</v>
      </c>
      <c r="J714">
        <v>1</v>
      </c>
    </row>
    <row r="715" spans="1:10" x14ac:dyDescent="0.3">
      <c r="A715" t="s">
        <v>9</v>
      </c>
      <c r="B715">
        <v>53</v>
      </c>
      <c r="C715">
        <v>1</v>
      </c>
      <c r="D715">
        <v>1</v>
      </c>
      <c r="E715">
        <v>1</v>
      </c>
      <c r="F715" t="s">
        <v>35</v>
      </c>
      <c r="G715" t="s">
        <v>16</v>
      </c>
      <c r="H715" t="s">
        <v>23</v>
      </c>
      <c r="I715" t="s">
        <v>13</v>
      </c>
      <c r="J715">
        <v>1</v>
      </c>
    </row>
    <row r="716" spans="1:10" x14ac:dyDescent="0.3">
      <c r="A716" t="s">
        <v>9</v>
      </c>
      <c r="B716">
        <v>12</v>
      </c>
      <c r="C716">
        <v>0</v>
      </c>
      <c r="D716">
        <v>0</v>
      </c>
      <c r="E716">
        <v>0</v>
      </c>
      <c r="F716" t="s">
        <v>48</v>
      </c>
      <c r="G716" t="s">
        <v>11</v>
      </c>
      <c r="H716" t="s">
        <v>12</v>
      </c>
      <c r="I716" t="s">
        <v>13</v>
      </c>
      <c r="J716">
        <v>0</v>
      </c>
    </row>
    <row r="717" spans="1:10" x14ac:dyDescent="0.3">
      <c r="A717" t="s">
        <v>9</v>
      </c>
      <c r="B717">
        <v>14</v>
      </c>
      <c r="C717">
        <v>0</v>
      </c>
      <c r="D717">
        <v>0</v>
      </c>
      <c r="E717">
        <v>0</v>
      </c>
      <c r="F717" t="s">
        <v>45</v>
      </c>
      <c r="G717" t="s">
        <v>16</v>
      </c>
      <c r="H717" t="s">
        <v>23</v>
      </c>
      <c r="I717" t="s">
        <v>13</v>
      </c>
      <c r="J717">
        <v>0</v>
      </c>
    </row>
    <row r="718" spans="1:10" x14ac:dyDescent="0.3">
      <c r="A718" t="s">
        <v>14</v>
      </c>
      <c r="B718">
        <v>30</v>
      </c>
      <c r="C718">
        <v>1</v>
      </c>
      <c r="D718">
        <v>1</v>
      </c>
      <c r="E718">
        <v>1</v>
      </c>
      <c r="F718" t="s">
        <v>28</v>
      </c>
      <c r="G718" t="s">
        <v>11</v>
      </c>
      <c r="H718" t="s">
        <v>12</v>
      </c>
      <c r="I718" t="s">
        <v>13</v>
      </c>
      <c r="J718">
        <v>1</v>
      </c>
    </row>
    <row r="719" spans="1:10" x14ac:dyDescent="0.3">
      <c r="A719" t="s">
        <v>9</v>
      </c>
      <c r="B719">
        <v>48</v>
      </c>
      <c r="C719">
        <v>0</v>
      </c>
      <c r="D719">
        <v>0</v>
      </c>
      <c r="E719">
        <v>1</v>
      </c>
      <c r="F719" t="s">
        <v>41</v>
      </c>
      <c r="G719" t="s">
        <v>16</v>
      </c>
      <c r="H719" t="s">
        <v>23</v>
      </c>
      <c r="I719" t="s">
        <v>13</v>
      </c>
      <c r="J719">
        <v>0</v>
      </c>
    </row>
    <row r="720" spans="1:10" x14ac:dyDescent="0.3">
      <c r="A720" t="s">
        <v>14</v>
      </c>
      <c r="B720">
        <v>31</v>
      </c>
      <c r="C720">
        <v>0</v>
      </c>
      <c r="D720">
        <v>0</v>
      </c>
      <c r="E720">
        <v>0</v>
      </c>
      <c r="F720" t="s">
        <v>41</v>
      </c>
      <c r="G720" t="s">
        <v>11</v>
      </c>
      <c r="H720" t="s">
        <v>12</v>
      </c>
      <c r="I720" t="s">
        <v>13</v>
      </c>
      <c r="J720">
        <v>0</v>
      </c>
    </row>
    <row r="721" spans="1:10" x14ac:dyDescent="0.3">
      <c r="A721" t="s">
        <v>14</v>
      </c>
      <c r="B721">
        <v>16</v>
      </c>
      <c r="C721">
        <v>1</v>
      </c>
      <c r="D721">
        <v>1</v>
      </c>
      <c r="E721">
        <v>0</v>
      </c>
      <c r="F721" t="s">
        <v>43</v>
      </c>
      <c r="G721" t="s">
        <v>16</v>
      </c>
      <c r="H721" t="s">
        <v>12</v>
      </c>
      <c r="I721" t="s">
        <v>13</v>
      </c>
      <c r="J721">
        <v>1</v>
      </c>
    </row>
    <row r="722" spans="1:10" x14ac:dyDescent="0.3">
      <c r="A722" t="s">
        <v>14</v>
      </c>
      <c r="B722">
        <v>38</v>
      </c>
      <c r="C722">
        <v>1</v>
      </c>
      <c r="D722">
        <v>1</v>
      </c>
      <c r="E722">
        <v>1</v>
      </c>
      <c r="F722" t="s">
        <v>21</v>
      </c>
      <c r="G722" t="s">
        <v>11</v>
      </c>
      <c r="H722" t="s">
        <v>23</v>
      </c>
      <c r="I722" t="s">
        <v>13</v>
      </c>
      <c r="J722">
        <v>1</v>
      </c>
    </row>
    <row r="723" spans="1:10" x14ac:dyDescent="0.3">
      <c r="A723" t="s">
        <v>9</v>
      </c>
      <c r="B723">
        <v>24</v>
      </c>
      <c r="C723">
        <v>1</v>
      </c>
      <c r="D723">
        <v>1</v>
      </c>
      <c r="E723">
        <v>1</v>
      </c>
      <c r="F723" t="s">
        <v>40</v>
      </c>
      <c r="G723" t="s">
        <v>16</v>
      </c>
      <c r="H723" t="s">
        <v>18</v>
      </c>
      <c r="I723" t="s">
        <v>13</v>
      </c>
      <c r="J723">
        <v>1</v>
      </c>
    </row>
    <row r="724" spans="1:10" x14ac:dyDescent="0.3">
      <c r="A724" t="s">
        <v>9</v>
      </c>
      <c r="B724">
        <v>28</v>
      </c>
      <c r="C724">
        <v>0</v>
      </c>
      <c r="D724">
        <v>0</v>
      </c>
      <c r="E724">
        <v>1</v>
      </c>
      <c r="F724" t="s">
        <v>25</v>
      </c>
      <c r="G724" t="s">
        <v>11</v>
      </c>
      <c r="H724" t="s">
        <v>23</v>
      </c>
      <c r="I724" t="s">
        <v>13</v>
      </c>
      <c r="J724">
        <v>0</v>
      </c>
    </row>
    <row r="725" spans="1:10" x14ac:dyDescent="0.3">
      <c r="A725" t="s">
        <v>9</v>
      </c>
      <c r="B725">
        <v>52</v>
      </c>
      <c r="C725">
        <v>1</v>
      </c>
      <c r="D725">
        <v>1</v>
      </c>
      <c r="E725">
        <v>0</v>
      </c>
      <c r="F725" t="s">
        <v>49</v>
      </c>
      <c r="G725" t="s">
        <v>16</v>
      </c>
      <c r="H725" t="s">
        <v>23</v>
      </c>
      <c r="I725" t="s">
        <v>13</v>
      </c>
      <c r="J725">
        <v>1</v>
      </c>
    </row>
    <row r="726" spans="1:10" x14ac:dyDescent="0.3">
      <c r="A726" t="s">
        <v>14</v>
      </c>
      <c r="B726">
        <v>8</v>
      </c>
      <c r="C726">
        <v>1</v>
      </c>
      <c r="D726">
        <v>1</v>
      </c>
      <c r="E726">
        <v>0</v>
      </c>
      <c r="F726" t="s">
        <v>31</v>
      </c>
      <c r="G726" t="s">
        <v>11</v>
      </c>
      <c r="H726" t="s">
        <v>12</v>
      </c>
      <c r="I726" t="s">
        <v>13</v>
      </c>
      <c r="J726">
        <v>1</v>
      </c>
    </row>
    <row r="727" spans="1:10" x14ac:dyDescent="0.3">
      <c r="A727" t="s">
        <v>9</v>
      </c>
      <c r="B727">
        <v>54</v>
      </c>
      <c r="C727">
        <v>0</v>
      </c>
      <c r="D727">
        <v>0</v>
      </c>
      <c r="E727">
        <v>0</v>
      </c>
      <c r="F727" t="s">
        <v>10</v>
      </c>
      <c r="G727" t="s">
        <v>16</v>
      </c>
      <c r="H727" t="s">
        <v>12</v>
      </c>
      <c r="I727" t="s">
        <v>13</v>
      </c>
      <c r="J727">
        <v>0</v>
      </c>
    </row>
    <row r="728" spans="1:10" x14ac:dyDescent="0.3">
      <c r="A728" t="s">
        <v>9</v>
      </c>
      <c r="B728">
        <v>9</v>
      </c>
      <c r="C728">
        <v>1</v>
      </c>
      <c r="D728">
        <v>1</v>
      </c>
      <c r="E728">
        <v>1</v>
      </c>
      <c r="F728" t="s">
        <v>30</v>
      </c>
      <c r="G728" t="s">
        <v>11</v>
      </c>
      <c r="H728" t="s">
        <v>12</v>
      </c>
      <c r="I728" t="s">
        <v>13</v>
      </c>
      <c r="J728">
        <v>1</v>
      </c>
    </row>
    <row r="729" spans="1:10" x14ac:dyDescent="0.3">
      <c r="A729" t="s">
        <v>9</v>
      </c>
      <c r="B729">
        <v>14</v>
      </c>
      <c r="C729">
        <v>1</v>
      </c>
      <c r="D729">
        <v>1</v>
      </c>
      <c r="E729">
        <v>0</v>
      </c>
      <c r="F729" t="s">
        <v>32</v>
      </c>
      <c r="G729" t="s">
        <v>16</v>
      </c>
      <c r="H729" t="s">
        <v>18</v>
      </c>
      <c r="I729" t="s">
        <v>13</v>
      </c>
      <c r="J729">
        <v>1</v>
      </c>
    </row>
    <row r="730" spans="1:10" x14ac:dyDescent="0.3">
      <c r="A730" t="s">
        <v>9</v>
      </c>
      <c r="B730">
        <v>12</v>
      </c>
      <c r="C730">
        <v>1</v>
      </c>
      <c r="D730">
        <v>1</v>
      </c>
      <c r="E730">
        <v>0</v>
      </c>
      <c r="F730" t="s">
        <v>15</v>
      </c>
      <c r="G730" t="s">
        <v>11</v>
      </c>
      <c r="H730" t="s">
        <v>18</v>
      </c>
      <c r="I730" t="s">
        <v>13</v>
      </c>
      <c r="J730">
        <v>1</v>
      </c>
    </row>
    <row r="731" spans="1:10" x14ac:dyDescent="0.3">
      <c r="A731" t="s">
        <v>9</v>
      </c>
      <c r="B731">
        <v>49</v>
      </c>
      <c r="C731">
        <v>0</v>
      </c>
      <c r="D731">
        <v>0</v>
      </c>
      <c r="E731">
        <v>1</v>
      </c>
      <c r="F731" t="s">
        <v>47</v>
      </c>
      <c r="G731" t="s">
        <v>16</v>
      </c>
      <c r="H731" t="s">
        <v>18</v>
      </c>
      <c r="I731" t="s">
        <v>13</v>
      </c>
      <c r="J731">
        <v>0</v>
      </c>
    </row>
    <row r="732" spans="1:10" x14ac:dyDescent="0.3">
      <c r="A732" t="s">
        <v>14</v>
      </c>
      <c r="B732">
        <v>46</v>
      </c>
      <c r="C732">
        <v>0</v>
      </c>
      <c r="D732">
        <v>0</v>
      </c>
      <c r="E732">
        <v>0</v>
      </c>
      <c r="F732" t="s">
        <v>32</v>
      </c>
      <c r="G732" t="s">
        <v>11</v>
      </c>
      <c r="H732" t="s">
        <v>18</v>
      </c>
      <c r="I732" t="s">
        <v>13</v>
      </c>
      <c r="J732">
        <v>0</v>
      </c>
    </row>
    <row r="733" spans="1:10" x14ac:dyDescent="0.3">
      <c r="A733" t="s">
        <v>14</v>
      </c>
      <c r="B733">
        <v>35</v>
      </c>
      <c r="C733">
        <v>0</v>
      </c>
      <c r="D733">
        <v>0</v>
      </c>
      <c r="E733">
        <v>1</v>
      </c>
      <c r="F733" t="s">
        <v>43</v>
      </c>
      <c r="G733" t="s">
        <v>16</v>
      </c>
      <c r="H733" t="s">
        <v>12</v>
      </c>
      <c r="I733" t="s">
        <v>13</v>
      </c>
      <c r="J733">
        <v>0</v>
      </c>
    </row>
    <row r="734" spans="1:10" x14ac:dyDescent="0.3">
      <c r="A734" t="s">
        <v>9</v>
      </c>
      <c r="B734">
        <v>45</v>
      </c>
      <c r="C734">
        <v>1</v>
      </c>
      <c r="D734">
        <v>1</v>
      </c>
      <c r="E734">
        <v>0</v>
      </c>
      <c r="F734" t="s">
        <v>22</v>
      </c>
      <c r="G734" t="s">
        <v>11</v>
      </c>
      <c r="H734" t="s">
        <v>12</v>
      </c>
      <c r="I734" t="s">
        <v>13</v>
      </c>
      <c r="J734">
        <v>1</v>
      </c>
    </row>
    <row r="735" spans="1:10" x14ac:dyDescent="0.3">
      <c r="A735" t="s">
        <v>14</v>
      </c>
      <c r="B735">
        <v>48</v>
      </c>
      <c r="C735">
        <v>0</v>
      </c>
      <c r="D735">
        <v>0</v>
      </c>
      <c r="E735">
        <v>0</v>
      </c>
      <c r="F735" t="s">
        <v>51</v>
      </c>
      <c r="G735" t="s">
        <v>16</v>
      </c>
      <c r="H735" t="s">
        <v>18</v>
      </c>
      <c r="I735" t="s">
        <v>13</v>
      </c>
      <c r="J735">
        <v>0</v>
      </c>
    </row>
    <row r="736" spans="1:10" x14ac:dyDescent="0.3">
      <c r="A736" t="s">
        <v>14</v>
      </c>
      <c r="B736">
        <v>50</v>
      </c>
      <c r="C736">
        <v>0</v>
      </c>
      <c r="D736">
        <v>0</v>
      </c>
      <c r="E736">
        <v>0</v>
      </c>
      <c r="F736" t="s">
        <v>37</v>
      </c>
      <c r="G736" t="s">
        <v>11</v>
      </c>
      <c r="H736" t="s">
        <v>18</v>
      </c>
      <c r="I736" t="s">
        <v>13</v>
      </c>
      <c r="J736">
        <v>0</v>
      </c>
    </row>
    <row r="737" spans="1:10" x14ac:dyDescent="0.3">
      <c r="A737" t="s">
        <v>14</v>
      </c>
      <c r="B737">
        <v>37</v>
      </c>
      <c r="C737">
        <v>0</v>
      </c>
      <c r="D737">
        <v>0</v>
      </c>
      <c r="E737">
        <v>0</v>
      </c>
      <c r="F737" t="s">
        <v>24</v>
      </c>
      <c r="G737" t="s">
        <v>16</v>
      </c>
      <c r="H737" t="s">
        <v>12</v>
      </c>
      <c r="I737" t="s">
        <v>13</v>
      </c>
      <c r="J737">
        <v>0</v>
      </c>
    </row>
    <row r="738" spans="1:10" x14ac:dyDescent="0.3">
      <c r="A738" t="s">
        <v>9</v>
      </c>
      <c r="B738">
        <v>39</v>
      </c>
      <c r="C738">
        <v>0</v>
      </c>
      <c r="D738">
        <v>0</v>
      </c>
      <c r="E738">
        <v>1</v>
      </c>
      <c r="F738" t="s">
        <v>39</v>
      </c>
      <c r="G738" t="s">
        <v>11</v>
      </c>
      <c r="H738" t="s">
        <v>12</v>
      </c>
      <c r="I738" t="s">
        <v>13</v>
      </c>
      <c r="J738">
        <v>0</v>
      </c>
    </row>
    <row r="739" spans="1:10" x14ac:dyDescent="0.3">
      <c r="A739" t="s">
        <v>14</v>
      </c>
      <c r="B739">
        <v>56</v>
      </c>
      <c r="C739">
        <v>1</v>
      </c>
      <c r="D739">
        <v>1</v>
      </c>
      <c r="E739">
        <v>0</v>
      </c>
      <c r="F739" t="s">
        <v>30</v>
      </c>
      <c r="G739" t="s">
        <v>16</v>
      </c>
      <c r="H739" t="s">
        <v>12</v>
      </c>
      <c r="I739" t="s">
        <v>13</v>
      </c>
      <c r="J739">
        <v>1</v>
      </c>
    </row>
    <row r="740" spans="1:10" x14ac:dyDescent="0.3">
      <c r="A740" t="s">
        <v>9</v>
      </c>
      <c r="B740">
        <v>11</v>
      </c>
      <c r="C740">
        <v>0</v>
      </c>
      <c r="D740">
        <v>0</v>
      </c>
      <c r="E740">
        <v>1</v>
      </c>
      <c r="F740" t="s">
        <v>15</v>
      </c>
      <c r="G740" t="s">
        <v>11</v>
      </c>
      <c r="H740" t="s">
        <v>23</v>
      </c>
      <c r="I740" t="s">
        <v>13</v>
      </c>
      <c r="J740">
        <v>0</v>
      </c>
    </row>
    <row r="741" spans="1:10" x14ac:dyDescent="0.3">
      <c r="A741" t="s">
        <v>14</v>
      </c>
      <c r="B741">
        <v>46</v>
      </c>
      <c r="C741">
        <v>1</v>
      </c>
      <c r="D741">
        <v>1</v>
      </c>
      <c r="E741">
        <v>0</v>
      </c>
      <c r="F741" t="s">
        <v>47</v>
      </c>
      <c r="G741" t="s">
        <v>16</v>
      </c>
      <c r="H741" t="s">
        <v>12</v>
      </c>
      <c r="I741" t="s">
        <v>13</v>
      </c>
      <c r="J741">
        <v>1</v>
      </c>
    </row>
    <row r="742" spans="1:10" x14ac:dyDescent="0.3">
      <c r="A742" t="s">
        <v>9</v>
      </c>
      <c r="B742">
        <v>32</v>
      </c>
      <c r="C742">
        <v>0</v>
      </c>
      <c r="D742">
        <v>0</v>
      </c>
      <c r="E742">
        <v>1</v>
      </c>
      <c r="F742" t="s">
        <v>28</v>
      </c>
      <c r="G742" t="s">
        <v>11</v>
      </c>
      <c r="H742" t="s">
        <v>23</v>
      </c>
      <c r="I742" t="s">
        <v>13</v>
      </c>
      <c r="J742">
        <v>0</v>
      </c>
    </row>
    <row r="743" spans="1:10" x14ac:dyDescent="0.3">
      <c r="A743" t="s">
        <v>14</v>
      </c>
      <c r="B743">
        <v>65</v>
      </c>
      <c r="C743">
        <v>0</v>
      </c>
      <c r="D743">
        <v>0</v>
      </c>
      <c r="E743">
        <v>0</v>
      </c>
      <c r="F743" t="s">
        <v>52</v>
      </c>
      <c r="G743" t="s">
        <v>16</v>
      </c>
      <c r="H743" t="s">
        <v>23</v>
      </c>
      <c r="I743" t="s">
        <v>13</v>
      </c>
      <c r="J743">
        <v>0</v>
      </c>
    </row>
    <row r="744" spans="1:10" x14ac:dyDescent="0.3">
      <c r="A744" t="s">
        <v>14</v>
      </c>
      <c r="B744">
        <v>55</v>
      </c>
      <c r="C744">
        <v>1</v>
      </c>
      <c r="D744">
        <v>1</v>
      </c>
      <c r="E744">
        <v>1</v>
      </c>
      <c r="F744" t="s">
        <v>38</v>
      </c>
      <c r="G744" t="s">
        <v>11</v>
      </c>
      <c r="H744" t="s">
        <v>18</v>
      </c>
      <c r="I744" t="s">
        <v>13</v>
      </c>
      <c r="J744">
        <v>1</v>
      </c>
    </row>
    <row r="745" spans="1:10" x14ac:dyDescent="0.3">
      <c r="A745" t="s">
        <v>14</v>
      </c>
      <c r="B745">
        <v>34</v>
      </c>
      <c r="C745">
        <v>0</v>
      </c>
      <c r="D745">
        <v>0</v>
      </c>
      <c r="E745">
        <v>1</v>
      </c>
      <c r="F745" t="s">
        <v>41</v>
      </c>
      <c r="G745" t="s">
        <v>16</v>
      </c>
      <c r="H745" t="s">
        <v>18</v>
      </c>
      <c r="I745" t="s">
        <v>13</v>
      </c>
      <c r="J745">
        <v>0</v>
      </c>
    </row>
    <row r="746" spans="1:10" x14ac:dyDescent="0.3">
      <c r="A746" t="s">
        <v>14</v>
      </c>
      <c r="B746">
        <v>21</v>
      </c>
      <c r="C746">
        <v>0</v>
      </c>
      <c r="D746">
        <v>0</v>
      </c>
      <c r="E746">
        <v>0</v>
      </c>
      <c r="F746" t="s">
        <v>40</v>
      </c>
      <c r="G746" t="s">
        <v>11</v>
      </c>
      <c r="H746" t="s">
        <v>23</v>
      </c>
      <c r="I746" t="s">
        <v>13</v>
      </c>
      <c r="J746">
        <v>0</v>
      </c>
    </row>
    <row r="747" spans="1:10" x14ac:dyDescent="0.3">
      <c r="A747" t="s">
        <v>9</v>
      </c>
      <c r="B747">
        <v>11</v>
      </c>
      <c r="C747">
        <v>0</v>
      </c>
      <c r="D747">
        <v>0</v>
      </c>
      <c r="E747">
        <v>0</v>
      </c>
      <c r="F747" t="s">
        <v>22</v>
      </c>
      <c r="G747" t="s">
        <v>16</v>
      </c>
      <c r="H747" t="s">
        <v>18</v>
      </c>
      <c r="I747" t="s">
        <v>13</v>
      </c>
      <c r="J747">
        <v>0</v>
      </c>
    </row>
    <row r="748" spans="1:10" x14ac:dyDescent="0.3">
      <c r="A748" t="s">
        <v>14</v>
      </c>
      <c r="B748">
        <v>46</v>
      </c>
      <c r="C748">
        <v>0</v>
      </c>
      <c r="D748">
        <v>0</v>
      </c>
      <c r="E748">
        <v>0</v>
      </c>
      <c r="F748" t="s">
        <v>27</v>
      </c>
      <c r="G748" t="s">
        <v>11</v>
      </c>
      <c r="H748" t="s">
        <v>12</v>
      </c>
      <c r="I748" t="s">
        <v>13</v>
      </c>
      <c r="J748">
        <v>0</v>
      </c>
    </row>
    <row r="749" spans="1:10" x14ac:dyDescent="0.3">
      <c r="A749" t="s">
        <v>14</v>
      </c>
      <c r="B749">
        <v>21</v>
      </c>
      <c r="C749">
        <v>1</v>
      </c>
      <c r="D749">
        <v>1</v>
      </c>
      <c r="E749">
        <v>0</v>
      </c>
      <c r="F749" t="s">
        <v>35</v>
      </c>
      <c r="G749" t="s">
        <v>16</v>
      </c>
      <c r="H749" t="s">
        <v>18</v>
      </c>
      <c r="I749" t="s">
        <v>13</v>
      </c>
      <c r="J749">
        <v>1</v>
      </c>
    </row>
    <row r="750" spans="1:10" x14ac:dyDescent="0.3">
      <c r="A750" t="s">
        <v>9</v>
      </c>
      <c r="B750">
        <v>61</v>
      </c>
      <c r="C750">
        <v>0</v>
      </c>
      <c r="D750">
        <v>0</v>
      </c>
      <c r="E750">
        <v>0</v>
      </c>
      <c r="F750" t="s">
        <v>21</v>
      </c>
      <c r="G750" t="s">
        <v>11</v>
      </c>
      <c r="H750" t="s">
        <v>23</v>
      </c>
      <c r="I750" t="s">
        <v>13</v>
      </c>
      <c r="J750">
        <v>0</v>
      </c>
    </row>
    <row r="751" spans="1:10" x14ac:dyDescent="0.3">
      <c r="A751" t="s">
        <v>14</v>
      </c>
      <c r="B751">
        <v>35</v>
      </c>
      <c r="C751">
        <v>1</v>
      </c>
      <c r="D751">
        <v>1</v>
      </c>
      <c r="E751">
        <v>1</v>
      </c>
      <c r="F751" t="s">
        <v>33</v>
      </c>
      <c r="G751" t="s">
        <v>16</v>
      </c>
      <c r="H751" t="s">
        <v>12</v>
      </c>
      <c r="I751" t="s">
        <v>13</v>
      </c>
      <c r="J751">
        <v>1</v>
      </c>
    </row>
    <row r="752" spans="1:10" x14ac:dyDescent="0.3">
      <c r="A752" t="s">
        <v>9</v>
      </c>
      <c r="B752">
        <v>46</v>
      </c>
      <c r="C752">
        <v>1</v>
      </c>
      <c r="D752">
        <v>1</v>
      </c>
      <c r="E752">
        <v>1</v>
      </c>
      <c r="F752" t="s">
        <v>48</v>
      </c>
      <c r="G752" t="s">
        <v>11</v>
      </c>
      <c r="H752" t="s">
        <v>23</v>
      </c>
      <c r="I752" t="s">
        <v>13</v>
      </c>
      <c r="J752">
        <v>1</v>
      </c>
    </row>
    <row r="753" spans="1:10" x14ac:dyDescent="0.3">
      <c r="A753" t="s">
        <v>9</v>
      </c>
      <c r="B753">
        <v>11</v>
      </c>
      <c r="C753">
        <v>0</v>
      </c>
      <c r="D753">
        <v>0</v>
      </c>
      <c r="E753">
        <v>0</v>
      </c>
      <c r="F753" t="s">
        <v>35</v>
      </c>
      <c r="G753" t="s">
        <v>16</v>
      </c>
      <c r="H753" t="s">
        <v>18</v>
      </c>
      <c r="I753" t="s">
        <v>13</v>
      </c>
      <c r="J753">
        <v>0</v>
      </c>
    </row>
    <row r="754" spans="1:10" x14ac:dyDescent="0.3">
      <c r="A754" t="s">
        <v>14</v>
      </c>
      <c r="B754">
        <v>49</v>
      </c>
      <c r="C754">
        <v>1</v>
      </c>
      <c r="D754">
        <v>1</v>
      </c>
      <c r="E754">
        <v>0</v>
      </c>
      <c r="F754" t="s">
        <v>25</v>
      </c>
      <c r="G754" t="s">
        <v>11</v>
      </c>
      <c r="H754" t="s">
        <v>12</v>
      </c>
      <c r="I754" t="s">
        <v>13</v>
      </c>
      <c r="J754">
        <v>1</v>
      </c>
    </row>
    <row r="755" spans="1:10" x14ac:dyDescent="0.3">
      <c r="A755" t="s">
        <v>9</v>
      </c>
      <c r="B755">
        <v>43</v>
      </c>
      <c r="C755">
        <v>1</v>
      </c>
      <c r="D755">
        <v>1</v>
      </c>
      <c r="E755">
        <v>1</v>
      </c>
      <c r="F755" t="s">
        <v>21</v>
      </c>
      <c r="G755" t="s">
        <v>16</v>
      </c>
      <c r="H755" t="s">
        <v>18</v>
      </c>
      <c r="I755" t="s">
        <v>13</v>
      </c>
      <c r="J755">
        <v>1</v>
      </c>
    </row>
    <row r="756" spans="1:10" x14ac:dyDescent="0.3">
      <c r="A756" t="s">
        <v>9</v>
      </c>
      <c r="B756">
        <v>49</v>
      </c>
      <c r="C756">
        <v>1</v>
      </c>
      <c r="D756">
        <v>1</v>
      </c>
      <c r="E756">
        <v>0</v>
      </c>
      <c r="F756" t="s">
        <v>45</v>
      </c>
      <c r="G756" t="s">
        <v>11</v>
      </c>
      <c r="H756" t="s">
        <v>23</v>
      </c>
      <c r="I756" t="s">
        <v>13</v>
      </c>
      <c r="J756">
        <v>1</v>
      </c>
    </row>
    <row r="757" spans="1:10" x14ac:dyDescent="0.3">
      <c r="A757" t="s">
        <v>14</v>
      </c>
      <c r="B757">
        <v>46</v>
      </c>
      <c r="C757">
        <v>1</v>
      </c>
      <c r="D757">
        <v>1</v>
      </c>
      <c r="E757">
        <v>0</v>
      </c>
      <c r="F757" t="s">
        <v>43</v>
      </c>
      <c r="G757" t="s">
        <v>16</v>
      </c>
      <c r="H757" t="s">
        <v>23</v>
      </c>
      <c r="I757" t="s">
        <v>13</v>
      </c>
      <c r="J757">
        <v>1</v>
      </c>
    </row>
    <row r="758" spans="1:10" x14ac:dyDescent="0.3">
      <c r="A758" t="s">
        <v>9</v>
      </c>
      <c r="B758">
        <v>50</v>
      </c>
      <c r="C758">
        <v>0</v>
      </c>
      <c r="D758">
        <v>0</v>
      </c>
      <c r="E758">
        <v>1</v>
      </c>
      <c r="F758" t="s">
        <v>10</v>
      </c>
      <c r="G758" t="s">
        <v>11</v>
      </c>
      <c r="H758" t="s">
        <v>12</v>
      </c>
      <c r="I758" t="s">
        <v>13</v>
      </c>
      <c r="J758">
        <v>0</v>
      </c>
    </row>
    <row r="759" spans="1:10" x14ac:dyDescent="0.3">
      <c r="A759" t="s">
        <v>14</v>
      </c>
      <c r="B759">
        <v>20</v>
      </c>
      <c r="C759">
        <v>0</v>
      </c>
      <c r="D759">
        <v>0</v>
      </c>
      <c r="E759">
        <v>0</v>
      </c>
      <c r="F759" t="s">
        <v>26</v>
      </c>
      <c r="G759" t="s">
        <v>16</v>
      </c>
      <c r="H759" t="s">
        <v>12</v>
      </c>
      <c r="I759" t="s">
        <v>13</v>
      </c>
      <c r="J759">
        <v>0</v>
      </c>
    </row>
    <row r="760" spans="1:10" x14ac:dyDescent="0.3">
      <c r="A760" t="s">
        <v>14</v>
      </c>
      <c r="B760">
        <v>58</v>
      </c>
      <c r="C760">
        <v>1</v>
      </c>
      <c r="D760">
        <v>1</v>
      </c>
      <c r="E760">
        <v>1</v>
      </c>
      <c r="F760" t="s">
        <v>25</v>
      </c>
      <c r="G760" t="s">
        <v>11</v>
      </c>
      <c r="H760" t="s">
        <v>23</v>
      </c>
      <c r="I760" t="s">
        <v>13</v>
      </c>
      <c r="J760">
        <v>1</v>
      </c>
    </row>
    <row r="761" spans="1:10" x14ac:dyDescent="0.3">
      <c r="A761" t="s">
        <v>9</v>
      </c>
      <c r="B761">
        <v>46</v>
      </c>
      <c r="C761">
        <v>0</v>
      </c>
      <c r="D761">
        <v>0</v>
      </c>
      <c r="E761">
        <v>0</v>
      </c>
      <c r="F761" t="s">
        <v>45</v>
      </c>
      <c r="G761" t="s">
        <v>16</v>
      </c>
      <c r="H761" t="s">
        <v>23</v>
      </c>
      <c r="I761" t="s">
        <v>13</v>
      </c>
      <c r="J761">
        <v>0</v>
      </c>
    </row>
    <row r="762" spans="1:10" x14ac:dyDescent="0.3">
      <c r="A762" t="s">
        <v>14</v>
      </c>
      <c r="B762">
        <v>24</v>
      </c>
      <c r="C762">
        <v>0</v>
      </c>
      <c r="D762">
        <v>0</v>
      </c>
      <c r="E762">
        <v>1</v>
      </c>
      <c r="F762" t="s">
        <v>26</v>
      </c>
      <c r="G762" t="s">
        <v>11</v>
      </c>
      <c r="H762" t="s">
        <v>12</v>
      </c>
      <c r="I762" t="s">
        <v>13</v>
      </c>
      <c r="J762">
        <v>0</v>
      </c>
    </row>
    <row r="763" spans="1:10" x14ac:dyDescent="0.3">
      <c r="A763" t="s">
        <v>14</v>
      </c>
      <c r="B763">
        <v>29</v>
      </c>
      <c r="C763">
        <v>0</v>
      </c>
      <c r="D763">
        <v>0</v>
      </c>
      <c r="E763">
        <v>0</v>
      </c>
      <c r="F763" t="s">
        <v>41</v>
      </c>
      <c r="G763" t="s">
        <v>16</v>
      </c>
      <c r="H763" t="s">
        <v>18</v>
      </c>
      <c r="I763" t="s">
        <v>13</v>
      </c>
      <c r="J763">
        <v>0</v>
      </c>
    </row>
    <row r="764" spans="1:10" x14ac:dyDescent="0.3">
      <c r="A764" t="s">
        <v>14</v>
      </c>
      <c r="B764">
        <v>46</v>
      </c>
      <c r="C764">
        <v>0</v>
      </c>
      <c r="D764">
        <v>0</v>
      </c>
      <c r="E764">
        <v>1</v>
      </c>
      <c r="F764" t="s">
        <v>49</v>
      </c>
      <c r="G764" t="s">
        <v>11</v>
      </c>
      <c r="H764" t="s">
        <v>23</v>
      </c>
      <c r="I764" t="s">
        <v>13</v>
      </c>
      <c r="J764">
        <v>0</v>
      </c>
    </row>
    <row r="765" spans="1:10" x14ac:dyDescent="0.3">
      <c r="A765" t="s">
        <v>14</v>
      </c>
      <c r="B765">
        <v>42</v>
      </c>
      <c r="C765">
        <v>1</v>
      </c>
      <c r="D765">
        <v>1</v>
      </c>
      <c r="E765">
        <v>1</v>
      </c>
      <c r="F765" t="s">
        <v>50</v>
      </c>
      <c r="G765" t="s">
        <v>16</v>
      </c>
      <c r="H765" t="s">
        <v>12</v>
      </c>
      <c r="I765" t="s">
        <v>13</v>
      </c>
      <c r="J765">
        <v>1</v>
      </c>
    </row>
    <row r="766" spans="1:10" x14ac:dyDescent="0.3">
      <c r="A766" t="s">
        <v>9</v>
      </c>
      <c r="B766">
        <v>56</v>
      </c>
      <c r="C766">
        <v>0</v>
      </c>
      <c r="D766">
        <v>0</v>
      </c>
      <c r="E766">
        <v>0</v>
      </c>
      <c r="F766" t="s">
        <v>41</v>
      </c>
      <c r="G766" t="s">
        <v>11</v>
      </c>
      <c r="H766" t="s">
        <v>18</v>
      </c>
      <c r="I766" t="s">
        <v>13</v>
      </c>
      <c r="J766">
        <v>0</v>
      </c>
    </row>
    <row r="767" spans="1:10" x14ac:dyDescent="0.3">
      <c r="A767" t="s">
        <v>14</v>
      </c>
      <c r="B767">
        <v>8</v>
      </c>
      <c r="C767">
        <v>0</v>
      </c>
      <c r="D767">
        <v>0</v>
      </c>
      <c r="E767">
        <v>0</v>
      </c>
      <c r="F767" t="s">
        <v>17</v>
      </c>
      <c r="G767" t="s">
        <v>16</v>
      </c>
      <c r="H767" t="s">
        <v>23</v>
      </c>
      <c r="I767" t="s">
        <v>13</v>
      </c>
      <c r="J767">
        <v>0</v>
      </c>
    </row>
    <row r="768" spans="1:10" x14ac:dyDescent="0.3">
      <c r="A768" t="s">
        <v>14</v>
      </c>
      <c r="B768">
        <v>13</v>
      </c>
      <c r="C768">
        <v>0</v>
      </c>
      <c r="D768">
        <v>0</v>
      </c>
      <c r="E768">
        <v>0</v>
      </c>
      <c r="F768" t="s">
        <v>40</v>
      </c>
      <c r="G768" t="s">
        <v>11</v>
      </c>
      <c r="H768" t="s">
        <v>12</v>
      </c>
      <c r="I768" t="s">
        <v>13</v>
      </c>
      <c r="J768">
        <v>0</v>
      </c>
    </row>
    <row r="769" spans="1:10" x14ac:dyDescent="0.3">
      <c r="A769" t="s">
        <v>14</v>
      </c>
      <c r="B769">
        <v>10</v>
      </c>
      <c r="C769">
        <v>1</v>
      </c>
      <c r="D769">
        <v>1</v>
      </c>
      <c r="E769">
        <v>0</v>
      </c>
      <c r="F769" t="s">
        <v>28</v>
      </c>
      <c r="G769" t="s">
        <v>16</v>
      </c>
      <c r="H769" t="s">
        <v>23</v>
      </c>
      <c r="I769" t="s">
        <v>13</v>
      </c>
      <c r="J769">
        <v>1</v>
      </c>
    </row>
    <row r="770" spans="1:10" x14ac:dyDescent="0.3">
      <c r="A770" t="s">
        <v>14</v>
      </c>
      <c r="B770">
        <v>34</v>
      </c>
      <c r="C770">
        <v>0</v>
      </c>
      <c r="D770">
        <v>0</v>
      </c>
      <c r="E770">
        <v>1</v>
      </c>
      <c r="F770" t="s">
        <v>51</v>
      </c>
      <c r="G770" t="s">
        <v>11</v>
      </c>
      <c r="H770" t="s">
        <v>18</v>
      </c>
      <c r="I770" t="s">
        <v>13</v>
      </c>
      <c r="J770">
        <v>0</v>
      </c>
    </row>
    <row r="771" spans="1:10" x14ac:dyDescent="0.3">
      <c r="A771" t="s">
        <v>9</v>
      </c>
      <c r="B771">
        <v>33</v>
      </c>
      <c r="C771">
        <v>1</v>
      </c>
      <c r="D771">
        <v>1</v>
      </c>
      <c r="E771">
        <v>1</v>
      </c>
      <c r="F771" t="s">
        <v>43</v>
      </c>
      <c r="G771" t="s">
        <v>16</v>
      </c>
      <c r="H771" t="s">
        <v>23</v>
      </c>
      <c r="I771" t="s">
        <v>13</v>
      </c>
      <c r="J771">
        <v>1</v>
      </c>
    </row>
    <row r="772" spans="1:10" x14ac:dyDescent="0.3">
      <c r="A772" t="s">
        <v>14</v>
      </c>
      <c r="B772">
        <v>43</v>
      </c>
      <c r="C772">
        <v>1</v>
      </c>
      <c r="D772">
        <v>1</v>
      </c>
      <c r="E772">
        <v>0</v>
      </c>
      <c r="F772" t="s">
        <v>36</v>
      </c>
      <c r="G772" t="s">
        <v>11</v>
      </c>
      <c r="H772" t="s">
        <v>18</v>
      </c>
      <c r="I772" t="s">
        <v>13</v>
      </c>
      <c r="J772">
        <v>1</v>
      </c>
    </row>
    <row r="773" spans="1:10" x14ac:dyDescent="0.3">
      <c r="A773" t="s">
        <v>9</v>
      </c>
      <c r="B773">
        <v>36</v>
      </c>
      <c r="C773">
        <v>1</v>
      </c>
      <c r="D773">
        <v>1</v>
      </c>
      <c r="E773">
        <v>0</v>
      </c>
      <c r="F773" t="s">
        <v>38</v>
      </c>
      <c r="G773" t="s">
        <v>16</v>
      </c>
      <c r="H773" t="s">
        <v>18</v>
      </c>
      <c r="I773" t="s">
        <v>13</v>
      </c>
      <c r="J773">
        <v>1</v>
      </c>
    </row>
    <row r="774" spans="1:10" x14ac:dyDescent="0.3">
      <c r="A774" t="s">
        <v>9</v>
      </c>
      <c r="B774">
        <v>50</v>
      </c>
      <c r="C774">
        <v>1</v>
      </c>
      <c r="D774">
        <v>1</v>
      </c>
      <c r="E774">
        <v>0</v>
      </c>
      <c r="F774" t="s">
        <v>26</v>
      </c>
      <c r="G774" t="s">
        <v>11</v>
      </c>
      <c r="H774" t="s">
        <v>18</v>
      </c>
      <c r="I774" t="s">
        <v>13</v>
      </c>
      <c r="J774">
        <v>1</v>
      </c>
    </row>
    <row r="775" spans="1:10" x14ac:dyDescent="0.3">
      <c r="A775" t="s">
        <v>14</v>
      </c>
      <c r="B775">
        <v>14</v>
      </c>
      <c r="C775">
        <v>1</v>
      </c>
      <c r="D775">
        <v>1</v>
      </c>
      <c r="E775">
        <v>0</v>
      </c>
      <c r="F775" t="s">
        <v>39</v>
      </c>
      <c r="G775" t="s">
        <v>16</v>
      </c>
      <c r="H775" t="s">
        <v>12</v>
      </c>
      <c r="I775" t="s">
        <v>13</v>
      </c>
      <c r="J775">
        <v>1</v>
      </c>
    </row>
    <row r="776" spans="1:10" x14ac:dyDescent="0.3">
      <c r="A776" t="s">
        <v>14</v>
      </c>
      <c r="B776">
        <v>10</v>
      </c>
      <c r="C776">
        <v>0</v>
      </c>
      <c r="D776">
        <v>0</v>
      </c>
      <c r="E776">
        <v>1</v>
      </c>
      <c r="F776" t="s">
        <v>36</v>
      </c>
      <c r="G776" t="s">
        <v>11</v>
      </c>
      <c r="H776" t="s">
        <v>18</v>
      </c>
      <c r="I776" t="s">
        <v>13</v>
      </c>
      <c r="J776">
        <v>0</v>
      </c>
    </row>
    <row r="777" spans="1:10" x14ac:dyDescent="0.3">
      <c r="A777" t="s">
        <v>14</v>
      </c>
      <c r="B777">
        <v>50</v>
      </c>
      <c r="C777">
        <v>1</v>
      </c>
      <c r="D777">
        <v>1</v>
      </c>
      <c r="E777">
        <v>0</v>
      </c>
      <c r="F777" t="s">
        <v>35</v>
      </c>
      <c r="G777" t="s">
        <v>16</v>
      </c>
      <c r="H777" t="s">
        <v>18</v>
      </c>
      <c r="I777" t="s">
        <v>13</v>
      </c>
      <c r="J777">
        <v>1</v>
      </c>
    </row>
    <row r="778" spans="1:10" x14ac:dyDescent="0.3">
      <c r="A778" t="s">
        <v>14</v>
      </c>
      <c r="B778">
        <v>62</v>
      </c>
      <c r="C778">
        <v>1</v>
      </c>
      <c r="D778">
        <v>1</v>
      </c>
      <c r="E778">
        <v>0</v>
      </c>
      <c r="F778" t="s">
        <v>28</v>
      </c>
      <c r="G778" t="s">
        <v>11</v>
      </c>
      <c r="H778" t="s">
        <v>18</v>
      </c>
      <c r="I778" t="s">
        <v>13</v>
      </c>
      <c r="J778">
        <v>1</v>
      </c>
    </row>
    <row r="779" spans="1:10" x14ac:dyDescent="0.3">
      <c r="A779" t="s">
        <v>9</v>
      </c>
      <c r="B779">
        <v>11</v>
      </c>
      <c r="C779">
        <v>0</v>
      </c>
      <c r="D779">
        <v>0</v>
      </c>
      <c r="E779">
        <v>0</v>
      </c>
      <c r="F779" t="s">
        <v>38</v>
      </c>
      <c r="G779" t="s">
        <v>16</v>
      </c>
      <c r="H779" t="s">
        <v>12</v>
      </c>
      <c r="I779" t="s">
        <v>13</v>
      </c>
      <c r="J779">
        <v>0</v>
      </c>
    </row>
    <row r="780" spans="1:10" x14ac:dyDescent="0.3">
      <c r="A780" t="s">
        <v>14</v>
      </c>
      <c r="B780">
        <v>40</v>
      </c>
      <c r="C780">
        <v>1</v>
      </c>
      <c r="D780">
        <v>1</v>
      </c>
      <c r="E780">
        <v>1</v>
      </c>
      <c r="F780" t="s">
        <v>47</v>
      </c>
      <c r="G780" t="s">
        <v>11</v>
      </c>
      <c r="H780" t="s">
        <v>12</v>
      </c>
      <c r="I780" t="s">
        <v>13</v>
      </c>
      <c r="J780">
        <v>1</v>
      </c>
    </row>
    <row r="781" spans="1:10" x14ac:dyDescent="0.3">
      <c r="A781" t="s">
        <v>14</v>
      </c>
      <c r="B781">
        <v>50</v>
      </c>
      <c r="C781">
        <v>1</v>
      </c>
      <c r="D781">
        <v>1</v>
      </c>
      <c r="E781">
        <v>1</v>
      </c>
      <c r="F781" t="s">
        <v>15</v>
      </c>
      <c r="G781" t="s">
        <v>16</v>
      </c>
      <c r="H781" t="s">
        <v>12</v>
      </c>
      <c r="I781" t="s">
        <v>13</v>
      </c>
      <c r="J781">
        <v>1</v>
      </c>
    </row>
    <row r="782" spans="1:10" x14ac:dyDescent="0.3">
      <c r="A782" t="s">
        <v>14</v>
      </c>
      <c r="B782">
        <v>17</v>
      </c>
      <c r="C782">
        <v>0</v>
      </c>
      <c r="D782">
        <v>0</v>
      </c>
      <c r="E782">
        <v>0</v>
      </c>
      <c r="F782" t="s">
        <v>37</v>
      </c>
      <c r="G782" t="s">
        <v>11</v>
      </c>
      <c r="H782" t="s">
        <v>18</v>
      </c>
      <c r="I782" t="s">
        <v>13</v>
      </c>
      <c r="J782">
        <v>0</v>
      </c>
    </row>
    <row r="783" spans="1:10" x14ac:dyDescent="0.3">
      <c r="A783" t="s">
        <v>9</v>
      </c>
      <c r="B783">
        <v>31</v>
      </c>
      <c r="C783">
        <v>1</v>
      </c>
      <c r="D783">
        <v>1</v>
      </c>
      <c r="E783">
        <v>1</v>
      </c>
      <c r="F783" t="s">
        <v>50</v>
      </c>
      <c r="G783" t="s">
        <v>16</v>
      </c>
      <c r="H783" t="s">
        <v>12</v>
      </c>
      <c r="I783" t="s">
        <v>13</v>
      </c>
      <c r="J783">
        <v>1</v>
      </c>
    </row>
    <row r="784" spans="1:10" x14ac:dyDescent="0.3">
      <c r="A784" t="s">
        <v>9</v>
      </c>
      <c r="B784">
        <v>53</v>
      </c>
      <c r="C784">
        <v>1</v>
      </c>
      <c r="D784">
        <v>1</v>
      </c>
      <c r="E784">
        <v>1</v>
      </c>
      <c r="F784" t="s">
        <v>19</v>
      </c>
      <c r="G784" t="s">
        <v>11</v>
      </c>
      <c r="H784" t="s">
        <v>12</v>
      </c>
      <c r="I784" t="s">
        <v>13</v>
      </c>
      <c r="J784">
        <v>1</v>
      </c>
    </row>
    <row r="785" spans="1:10" x14ac:dyDescent="0.3">
      <c r="A785" t="s">
        <v>14</v>
      </c>
      <c r="B785">
        <v>29</v>
      </c>
      <c r="C785">
        <v>0</v>
      </c>
      <c r="D785">
        <v>0</v>
      </c>
      <c r="E785">
        <v>1</v>
      </c>
      <c r="F785" t="s">
        <v>41</v>
      </c>
      <c r="G785" t="s">
        <v>16</v>
      </c>
      <c r="H785" t="s">
        <v>18</v>
      </c>
      <c r="I785" t="s">
        <v>13</v>
      </c>
      <c r="J785">
        <v>0</v>
      </c>
    </row>
    <row r="786" spans="1:10" x14ac:dyDescent="0.3">
      <c r="A786" t="s">
        <v>9</v>
      </c>
      <c r="B786">
        <v>32</v>
      </c>
      <c r="C786">
        <v>1</v>
      </c>
      <c r="D786">
        <v>1</v>
      </c>
      <c r="E786">
        <v>1</v>
      </c>
      <c r="F786" t="s">
        <v>27</v>
      </c>
      <c r="G786" t="s">
        <v>11</v>
      </c>
      <c r="H786" t="s">
        <v>23</v>
      </c>
      <c r="I786" t="s">
        <v>13</v>
      </c>
      <c r="J786">
        <v>1</v>
      </c>
    </row>
    <row r="787" spans="1:10" x14ac:dyDescent="0.3">
      <c r="A787" t="s">
        <v>9</v>
      </c>
      <c r="B787">
        <v>45</v>
      </c>
      <c r="C787">
        <v>0</v>
      </c>
      <c r="D787">
        <v>0</v>
      </c>
      <c r="E787">
        <v>0</v>
      </c>
      <c r="F787" t="s">
        <v>52</v>
      </c>
      <c r="G787" t="s">
        <v>16</v>
      </c>
      <c r="H787" t="s">
        <v>18</v>
      </c>
      <c r="I787" t="s">
        <v>13</v>
      </c>
      <c r="J787">
        <v>0</v>
      </c>
    </row>
    <row r="788" spans="1:10" x14ac:dyDescent="0.3">
      <c r="A788" t="s">
        <v>14</v>
      </c>
      <c r="B788">
        <v>63</v>
      </c>
      <c r="C788">
        <v>0</v>
      </c>
      <c r="D788">
        <v>0</v>
      </c>
      <c r="E788">
        <v>1</v>
      </c>
      <c r="F788" t="s">
        <v>31</v>
      </c>
      <c r="G788" t="s">
        <v>11</v>
      </c>
      <c r="H788" t="s">
        <v>23</v>
      </c>
      <c r="I788" t="s">
        <v>13</v>
      </c>
      <c r="J788">
        <v>0</v>
      </c>
    </row>
    <row r="789" spans="1:10" x14ac:dyDescent="0.3">
      <c r="A789" t="s">
        <v>14</v>
      </c>
      <c r="B789">
        <v>22</v>
      </c>
      <c r="C789">
        <v>1</v>
      </c>
      <c r="D789">
        <v>1</v>
      </c>
      <c r="E789">
        <v>1</v>
      </c>
      <c r="F789" t="s">
        <v>46</v>
      </c>
      <c r="G789" t="s">
        <v>16</v>
      </c>
      <c r="H789" t="s">
        <v>18</v>
      </c>
      <c r="I789" t="s">
        <v>13</v>
      </c>
      <c r="J789">
        <v>1</v>
      </c>
    </row>
    <row r="790" spans="1:10" x14ac:dyDescent="0.3">
      <c r="A790" t="s">
        <v>14</v>
      </c>
      <c r="B790">
        <v>46</v>
      </c>
      <c r="C790">
        <v>0</v>
      </c>
      <c r="D790">
        <v>0</v>
      </c>
      <c r="E790">
        <v>0</v>
      </c>
      <c r="F790" t="s">
        <v>17</v>
      </c>
      <c r="G790" t="s">
        <v>11</v>
      </c>
      <c r="H790" t="s">
        <v>23</v>
      </c>
      <c r="I790" t="s">
        <v>13</v>
      </c>
      <c r="J790">
        <v>0</v>
      </c>
    </row>
    <row r="791" spans="1:10" x14ac:dyDescent="0.3">
      <c r="A791" t="s">
        <v>14</v>
      </c>
      <c r="B791">
        <v>31</v>
      </c>
      <c r="C791">
        <v>1</v>
      </c>
      <c r="D791">
        <v>1</v>
      </c>
      <c r="E791">
        <v>0</v>
      </c>
      <c r="F791" t="s">
        <v>29</v>
      </c>
      <c r="G791" t="s">
        <v>16</v>
      </c>
      <c r="H791" t="s">
        <v>18</v>
      </c>
      <c r="I791" t="s">
        <v>13</v>
      </c>
      <c r="J791">
        <v>1</v>
      </c>
    </row>
    <row r="792" spans="1:10" x14ac:dyDescent="0.3">
      <c r="A792" t="s">
        <v>14</v>
      </c>
      <c r="B792">
        <v>42</v>
      </c>
      <c r="C792">
        <v>1</v>
      </c>
      <c r="D792">
        <v>1</v>
      </c>
      <c r="E792">
        <v>1</v>
      </c>
      <c r="F792" t="s">
        <v>51</v>
      </c>
      <c r="G792" t="s">
        <v>11</v>
      </c>
      <c r="H792" t="s">
        <v>23</v>
      </c>
      <c r="I792" t="s">
        <v>13</v>
      </c>
      <c r="J792">
        <v>1</v>
      </c>
    </row>
    <row r="793" spans="1:10" x14ac:dyDescent="0.3">
      <c r="A793" t="s">
        <v>14</v>
      </c>
      <c r="B793">
        <v>54</v>
      </c>
      <c r="C793">
        <v>0</v>
      </c>
      <c r="D793">
        <v>0</v>
      </c>
      <c r="E793">
        <v>0</v>
      </c>
      <c r="F793" t="s">
        <v>34</v>
      </c>
      <c r="G793" t="s">
        <v>16</v>
      </c>
      <c r="H793" t="s">
        <v>18</v>
      </c>
      <c r="I793" t="s">
        <v>13</v>
      </c>
      <c r="J793">
        <v>0</v>
      </c>
    </row>
    <row r="794" spans="1:10" x14ac:dyDescent="0.3">
      <c r="A794" t="s">
        <v>9</v>
      </c>
      <c r="B794">
        <v>27</v>
      </c>
      <c r="C794">
        <v>0</v>
      </c>
      <c r="D794">
        <v>0</v>
      </c>
      <c r="E794">
        <v>1</v>
      </c>
      <c r="F794" t="s">
        <v>36</v>
      </c>
      <c r="G794" t="s">
        <v>11</v>
      </c>
      <c r="H794" t="s">
        <v>18</v>
      </c>
      <c r="I794" t="s">
        <v>13</v>
      </c>
      <c r="J794">
        <v>0</v>
      </c>
    </row>
    <row r="795" spans="1:10" x14ac:dyDescent="0.3">
      <c r="A795" t="s">
        <v>14</v>
      </c>
      <c r="B795">
        <v>57</v>
      </c>
      <c r="C795">
        <v>1</v>
      </c>
      <c r="D795">
        <v>1</v>
      </c>
      <c r="E795">
        <v>1</v>
      </c>
      <c r="F795" t="s">
        <v>22</v>
      </c>
      <c r="G795" t="s">
        <v>16</v>
      </c>
      <c r="H795" t="s">
        <v>18</v>
      </c>
      <c r="I795" t="s">
        <v>13</v>
      </c>
      <c r="J795">
        <v>1</v>
      </c>
    </row>
    <row r="796" spans="1:10" x14ac:dyDescent="0.3">
      <c r="A796" t="s">
        <v>14</v>
      </c>
      <c r="B796">
        <v>46</v>
      </c>
      <c r="C796">
        <v>1</v>
      </c>
      <c r="D796">
        <v>1</v>
      </c>
      <c r="E796">
        <v>1</v>
      </c>
      <c r="F796" t="s">
        <v>32</v>
      </c>
      <c r="G796" t="s">
        <v>11</v>
      </c>
      <c r="H796" t="s">
        <v>23</v>
      </c>
      <c r="I796" t="s">
        <v>13</v>
      </c>
      <c r="J796">
        <v>1</v>
      </c>
    </row>
    <row r="797" spans="1:10" x14ac:dyDescent="0.3">
      <c r="A797" t="s">
        <v>14</v>
      </c>
      <c r="B797">
        <v>29</v>
      </c>
      <c r="C797">
        <v>0</v>
      </c>
      <c r="D797">
        <v>0</v>
      </c>
      <c r="E797">
        <v>1</v>
      </c>
      <c r="F797" t="s">
        <v>50</v>
      </c>
      <c r="G797" t="s">
        <v>16</v>
      </c>
      <c r="H797" t="s">
        <v>12</v>
      </c>
      <c r="I797" t="s">
        <v>13</v>
      </c>
      <c r="J797">
        <v>0</v>
      </c>
    </row>
    <row r="798" spans="1:10" x14ac:dyDescent="0.3">
      <c r="A798" t="s">
        <v>14</v>
      </c>
      <c r="B798">
        <v>34</v>
      </c>
      <c r="C798">
        <v>1</v>
      </c>
      <c r="D798">
        <v>1</v>
      </c>
      <c r="E798">
        <v>0</v>
      </c>
      <c r="F798" t="s">
        <v>25</v>
      </c>
      <c r="G798" t="s">
        <v>11</v>
      </c>
      <c r="H798" t="s">
        <v>18</v>
      </c>
      <c r="I798" t="s">
        <v>13</v>
      </c>
      <c r="J798">
        <v>1</v>
      </c>
    </row>
    <row r="799" spans="1:10" x14ac:dyDescent="0.3">
      <c r="A799" t="s">
        <v>9</v>
      </c>
      <c r="B799">
        <v>41</v>
      </c>
      <c r="C799">
        <v>1</v>
      </c>
      <c r="D799">
        <v>1</v>
      </c>
      <c r="E799">
        <v>1</v>
      </c>
      <c r="F799" t="s">
        <v>36</v>
      </c>
      <c r="G799" t="s">
        <v>16</v>
      </c>
      <c r="H799" t="s">
        <v>18</v>
      </c>
      <c r="I799" t="s">
        <v>13</v>
      </c>
      <c r="J799">
        <v>1</v>
      </c>
    </row>
    <row r="800" spans="1:10" x14ac:dyDescent="0.3">
      <c r="A800" t="s">
        <v>9</v>
      </c>
      <c r="B800">
        <v>10</v>
      </c>
      <c r="C800">
        <v>0</v>
      </c>
      <c r="D800">
        <v>0</v>
      </c>
      <c r="E800">
        <v>1</v>
      </c>
      <c r="F800" t="s">
        <v>22</v>
      </c>
      <c r="G800" t="s">
        <v>11</v>
      </c>
      <c r="H800" t="s">
        <v>12</v>
      </c>
      <c r="I800" t="s">
        <v>13</v>
      </c>
      <c r="J800">
        <v>0</v>
      </c>
    </row>
    <row r="801" spans="1:10" x14ac:dyDescent="0.3">
      <c r="A801" t="s">
        <v>9</v>
      </c>
      <c r="B801">
        <v>27</v>
      </c>
      <c r="C801">
        <v>1</v>
      </c>
      <c r="D801">
        <v>1</v>
      </c>
      <c r="E801">
        <v>0</v>
      </c>
      <c r="F801" t="s">
        <v>19</v>
      </c>
      <c r="G801" t="s">
        <v>16</v>
      </c>
      <c r="H801" t="s">
        <v>12</v>
      </c>
      <c r="I801" t="s">
        <v>13</v>
      </c>
      <c r="J801">
        <v>1</v>
      </c>
    </row>
    <row r="802" spans="1:10" x14ac:dyDescent="0.3">
      <c r="A802" t="s">
        <v>9</v>
      </c>
      <c r="B802">
        <v>26</v>
      </c>
      <c r="C802">
        <v>1</v>
      </c>
      <c r="D802">
        <v>1</v>
      </c>
      <c r="E802">
        <v>1</v>
      </c>
      <c r="F802" t="s">
        <v>38</v>
      </c>
      <c r="G802" t="s">
        <v>11</v>
      </c>
      <c r="H802" t="s">
        <v>23</v>
      </c>
      <c r="I802" t="s">
        <v>13</v>
      </c>
      <c r="J802">
        <v>1</v>
      </c>
    </row>
    <row r="803" spans="1:10" x14ac:dyDescent="0.3">
      <c r="A803" t="s">
        <v>9</v>
      </c>
      <c r="B803">
        <v>62</v>
      </c>
      <c r="C803">
        <v>1</v>
      </c>
      <c r="D803">
        <v>1</v>
      </c>
      <c r="E803">
        <v>1</v>
      </c>
      <c r="F803" t="s">
        <v>32</v>
      </c>
      <c r="G803" t="s">
        <v>16</v>
      </c>
      <c r="H803" t="s">
        <v>18</v>
      </c>
      <c r="I803" t="s">
        <v>13</v>
      </c>
      <c r="J803">
        <v>1</v>
      </c>
    </row>
    <row r="804" spans="1:10" x14ac:dyDescent="0.3">
      <c r="A804" t="s">
        <v>14</v>
      </c>
      <c r="B804">
        <v>28</v>
      </c>
      <c r="C804">
        <v>1</v>
      </c>
      <c r="D804">
        <v>1</v>
      </c>
      <c r="E804">
        <v>1</v>
      </c>
      <c r="F804" t="s">
        <v>26</v>
      </c>
      <c r="G804" t="s">
        <v>11</v>
      </c>
      <c r="H804" t="s">
        <v>18</v>
      </c>
      <c r="I804" t="s">
        <v>13</v>
      </c>
      <c r="J804">
        <v>1</v>
      </c>
    </row>
    <row r="805" spans="1:10" x14ac:dyDescent="0.3">
      <c r="A805" t="s">
        <v>14</v>
      </c>
      <c r="B805">
        <v>44</v>
      </c>
      <c r="C805">
        <v>1</v>
      </c>
      <c r="D805">
        <v>1</v>
      </c>
      <c r="E805">
        <v>0</v>
      </c>
      <c r="F805" t="s">
        <v>48</v>
      </c>
      <c r="G805" t="s">
        <v>16</v>
      </c>
      <c r="H805" t="s">
        <v>18</v>
      </c>
      <c r="I805" t="s">
        <v>13</v>
      </c>
      <c r="J805">
        <v>1</v>
      </c>
    </row>
    <row r="806" spans="1:10" x14ac:dyDescent="0.3">
      <c r="A806" t="s">
        <v>14</v>
      </c>
      <c r="B806">
        <v>39</v>
      </c>
      <c r="C806">
        <v>1</v>
      </c>
      <c r="D806">
        <v>1</v>
      </c>
      <c r="E806">
        <v>1</v>
      </c>
      <c r="F806" t="s">
        <v>31</v>
      </c>
      <c r="G806" t="s">
        <v>11</v>
      </c>
      <c r="H806" t="s">
        <v>12</v>
      </c>
      <c r="I806" t="s">
        <v>13</v>
      </c>
      <c r="J806">
        <v>1</v>
      </c>
    </row>
    <row r="807" spans="1:10" x14ac:dyDescent="0.3">
      <c r="A807" t="s">
        <v>9</v>
      </c>
      <c r="B807">
        <v>11</v>
      </c>
      <c r="C807">
        <v>0</v>
      </c>
      <c r="D807">
        <v>0</v>
      </c>
      <c r="E807">
        <v>1</v>
      </c>
      <c r="F807" t="s">
        <v>49</v>
      </c>
      <c r="G807" t="s">
        <v>16</v>
      </c>
      <c r="H807" t="s">
        <v>23</v>
      </c>
      <c r="I807" t="s">
        <v>13</v>
      </c>
      <c r="J807">
        <v>0</v>
      </c>
    </row>
    <row r="808" spans="1:10" x14ac:dyDescent="0.3">
      <c r="A808" t="s">
        <v>9</v>
      </c>
      <c r="B808">
        <v>51</v>
      </c>
      <c r="C808">
        <v>0</v>
      </c>
      <c r="D808">
        <v>0</v>
      </c>
      <c r="E808">
        <v>1</v>
      </c>
      <c r="F808" t="s">
        <v>47</v>
      </c>
      <c r="G808" t="s">
        <v>11</v>
      </c>
      <c r="H808" t="s">
        <v>18</v>
      </c>
      <c r="I808" t="s">
        <v>13</v>
      </c>
      <c r="J808">
        <v>0</v>
      </c>
    </row>
    <row r="809" spans="1:10" x14ac:dyDescent="0.3">
      <c r="A809" t="s">
        <v>9</v>
      </c>
      <c r="B809">
        <v>34</v>
      </c>
      <c r="C809">
        <v>1</v>
      </c>
      <c r="D809">
        <v>1</v>
      </c>
      <c r="E809">
        <v>0</v>
      </c>
      <c r="F809" t="s">
        <v>21</v>
      </c>
      <c r="G809" t="s">
        <v>16</v>
      </c>
      <c r="H809" t="s">
        <v>23</v>
      </c>
      <c r="I809" t="s">
        <v>13</v>
      </c>
      <c r="J809">
        <v>1</v>
      </c>
    </row>
    <row r="810" spans="1:10" x14ac:dyDescent="0.3">
      <c r="A810" t="s">
        <v>9</v>
      </c>
      <c r="B810">
        <v>17</v>
      </c>
      <c r="C810">
        <v>0</v>
      </c>
      <c r="D810">
        <v>0</v>
      </c>
      <c r="E810">
        <v>0</v>
      </c>
      <c r="F810" t="s">
        <v>44</v>
      </c>
      <c r="G810" t="s">
        <v>11</v>
      </c>
      <c r="H810" t="s">
        <v>12</v>
      </c>
      <c r="I810" t="s">
        <v>13</v>
      </c>
      <c r="J810">
        <v>0</v>
      </c>
    </row>
    <row r="811" spans="1:10" x14ac:dyDescent="0.3">
      <c r="A811" t="s">
        <v>9</v>
      </c>
      <c r="B811">
        <v>12</v>
      </c>
      <c r="C811">
        <v>1</v>
      </c>
      <c r="D811">
        <v>1</v>
      </c>
      <c r="E811">
        <v>0</v>
      </c>
      <c r="F811" t="s">
        <v>51</v>
      </c>
      <c r="G811" t="s">
        <v>16</v>
      </c>
      <c r="H811" t="s">
        <v>18</v>
      </c>
      <c r="I811" t="s">
        <v>13</v>
      </c>
      <c r="J811">
        <v>1</v>
      </c>
    </row>
    <row r="812" spans="1:10" x14ac:dyDescent="0.3">
      <c r="A812" t="s">
        <v>14</v>
      </c>
      <c r="B812">
        <v>51</v>
      </c>
      <c r="C812">
        <v>0</v>
      </c>
      <c r="D812">
        <v>0</v>
      </c>
      <c r="E812">
        <v>1</v>
      </c>
      <c r="F812" t="s">
        <v>50</v>
      </c>
      <c r="G812" t="s">
        <v>11</v>
      </c>
      <c r="H812" t="s">
        <v>18</v>
      </c>
      <c r="I812" t="s">
        <v>13</v>
      </c>
      <c r="J812">
        <v>0</v>
      </c>
    </row>
    <row r="813" spans="1:10" x14ac:dyDescent="0.3">
      <c r="A813" t="s">
        <v>9</v>
      </c>
      <c r="B813">
        <v>49</v>
      </c>
      <c r="C813">
        <v>0</v>
      </c>
      <c r="D813">
        <v>0</v>
      </c>
      <c r="E813">
        <v>1</v>
      </c>
      <c r="F813" t="s">
        <v>29</v>
      </c>
      <c r="G813" t="s">
        <v>16</v>
      </c>
      <c r="H813" t="s">
        <v>23</v>
      </c>
      <c r="I813" t="s">
        <v>13</v>
      </c>
      <c r="J813">
        <v>0</v>
      </c>
    </row>
    <row r="814" spans="1:10" x14ac:dyDescent="0.3">
      <c r="A814" t="s">
        <v>14</v>
      </c>
      <c r="B814">
        <v>40</v>
      </c>
      <c r="C814">
        <v>1</v>
      </c>
      <c r="D814">
        <v>1</v>
      </c>
      <c r="E814">
        <v>0</v>
      </c>
      <c r="F814" t="s">
        <v>47</v>
      </c>
      <c r="G814" t="s">
        <v>11</v>
      </c>
      <c r="H814" t="s">
        <v>18</v>
      </c>
      <c r="I814" t="s">
        <v>13</v>
      </c>
      <c r="J814">
        <v>1</v>
      </c>
    </row>
    <row r="815" spans="1:10" x14ac:dyDescent="0.3">
      <c r="A815" t="s">
        <v>14</v>
      </c>
      <c r="B815">
        <v>50</v>
      </c>
      <c r="C815">
        <v>0</v>
      </c>
      <c r="D815">
        <v>0</v>
      </c>
      <c r="E815">
        <v>1</v>
      </c>
      <c r="F815" t="s">
        <v>32</v>
      </c>
      <c r="G815" t="s">
        <v>16</v>
      </c>
      <c r="H815" t="s">
        <v>23</v>
      </c>
      <c r="I815" t="s">
        <v>13</v>
      </c>
      <c r="J815">
        <v>0</v>
      </c>
    </row>
    <row r="816" spans="1:10" x14ac:dyDescent="0.3">
      <c r="A816" t="s">
        <v>9</v>
      </c>
      <c r="B816">
        <v>31</v>
      </c>
      <c r="C816">
        <v>1</v>
      </c>
      <c r="D816">
        <v>1</v>
      </c>
      <c r="E816">
        <v>1</v>
      </c>
      <c r="F816" t="s">
        <v>24</v>
      </c>
      <c r="G816" t="s">
        <v>11</v>
      </c>
      <c r="H816" t="s">
        <v>12</v>
      </c>
      <c r="I816" t="s">
        <v>13</v>
      </c>
      <c r="J816">
        <v>1</v>
      </c>
    </row>
    <row r="817" spans="1:10" x14ac:dyDescent="0.3">
      <c r="A817" t="s">
        <v>14</v>
      </c>
      <c r="B817">
        <v>49</v>
      </c>
      <c r="C817">
        <v>1</v>
      </c>
      <c r="D817">
        <v>1</v>
      </c>
      <c r="E817">
        <v>1</v>
      </c>
      <c r="F817" t="s">
        <v>47</v>
      </c>
      <c r="G817" t="s">
        <v>16</v>
      </c>
      <c r="H817" t="s">
        <v>12</v>
      </c>
      <c r="I817" t="s">
        <v>13</v>
      </c>
      <c r="J817">
        <v>1</v>
      </c>
    </row>
    <row r="818" spans="1:10" x14ac:dyDescent="0.3">
      <c r="A818" t="s">
        <v>14</v>
      </c>
      <c r="B818">
        <v>35</v>
      </c>
      <c r="C818">
        <v>1</v>
      </c>
      <c r="D818">
        <v>1</v>
      </c>
      <c r="E818">
        <v>0</v>
      </c>
      <c r="F818" t="s">
        <v>27</v>
      </c>
      <c r="G818" t="s">
        <v>11</v>
      </c>
      <c r="H818" t="s">
        <v>23</v>
      </c>
      <c r="I818" t="s">
        <v>13</v>
      </c>
      <c r="J818">
        <v>1</v>
      </c>
    </row>
    <row r="819" spans="1:10" x14ac:dyDescent="0.3">
      <c r="A819" t="s">
        <v>9</v>
      </c>
      <c r="B819">
        <v>16</v>
      </c>
      <c r="C819">
        <v>1</v>
      </c>
      <c r="D819">
        <v>1</v>
      </c>
      <c r="E819">
        <v>0</v>
      </c>
      <c r="F819" t="s">
        <v>37</v>
      </c>
      <c r="G819" t="s">
        <v>16</v>
      </c>
      <c r="H819" t="s">
        <v>23</v>
      </c>
      <c r="I819" t="s">
        <v>13</v>
      </c>
      <c r="J819">
        <v>1</v>
      </c>
    </row>
    <row r="820" spans="1:10" x14ac:dyDescent="0.3">
      <c r="A820" t="s">
        <v>9</v>
      </c>
      <c r="B820">
        <v>37</v>
      </c>
      <c r="C820">
        <v>0</v>
      </c>
      <c r="D820">
        <v>0</v>
      </c>
      <c r="E820">
        <v>0</v>
      </c>
      <c r="F820" t="s">
        <v>28</v>
      </c>
      <c r="G820" t="s">
        <v>11</v>
      </c>
      <c r="H820" t="s">
        <v>18</v>
      </c>
      <c r="I820" t="s">
        <v>13</v>
      </c>
      <c r="J820">
        <v>0</v>
      </c>
    </row>
    <row r="821" spans="1:10" x14ac:dyDescent="0.3">
      <c r="A821" t="s">
        <v>9</v>
      </c>
      <c r="B821">
        <v>48</v>
      </c>
      <c r="C821">
        <v>0</v>
      </c>
      <c r="D821">
        <v>0</v>
      </c>
      <c r="E821">
        <v>0</v>
      </c>
      <c r="F821" t="s">
        <v>35</v>
      </c>
      <c r="G821" t="s">
        <v>16</v>
      </c>
      <c r="H821" t="s">
        <v>18</v>
      </c>
      <c r="I821" t="s">
        <v>13</v>
      </c>
      <c r="J821">
        <v>0</v>
      </c>
    </row>
    <row r="822" spans="1:10" x14ac:dyDescent="0.3">
      <c r="A822" t="s">
        <v>14</v>
      </c>
      <c r="B822">
        <v>11</v>
      </c>
      <c r="C822">
        <v>0</v>
      </c>
      <c r="D822">
        <v>0</v>
      </c>
      <c r="E822">
        <v>0</v>
      </c>
      <c r="F822" t="s">
        <v>37</v>
      </c>
      <c r="G822" t="s">
        <v>11</v>
      </c>
      <c r="H822" t="s">
        <v>23</v>
      </c>
      <c r="I822" t="s">
        <v>13</v>
      </c>
      <c r="J822">
        <v>0</v>
      </c>
    </row>
    <row r="823" spans="1:10" x14ac:dyDescent="0.3">
      <c r="A823" t="s">
        <v>14</v>
      </c>
      <c r="B823">
        <v>21</v>
      </c>
      <c r="C823">
        <v>1</v>
      </c>
      <c r="D823">
        <v>1</v>
      </c>
      <c r="E823">
        <v>1</v>
      </c>
      <c r="F823" t="s">
        <v>29</v>
      </c>
      <c r="G823" t="s">
        <v>16</v>
      </c>
      <c r="H823" t="s">
        <v>18</v>
      </c>
      <c r="I823" t="s">
        <v>13</v>
      </c>
      <c r="J823">
        <v>1</v>
      </c>
    </row>
    <row r="824" spans="1:10" x14ac:dyDescent="0.3">
      <c r="A824" t="s">
        <v>14</v>
      </c>
      <c r="B824">
        <v>45</v>
      </c>
      <c r="C824">
        <v>1</v>
      </c>
      <c r="D824">
        <v>1</v>
      </c>
      <c r="E824">
        <v>0</v>
      </c>
      <c r="F824" t="s">
        <v>29</v>
      </c>
      <c r="G824" t="s">
        <v>11</v>
      </c>
      <c r="H824" t="s">
        <v>18</v>
      </c>
      <c r="I824" t="s">
        <v>13</v>
      </c>
      <c r="J824">
        <v>1</v>
      </c>
    </row>
    <row r="825" spans="1:10" x14ac:dyDescent="0.3">
      <c r="A825" t="s">
        <v>14</v>
      </c>
      <c r="B825">
        <v>53</v>
      </c>
      <c r="C825">
        <v>0</v>
      </c>
      <c r="D825">
        <v>0</v>
      </c>
      <c r="E825">
        <v>1</v>
      </c>
      <c r="F825" t="s">
        <v>37</v>
      </c>
      <c r="G825" t="s">
        <v>16</v>
      </c>
      <c r="H825" t="s">
        <v>18</v>
      </c>
      <c r="I825" t="s">
        <v>13</v>
      </c>
      <c r="J825">
        <v>0</v>
      </c>
    </row>
    <row r="826" spans="1:10" x14ac:dyDescent="0.3">
      <c r="A826" t="s">
        <v>9</v>
      </c>
      <c r="B826">
        <v>13</v>
      </c>
      <c r="C826">
        <v>1</v>
      </c>
      <c r="D826">
        <v>1</v>
      </c>
      <c r="E826">
        <v>1</v>
      </c>
      <c r="F826" t="s">
        <v>43</v>
      </c>
      <c r="G826" t="s">
        <v>11</v>
      </c>
      <c r="H826" t="s">
        <v>23</v>
      </c>
      <c r="I826" t="s">
        <v>13</v>
      </c>
      <c r="J826">
        <v>1</v>
      </c>
    </row>
    <row r="827" spans="1:10" x14ac:dyDescent="0.3">
      <c r="A827" t="s">
        <v>9</v>
      </c>
      <c r="B827">
        <v>18</v>
      </c>
      <c r="C827">
        <v>0</v>
      </c>
      <c r="D827">
        <v>0</v>
      </c>
      <c r="E827">
        <v>1</v>
      </c>
      <c r="F827" t="s">
        <v>37</v>
      </c>
      <c r="G827" t="s">
        <v>16</v>
      </c>
      <c r="H827" t="s">
        <v>12</v>
      </c>
      <c r="I827" t="s">
        <v>13</v>
      </c>
      <c r="J827">
        <v>0</v>
      </c>
    </row>
    <row r="828" spans="1:10" x14ac:dyDescent="0.3">
      <c r="A828" t="s">
        <v>14</v>
      </c>
      <c r="B828">
        <v>34</v>
      </c>
      <c r="C828">
        <v>1</v>
      </c>
      <c r="D828">
        <v>1</v>
      </c>
      <c r="E828">
        <v>1</v>
      </c>
      <c r="F828" t="s">
        <v>40</v>
      </c>
      <c r="G828" t="s">
        <v>11</v>
      </c>
      <c r="H828" t="s">
        <v>18</v>
      </c>
      <c r="I828" t="s">
        <v>13</v>
      </c>
      <c r="J828">
        <v>1</v>
      </c>
    </row>
    <row r="829" spans="1:10" x14ac:dyDescent="0.3">
      <c r="A829" t="s">
        <v>14</v>
      </c>
      <c r="B829">
        <v>22</v>
      </c>
      <c r="C829">
        <v>0</v>
      </c>
      <c r="D829">
        <v>0</v>
      </c>
      <c r="E829">
        <v>0</v>
      </c>
      <c r="F829" t="s">
        <v>34</v>
      </c>
      <c r="G829" t="s">
        <v>16</v>
      </c>
      <c r="H829" t="s">
        <v>18</v>
      </c>
      <c r="I829" t="s">
        <v>13</v>
      </c>
      <c r="J829">
        <v>0</v>
      </c>
    </row>
    <row r="830" spans="1:10" x14ac:dyDescent="0.3">
      <c r="A830" t="s">
        <v>14</v>
      </c>
      <c r="B830">
        <v>39</v>
      </c>
      <c r="C830">
        <v>1</v>
      </c>
      <c r="D830">
        <v>1</v>
      </c>
      <c r="E830">
        <v>1</v>
      </c>
      <c r="F830" t="s">
        <v>49</v>
      </c>
      <c r="G830" t="s">
        <v>11</v>
      </c>
      <c r="H830" t="s">
        <v>18</v>
      </c>
      <c r="I830" t="s">
        <v>13</v>
      </c>
      <c r="J830">
        <v>1</v>
      </c>
    </row>
    <row r="831" spans="1:10" x14ac:dyDescent="0.3">
      <c r="A831" t="s">
        <v>14</v>
      </c>
      <c r="B831">
        <v>21</v>
      </c>
      <c r="C831">
        <v>0</v>
      </c>
      <c r="D831">
        <v>0</v>
      </c>
      <c r="E831">
        <v>0</v>
      </c>
      <c r="F831" t="s">
        <v>41</v>
      </c>
      <c r="G831" t="s">
        <v>16</v>
      </c>
      <c r="H831" t="s">
        <v>23</v>
      </c>
      <c r="I831" t="s">
        <v>13</v>
      </c>
      <c r="J831">
        <v>0</v>
      </c>
    </row>
    <row r="832" spans="1:10" x14ac:dyDescent="0.3">
      <c r="A832" t="s">
        <v>14</v>
      </c>
      <c r="B832">
        <v>64</v>
      </c>
      <c r="C832">
        <v>0</v>
      </c>
      <c r="D832">
        <v>0</v>
      </c>
      <c r="E832">
        <v>0</v>
      </c>
      <c r="F832" t="s">
        <v>17</v>
      </c>
      <c r="G832" t="s">
        <v>11</v>
      </c>
      <c r="H832" t="s">
        <v>12</v>
      </c>
      <c r="I832" t="s">
        <v>13</v>
      </c>
      <c r="J832">
        <v>0</v>
      </c>
    </row>
    <row r="833" spans="1:10" x14ac:dyDescent="0.3">
      <c r="A833" t="s">
        <v>9</v>
      </c>
      <c r="B833">
        <v>53</v>
      </c>
      <c r="C833">
        <v>0</v>
      </c>
      <c r="D833">
        <v>0</v>
      </c>
      <c r="E833">
        <v>0</v>
      </c>
      <c r="F833" t="s">
        <v>17</v>
      </c>
      <c r="G833" t="s">
        <v>16</v>
      </c>
      <c r="H833" t="s">
        <v>18</v>
      </c>
      <c r="I833" t="s">
        <v>13</v>
      </c>
      <c r="J833">
        <v>0</v>
      </c>
    </row>
    <row r="834" spans="1:10" x14ac:dyDescent="0.3">
      <c r="A834" t="s">
        <v>9</v>
      </c>
      <c r="B834">
        <v>21</v>
      </c>
      <c r="C834">
        <v>1</v>
      </c>
      <c r="D834">
        <v>1</v>
      </c>
      <c r="E834">
        <v>1</v>
      </c>
      <c r="F834" t="s">
        <v>19</v>
      </c>
      <c r="G834" t="s">
        <v>11</v>
      </c>
      <c r="H834" t="s">
        <v>12</v>
      </c>
      <c r="I834" t="s">
        <v>13</v>
      </c>
      <c r="J834">
        <v>1</v>
      </c>
    </row>
    <row r="835" spans="1:10" x14ac:dyDescent="0.3">
      <c r="A835" t="s">
        <v>9</v>
      </c>
      <c r="B835">
        <v>40</v>
      </c>
      <c r="C835">
        <v>1</v>
      </c>
      <c r="D835">
        <v>1</v>
      </c>
      <c r="E835">
        <v>1</v>
      </c>
      <c r="F835" t="s">
        <v>32</v>
      </c>
      <c r="G835" t="s">
        <v>16</v>
      </c>
      <c r="H835" t="s">
        <v>12</v>
      </c>
      <c r="I835" t="s">
        <v>13</v>
      </c>
      <c r="J835">
        <v>1</v>
      </c>
    </row>
    <row r="836" spans="1:10" x14ac:dyDescent="0.3">
      <c r="A836" t="s">
        <v>14</v>
      </c>
      <c r="B836">
        <v>39</v>
      </c>
      <c r="C836">
        <v>1</v>
      </c>
      <c r="D836">
        <v>1</v>
      </c>
      <c r="E836">
        <v>1</v>
      </c>
      <c r="F836" t="s">
        <v>21</v>
      </c>
      <c r="G836" t="s">
        <v>11</v>
      </c>
      <c r="H836" t="s">
        <v>12</v>
      </c>
      <c r="I836" t="s">
        <v>13</v>
      </c>
      <c r="J836">
        <v>1</v>
      </c>
    </row>
    <row r="837" spans="1:10" x14ac:dyDescent="0.3">
      <c r="A837" t="s">
        <v>9</v>
      </c>
      <c r="B837">
        <v>47</v>
      </c>
      <c r="C837">
        <v>1</v>
      </c>
      <c r="D837">
        <v>1</v>
      </c>
      <c r="E837">
        <v>1</v>
      </c>
      <c r="F837" t="s">
        <v>21</v>
      </c>
      <c r="G837" t="s">
        <v>16</v>
      </c>
      <c r="H837" t="s">
        <v>23</v>
      </c>
      <c r="I837" t="s">
        <v>13</v>
      </c>
      <c r="J837">
        <v>1</v>
      </c>
    </row>
    <row r="838" spans="1:10" x14ac:dyDescent="0.3">
      <c r="A838" t="s">
        <v>14</v>
      </c>
      <c r="B838">
        <v>52</v>
      </c>
      <c r="C838">
        <v>0</v>
      </c>
      <c r="D838">
        <v>0</v>
      </c>
      <c r="E838">
        <v>1</v>
      </c>
      <c r="F838" t="s">
        <v>27</v>
      </c>
      <c r="G838" t="s">
        <v>11</v>
      </c>
      <c r="H838" t="s">
        <v>18</v>
      </c>
      <c r="I838" t="s">
        <v>13</v>
      </c>
      <c r="J838">
        <v>0</v>
      </c>
    </row>
    <row r="839" spans="1:10" x14ac:dyDescent="0.3">
      <c r="A839" t="s">
        <v>9</v>
      </c>
      <c r="B839">
        <v>17</v>
      </c>
      <c r="C839">
        <v>1</v>
      </c>
      <c r="D839">
        <v>1</v>
      </c>
      <c r="E839">
        <v>1</v>
      </c>
      <c r="F839" t="s">
        <v>27</v>
      </c>
      <c r="G839" t="s">
        <v>16</v>
      </c>
      <c r="H839" t="s">
        <v>12</v>
      </c>
      <c r="I839" t="s">
        <v>13</v>
      </c>
      <c r="J839">
        <v>1</v>
      </c>
    </row>
    <row r="840" spans="1:10" x14ac:dyDescent="0.3">
      <c r="A840" t="s">
        <v>14</v>
      </c>
      <c r="B840">
        <v>65</v>
      </c>
      <c r="C840">
        <v>0</v>
      </c>
      <c r="D840">
        <v>0</v>
      </c>
      <c r="E840">
        <v>0</v>
      </c>
      <c r="F840" t="s">
        <v>30</v>
      </c>
      <c r="G840" t="s">
        <v>11</v>
      </c>
      <c r="H840" t="s">
        <v>23</v>
      </c>
      <c r="I840" t="s">
        <v>13</v>
      </c>
      <c r="J840">
        <v>0</v>
      </c>
    </row>
    <row r="841" spans="1:10" x14ac:dyDescent="0.3">
      <c r="A841" t="s">
        <v>14</v>
      </c>
      <c r="B841">
        <v>32</v>
      </c>
      <c r="C841">
        <v>0</v>
      </c>
      <c r="D841">
        <v>0</v>
      </c>
      <c r="E841">
        <v>1</v>
      </c>
      <c r="F841" t="s">
        <v>15</v>
      </c>
      <c r="G841" t="s">
        <v>16</v>
      </c>
      <c r="H841" t="s">
        <v>23</v>
      </c>
      <c r="I841" t="s">
        <v>13</v>
      </c>
      <c r="J841">
        <v>0</v>
      </c>
    </row>
    <row r="842" spans="1:10" x14ac:dyDescent="0.3">
      <c r="A842" t="s">
        <v>14</v>
      </c>
      <c r="B842">
        <v>8</v>
      </c>
      <c r="C842">
        <v>1</v>
      </c>
      <c r="D842">
        <v>1</v>
      </c>
      <c r="E842">
        <v>0</v>
      </c>
      <c r="F842" t="s">
        <v>43</v>
      </c>
      <c r="G842" t="s">
        <v>11</v>
      </c>
      <c r="H842" t="s">
        <v>12</v>
      </c>
      <c r="I842" t="s">
        <v>13</v>
      </c>
      <c r="J842">
        <v>1</v>
      </c>
    </row>
    <row r="843" spans="1:10" x14ac:dyDescent="0.3">
      <c r="A843" t="s">
        <v>9</v>
      </c>
      <c r="B843">
        <v>55</v>
      </c>
      <c r="C843">
        <v>0</v>
      </c>
      <c r="D843">
        <v>0</v>
      </c>
      <c r="E843">
        <v>1</v>
      </c>
      <c r="F843" t="s">
        <v>34</v>
      </c>
      <c r="G843" t="s">
        <v>16</v>
      </c>
      <c r="H843" t="s">
        <v>12</v>
      </c>
      <c r="I843" t="s">
        <v>13</v>
      </c>
      <c r="J843">
        <v>0</v>
      </c>
    </row>
    <row r="844" spans="1:10" x14ac:dyDescent="0.3">
      <c r="A844" t="s">
        <v>14</v>
      </c>
      <c r="B844">
        <v>47</v>
      </c>
      <c r="C844">
        <v>0</v>
      </c>
      <c r="D844">
        <v>0</v>
      </c>
      <c r="E844">
        <v>0</v>
      </c>
      <c r="F844" t="s">
        <v>50</v>
      </c>
      <c r="G844" t="s">
        <v>11</v>
      </c>
      <c r="H844" t="s">
        <v>18</v>
      </c>
      <c r="I844" t="s">
        <v>13</v>
      </c>
      <c r="J844">
        <v>0</v>
      </c>
    </row>
    <row r="845" spans="1:10" x14ac:dyDescent="0.3">
      <c r="A845" t="s">
        <v>14</v>
      </c>
      <c r="B845">
        <v>47</v>
      </c>
      <c r="C845">
        <v>0</v>
      </c>
      <c r="D845">
        <v>0</v>
      </c>
      <c r="E845">
        <v>0</v>
      </c>
      <c r="F845" t="s">
        <v>31</v>
      </c>
      <c r="G845" t="s">
        <v>16</v>
      </c>
      <c r="H845" t="s">
        <v>18</v>
      </c>
      <c r="I845" t="s">
        <v>13</v>
      </c>
      <c r="J845">
        <v>0</v>
      </c>
    </row>
    <row r="846" spans="1:10" x14ac:dyDescent="0.3">
      <c r="A846" t="s">
        <v>14</v>
      </c>
      <c r="B846">
        <v>47</v>
      </c>
      <c r="C846">
        <v>0</v>
      </c>
      <c r="D846">
        <v>0</v>
      </c>
      <c r="E846">
        <v>0</v>
      </c>
      <c r="F846" t="s">
        <v>52</v>
      </c>
      <c r="G846" t="s">
        <v>11</v>
      </c>
      <c r="H846" t="s">
        <v>12</v>
      </c>
      <c r="I846" t="s">
        <v>13</v>
      </c>
      <c r="J846">
        <v>0</v>
      </c>
    </row>
    <row r="847" spans="1:10" x14ac:dyDescent="0.3">
      <c r="A847" t="s">
        <v>9</v>
      </c>
      <c r="B847">
        <v>26</v>
      </c>
      <c r="C847">
        <v>1</v>
      </c>
      <c r="D847">
        <v>1</v>
      </c>
      <c r="E847">
        <v>0</v>
      </c>
      <c r="F847" t="s">
        <v>45</v>
      </c>
      <c r="G847" t="s">
        <v>16</v>
      </c>
      <c r="H847" t="s">
        <v>18</v>
      </c>
      <c r="I847" t="s">
        <v>13</v>
      </c>
      <c r="J847">
        <v>1</v>
      </c>
    </row>
    <row r="848" spans="1:10" x14ac:dyDescent="0.3">
      <c r="A848" t="s">
        <v>14</v>
      </c>
      <c r="B848">
        <v>36</v>
      </c>
      <c r="C848">
        <v>0</v>
      </c>
      <c r="D848">
        <v>0</v>
      </c>
      <c r="E848">
        <v>0</v>
      </c>
      <c r="F848" t="s">
        <v>37</v>
      </c>
      <c r="G848" t="s">
        <v>11</v>
      </c>
      <c r="H848" t="s">
        <v>18</v>
      </c>
      <c r="I848" t="s">
        <v>13</v>
      </c>
      <c r="J848">
        <v>0</v>
      </c>
    </row>
    <row r="849" spans="1:10" x14ac:dyDescent="0.3">
      <c r="A849" t="s">
        <v>14</v>
      </c>
      <c r="B849">
        <v>45</v>
      </c>
      <c r="C849">
        <v>1</v>
      </c>
      <c r="D849">
        <v>1</v>
      </c>
      <c r="E849">
        <v>0</v>
      </c>
      <c r="F849" t="s">
        <v>47</v>
      </c>
      <c r="G849" t="s">
        <v>16</v>
      </c>
      <c r="H849" t="s">
        <v>12</v>
      </c>
      <c r="I849" t="s">
        <v>13</v>
      </c>
      <c r="J849">
        <v>1</v>
      </c>
    </row>
    <row r="850" spans="1:10" x14ac:dyDescent="0.3">
      <c r="A850" t="s">
        <v>9</v>
      </c>
      <c r="B850">
        <v>24</v>
      </c>
      <c r="C850">
        <v>0</v>
      </c>
      <c r="D850">
        <v>0</v>
      </c>
      <c r="E850">
        <v>0</v>
      </c>
      <c r="F850" t="s">
        <v>10</v>
      </c>
      <c r="G850" t="s">
        <v>11</v>
      </c>
      <c r="H850" t="s">
        <v>12</v>
      </c>
      <c r="I850" t="s">
        <v>13</v>
      </c>
      <c r="J850">
        <v>0</v>
      </c>
    </row>
    <row r="851" spans="1:10" x14ac:dyDescent="0.3">
      <c r="A851" t="s">
        <v>9</v>
      </c>
      <c r="B851">
        <v>15</v>
      </c>
      <c r="C851">
        <v>0</v>
      </c>
      <c r="D851">
        <v>0</v>
      </c>
      <c r="E851">
        <v>1</v>
      </c>
      <c r="F851" t="s">
        <v>27</v>
      </c>
      <c r="G851" t="s">
        <v>16</v>
      </c>
      <c r="H851" t="s">
        <v>12</v>
      </c>
      <c r="I851" t="s">
        <v>13</v>
      </c>
      <c r="J851">
        <v>0</v>
      </c>
    </row>
    <row r="852" spans="1:10" x14ac:dyDescent="0.3">
      <c r="A852" t="s">
        <v>14</v>
      </c>
      <c r="B852">
        <v>32</v>
      </c>
      <c r="C852">
        <v>1</v>
      </c>
      <c r="D852">
        <v>1</v>
      </c>
      <c r="E852">
        <v>0</v>
      </c>
      <c r="F852" t="s">
        <v>37</v>
      </c>
      <c r="G852" t="s">
        <v>11</v>
      </c>
      <c r="H852" t="s">
        <v>23</v>
      </c>
      <c r="I852" t="s">
        <v>13</v>
      </c>
      <c r="J852">
        <v>1</v>
      </c>
    </row>
    <row r="853" spans="1:10" x14ac:dyDescent="0.3">
      <c r="A853" t="s">
        <v>9</v>
      </c>
      <c r="B853">
        <v>28</v>
      </c>
      <c r="C853">
        <v>1</v>
      </c>
      <c r="D853">
        <v>1</v>
      </c>
      <c r="E853">
        <v>0</v>
      </c>
      <c r="F853" t="s">
        <v>10</v>
      </c>
      <c r="G853" t="s">
        <v>16</v>
      </c>
      <c r="H853" t="s">
        <v>23</v>
      </c>
      <c r="I853" t="s">
        <v>13</v>
      </c>
      <c r="J853">
        <v>1</v>
      </c>
    </row>
    <row r="854" spans="1:10" x14ac:dyDescent="0.3">
      <c r="A854" t="s">
        <v>14</v>
      </c>
      <c r="B854">
        <v>53</v>
      </c>
      <c r="C854">
        <v>1</v>
      </c>
      <c r="D854">
        <v>1</v>
      </c>
      <c r="E854">
        <v>1</v>
      </c>
      <c r="F854" t="s">
        <v>52</v>
      </c>
      <c r="G854" t="s">
        <v>11</v>
      </c>
      <c r="H854" t="s">
        <v>12</v>
      </c>
      <c r="I854" t="s">
        <v>13</v>
      </c>
      <c r="J854">
        <v>1</v>
      </c>
    </row>
    <row r="855" spans="1:10" x14ac:dyDescent="0.3">
      <c r="A855" t="s">
        <v>14</v>
      </c>
      <c r="B855">
        <v>58</v>
      </c>
      <c r="C855">
        <v>1</v>
      </c>
      <c r="D855">
        <v>1</v>
      </c>
      <c r="E855">
        <v>0</v>
      </c>
      <c r="F855" t="s">
        <v>15</v>
      </c>
      <c r="G855" t="s">
        <v>16</v>
      </c>
      <c r="H855" t="s">
        <v>23</v>
      </c>
      <c r="I855" t="s">
        <v>13</v>
      </c>
      <c r="J855">
        <v>1</v>
      </c>
    </row>
    <row r="856" spans="1:10" x14ac:dyDescent="0.3">
      <c r="A856" t="s">
        <v>9</v>
      </c>
      <c r="B856">
        <v>8</v>
      </c>
      <c r="C856">
        <v>0</v>
      </c>
      <c r="D856">
        <v>0</v>
      </c>
      <c r="E856">
        <v>1</v>
      </c>
      <c r="F856" t="s">
        <v>25</v>
      </c>
      <c r="G856" t="s">
        <v>11</v>
      </c>
      <c r="H856" t="s">
        <v>23</v>
      </c>
      <c r="I856" t="s">
        <v>13</v>
      </c>
      <c r="J856">
        <v>0</v>
      </c>
    </row>
    <row r="857" spans="1:10" x14ac:dyDescent="0.3">
      <c r="A857" t="s">
        <v>14</v>
      </c>
      <c r="B857">
        <v>35</v>
      </c>
      <c r="C857">
        <v>0</v>
      </c>
      <c r="D857">
        <v>0</v>
      </c>
      <c r="E857">
        <v>1</v>
      </c>
      <c r="F857" t="s">
        <v>15</v>
      </c>
      <c r="G857" t="s">
        <v>16</v>
      </c>
      <c r="H857" t="s">
        <v>23</v>
      </c>
      <c r="I857" t="s">
        <v>13</v>
      </c>
      <c r="J857">
        <v>0</v>
      </c>
    </row>
    <row r="858" spans="1:10" x14ac:dyDescent="0.3">
      <c r="A858" t="s">
        <v>14</v>
      </c>
      <c r="B858">
        <v>44</v>
      </c>
      <c r="C858">
        <v>1</v>
      </c>
      <c r="D858">
        <v>1</v>
      </c>
      <c r="E858">
        <v>1</v>
      </c>
      <c r="F858" t="s">
        <v>48</v>
      </c>
      <c r="G858" t="s">
        <v>11</v>
      </c>
      <c r="H858" t="s">
        <v>18</v>
      </c>
      <c r="I858" t="s">
        <v>13</v>
      </c>
      <c r="J858">
        <v>1</v>
      </c>
    </row>
    <row r="859" spans="1:10" x14ac:dyDescent="0.3">
      <c r="A859" t="s">
        <v>9</v>
      </c>
      <c r="B859">
        <v>30</v>
      </c>
      <c r="C859">
        <v>1</v>
      </c>
      <c r="D859">
        <v>1</v>
      </c>
      <c r="E859">
        <v>1</v>
      </c>
      <c r="F859" t="s">
        <v>17</v>
      </c>
      <c r="G859" t="s">
        <v>16</v>
      </c>
      <c r="H859" t="s">
        <v>18</v>
      </c>
      <c r="I859" t="s">
        <v>13</v>
      </c>
      <c r="J859">
        <v>1</v>
      </c>
    </row>
    <row r="860" spans="1:10" x14ac:dyDescent="0.3">
      <c r="A860" t="s">
        <v>14</v>
      </c>
      <c r="B860">
        <v>16</v>
      </c>
      <c r="C860">
        <v>0</v>
      </c>
      <c r="D860">
        <v>0</v>
      </c>
      <c r="E860">
        <v>1</v>
      </c>
      <c r="F860" t="s">
        <v>46</v>
      </c>
      <c r="G860" t="s">
        <v>11</v>
      </c>
      <c r="H860" t="s">
        <v>18</v>
      </c>
      <c r="I860" t="s">
        <v>13</v>
      </c>
      <c r="J860">
        <v>0</v>
      </c>
    </row>
    <row r="861" spans="1:10" x14ac:dyDescent="0.3">
      <c r="A861" t="s">
        <v>14</v>
      </c>
      <c r="B861">
        <v>54</v>
      </c>
      <c r="C861">
        <v>1</v>
      </c>
      <c r="D861">
        <v>1</v>
      </c>
      <c r="E861">
        <v>1</v>
      </c>
      <c r="F861" t="s">
        <v>15</v>
      </c>
      <c r="G861" t="s">
        <v>16</v>
      </c>
      <c r="H861" t="s">
        <v>12</v>
      </c>
      <c r="I861" t="s">
        <v>13</v>
      </c>
      <c r="J861">
        <v>1</v>
      </c>
    </row>
    <row r="862" spans="1:10" x14ac:dyDescent="0.3">
      <c r="A862" t="s">
        <v>14</v>
      </c>
      <c r="B862">
        <v>54</v>
      </c>
      <c r="C862">
        <v>1</v>
      </c>
      <c r="D862">
        <v>1</v>
      </c>
      <c r="E862">
        <v>1</v>
      </c>
      <c r="F862" t="s">
        <v>39</v>
      </c>
      <c r="G862" t="s">
        <v>11</v>
      </c>
      <c r="H862" t="s">
        <v>23</v>
      </c>
      <c r="I862" t="s">
        <v>13</v>
      </c>
      <c r="J862">
        <v>1</v>
      </c>
    </row>
    <row r="863" spans="1:10" x14ac:dyDescent="0.3">
      <c r="A863" t="s">
        <v>14</v>
      </c>
      <c r="B863">
        <v>18</v>
      </c>
      <c r="C863">
        <v>1</v>
      </c>
      <c r="D863">
        <v>1</v>
      </c>
      <c r="E863">
        <v>1</v>
      </c>
      <c r="F863" t="s">
        <v>10</v>
      </c>
      <c r="G863" t="s">
        <v>16</v>
      </c>
      <c r="H863" t="s">
        <v>12</v>
      </c>
      <c r="I863" t="s">
        <v>13</v>
      </c>
      <c r="J863">
        <v>1</v>
      </c>
    </row>
    <row r="864" spans="1:10" x14ac:dyDescent="0.3">
      <c r="A864" t="s">
        <v>9</v>
      </c>
      <c r="B864">
        <v>19</v>
      </c>
      <c r="C864">
        <v>1</v>
      </c>
      <c r="D864">
        <v>1</v>
      </c>
      <c r="E864">
        <v>1</v>
      </c>
      <c r="F864" t="s">
        <v>42</v>
      </c>
      <c r="G864" t="s">
        <v>11</v>
      </c>
      <c r="H864" t="s">
        <v>23</v>
      </c>
      <c r="I864" t="s">
        <v>13</v>
      </c>
      <c r="J864">
        <v>1</v>
      </c>
    </row>
    <row r="865" spans="1:10" x14ac:dyDescent="0.3">
      <c r="A865" t="s">
        <v>9</v>
      </c>
      <c r="B865">
        <v>47</v>
      </c>
      <c r="C865">
        <v>0</v>
      </c>
      <c r="D865">
        <v>0</v>
      </c>
      <c r="E865">
        <v>1</v>
      </c>
      <c r="F865" t="s">
        <v>22</v>
      </c>
      <c r="G865" t="s">
        <v>16</v>
      </c>
      <c r="H865" t="s">
        <v>23</v>
      </c>
      <c r="I865" t="s">
        <v>13</v>
      </c>
      <c r="J865">
        <v>0</v>
      </c>
    </row>
    <row r="866" spans="1:10" x14ac:dyDescent="0.3">
      <c r="A866" t="s">
        <v>9</v>
      </c>
      <c r="B866">
        <v>38</v>
      </c>
      <c r="C866">
        <v>0</v>
      </c>
      <c r="D866">
        <v>0</v>
      </c>
      <c r="E866">
        <v>1</v>
      </c>
      <c r="F866" t="s">
        <v>22</v>
      </c>
      <c r="G866" t="s">
        <v>11</v>
      </c>
      <c r="H866" t="s">
        <v>18</v>
      </c>
      <c r="I866" t="s">
        <v>13</v>
      </c>
      <c r="J866">
        <v>0</v>
      </c>
    </row>
    <row r="867" spans="1:10" x14ac:dyDescent="0.3">
      <c r="A867" t="s">
        <v>14</v>
      </c>
      <c r="B867">
        <v>20</v>
      </c>
      <c r="C867">
        <v>0</v>
      </c>
      <c r="D867">
        <v>0</v>
      </c>
      <c r="E867">
        <v>0</v>
      </c>
      <c r="F867" t="s">
        <v>37</v>
      </c>
      <c r="G867" t="s">
        <v>16</v>
      </c>
      <c r="H867" t="s">
        <v>12</v>
      </c>
      <c r="I867" t="s">
        <v>13</v>
      </c>
      <c r="J867">
        <v>0</v>
      </c>
    </row>
    <row r="868" spans="1:10" x14ac:dyDescent="0.3">
      <c r="A868" t="s">
        <v>14</v>
      </c>
      <c r="B868">
        <v>65</v>
      </c>
      <c r="C868">
        <v>1</v>
      </c>
      <c r="D868">
        <v>1</v>
      </c>
      <c r="E868">
        <v>0</v>
      </c>
      <c r="F868" t="s">
        <v>27</v>
      </c>
      <c r="G868" t="s">
        <v>11</v>
      </c>
      <c r="H868" t="s">
        <v>23</v>
      </c>
      <c r="I868" t="s">
        <v>13</v>
      </c>
      <c r="J868">
        <v>1</v>
      </c>
    </row>
    <row r="869" spans="1:10" x14ac:dyDescent="0.3">
      <c r="A869" t="s">
        <v>9</v>
      </c>
      <c r="B869">
        <v>29</v>
      </c>
      <c r="C869">
        <v>1</v>
      </c>
      <c r="D869">
        <v>1</v>
      </c>
      <c r="E869">
        <v>0</v>
      </c>
      <c r="F869" t="s">
        <v>38</v>
      </c>
      <c r="G869" t="s">
        <v>16</v>
      </c>
      <c r="H869" t="s">
        <v>12</v>
      </c>
      <c r="I869" t="s">
        <v>13</v>
      </c>
      <c r="J869">
        <v>1</v>
      </c>
    </row>
    <row r="870" spans="1:10" x14ac:dyDescent="0.3">
      <c r="A870" t="s">
        <v>9</v>
      </c>
      <c r="B870">
        <v>8</v>
      </c>
      <c r="C870">
        <v>0</v>
      </c>
      <c r="D870">
        <v>0</v>
      </c>
      <c r="E870">
        <v>0</v>
      </c>
      <c r="F870" t="s">
        <v>44</v>
      </c>
      <c r="G870" t="s">
        <v>11</v>
      </c>
      <c r="H870" t="s">
        <v>12</v>
      </c>
      <c r="I870" t="s">
        <v>13</v>
      </c>
      <c r="J870">
        <v>0</v>
      </c>
    </row>
    <row r="871" spans="1:10" x14ac:dyDescent="0.3">
      <c r="A871" t="s">
        <v>9</v>
      </c>
      <c r="B871">
        <v>45</v>
      </c>
      <c r="C871">
        <v>1</v>
      </c>
      <c r="D871">
        <v>1</v>
      </c>
      <c r="E871">
        <v>1</v>
      </c>
      <c r="F871" t="s">
        <v>21</v>
      </c>
      <c r="G871" t="s">
        <v>16</v>
      </c>
      <c r="H871" t="s">
        <v>12</v>
      </c>
      <c r="I871" t="s">
        <v>13</v>
      </c>
      <c r="J871">
        <v>1</v>
      </c>
    </row>
    <row r="872" spans="1:10" x14ac:dyDescent="0.3">
      <c r="A872" t="s">
        <v>9</v>
      </c>
      <c r="B872">
        <v>9</v>
      </c>
      <c r="C872">
        <v>1</v>
      </c>
      <c r="D872">
        <v>1</v>
      </c>
      <c r="E872">
        <v>0</v>
      </c>
      <c r="F872" t="s">
        <v>40</v>
      </c>
      <c r="G872" t="s">
        <v>11</v>
      </c>
      <c r="H872" t="s">
        <v>12</v>
      </c>
      <c r="I872" t="s">
        <v>13</v>
      </c>
      <c r="J872">
        <v>1</v>
      </c>
    </row>
    <row r="873" spans="1:10" x14ac:dyDescent="0.3">
      <c r="A873" t="s">
        <v>14</v>
      </c>
      <c r="B873">
        <v>27</v>
      </c>
      <c r="C873">
        <v>0</v>
      </c>
      <c r="D873">
        <v>0</v>
      </c>
      <c r="E873">
        <v>0</v>
      </c>
      <c r="F873" t="s">
        <v>45</v>
      </c>
      <c r="G873" t="s">
        <v>16</v>
      </c>
      <c r="H873" t="s">
        <v>12</v>
      </c>
      <c r="I873" t="s">
        <v>13</v>
      </c>
      <c r="J873">
        <v>0</v>
      </c>
    </row>
    <row r="874" spans="1:10" x14ac:dyDescent="0.3">
      <c r="A874" t="s">
        <v>14</v>
      </c>
      <c r="B874">
        <v>59</v>
      </c>
      <c r="C874">
        <v>1</v>
      </c>
      <c r="D874">
        <v>1</v>
      </c>
      <c r="E874">
        <v>1</v>
      </c>
      <c r="F874" t="s">
        <v>48</v>
      </c>
      <c r="G874" t="s">
        <v>11</v>
      </c>
      <c r="H874" t="s">
        <v>18</v>
      </c>
      <c r="I874" t="s">
        <v>13</v>
      </c>
      <c r="J874">
        <v>1</v>
      </c>
    </row>
    <row r="875" spans="1:10" x14ac:dyDescent="0.3">
      <c r="A875" t="s">
        <v>9</v>
      </c>
      <c r="B875">
        <v>16</v>
      </c>
      <c r="C875">
        <v>1</v>
      </c>
      <c r="D875">
        <v>1</v>
      </c>
      <c r="E875">
        <v>0</v>
      </c>
      <c r="F875" t="s">
        <v>17</v>
      </c>
      <c r="G875" t="s">
        <v>16</v>
      </c>
      <c r="H875" t="s">
        <v>23</v>
      </c>
      <c r="I875" t="s">
        <v>13</v>
      </c>
      <c r="J875">
        <v>1</v>
      </c>
    </row>
    <row r="876" spans="1:10" x14ac:dyDescent="0.3">
      <c r="A876" t="s">
        <v>9</v>
      </c>
      <c r="B876">
        <v>8</v>
      </c>
      <c r="C876">
        <v>0</v>
      </c>
      <c r="D876">
        <v>0</v>
      </c>
      <c r="E876">
        <v>0</v>
      </c>
      <c r="F876" t="s">
        <v>51</v>
      </c>
      <c r="G876" t="s">
        <v>11</v>
      </c>
      <c r="H876" t="s">
        <v>18</v>
      </c>
      <c r="I876" t="s">
        <v>13</v>
      </c>
      <c r="J876">
        <v>0</v>
      </c>
    </row>
    <row r="877" spans="1:10" x14ac:dyDescent="0.3">
      <c r="A877" t="s">
        <v>9</v>
      </c>
      <c r="B877">
        <v>36</v>
      </c>
      <c r="C877">
        <v>1</v>
      </c>
      <c r="D877">
        <v>1</v>
      </c>
      <c r="E877">
        <v>0</v>
      </c>
      <c r="F877" t="s">
        <v>45</v>
      </c>
      <c r="G877" t="s">
        <v>16</v>
      </c>
      <c r="H877" t="s">
        <v>23</v>
      </c>
      <c r="I877" t="s">
        <v>13</v>
      </c>
      <c r="J877">
        <v>1</v>
      </c>
    </row>
    <row r="878" spans="1:10" x14ac:dyDescent="0.3">
      <c r="A878" t="s">
        <v>14</v>
      </c>
      <c r="B878">
        <v>38</v>
      </c>
      <c r="C878">
        <v>0</v>
      </c>
      <c r="D878">
        <v>0</v>
      </c>
      <c r="E878">
        <v>1</v>
      </c>
      <c r="F878" t="s">
        <v>36</v>
      </c>
      <c r="G878" t="s">
        <v>11</v>
      </c>
      <c r="H878" t="s">
        <v>12</v>
      </c>
      <c r="I878" t="s">
        <v>13</v>
      </c>
      <c r="J878">
        <v>0</v>
      </c>
    </row>
    <row r="879" spans="1:10" x14ac:dyDescent="0.3">
      <c r="A879" t="s">
        <v>9</v>
      </c>
      <c r="B879">
        <v>56</v>
      </c>
      <c r="C879">
        <v>1</v>
      </c>
      <c r="D879">
        <v>1</v>
      </c>
      <c r="E879">
        <v>1</v>
      </c>
      <c r="F879" t="s">
        <v>34</v>
      </c>
      <c r="G879" t="s">
        <v>16</v>
      </c>
      <c r="H879" t="s">
        <v>12</v>
      </c>
      <c r="I879" t="s">
        <v>13</v>
      </c>
      <c r="J879">
        <v>1</v>
      </c>
    </row>
    <row r="880" spans="1:10" x14ac:dyDescent="0.3">
      <c r="A880" t="s">
        <v>14</v>
      </c>
      <c r="B880">
        <v>35</v>
      </c>
      <c r="C880">
        <v>1</v>
      </c>
      <c r="D880">
        <v>1</v>
      </c>
      <c r="E880">
        <v>0</v>
      </c>
      <c r="F880" t="s">
        <v>10</v>
      </c>
      <c r="G880" t="s">
        <v>11</v>
      </c>
      <c r="H880" t="s">
        <v>18</v>
      </c>
      <c r="I880" t="s">
        <v>13</v>
      </c>
      <c r="J880">
        <v>1</v>
      </c>
    </row>
    <row r="881" spans="1:10" x14ac:dyDescent="0.3">
      <c r="A881" t="s">
        <v>9</v>
      </c>
      <c r="B881">
        <v>18</v>
      </c>
      <c r="C881">
        <v>1</v>
      </c>
      <c r="D881">
        <v>1</v>
      </c>
      <c r="E881">
        <v>0</v>
      </c>
      <c r="F881" t="s">
        <v>47</v>
      </c>
      <c r="G881" t="s">
        <v>16</v>
      </c>
      <c r="H881" t="s">
        <v>23</v>
      </c>
      <c r="I881" t="s">
        <v>13</v>
      </c>
      <c r="J881">
        <v>1</v>
      </c>
    </row>
    <row r="882" spans="1:10" x14ac:dyDescent="0.3">
      <c r="A882" t="s">
        <v>9</v>
      </c>
      <c r="B882">
        <v>13</v>
      </c>
      <c r="C882">
        <v>1</v>
      </c>
      <c r="D882">
        <v>1</v>
      </c>
      <c r="E882">
        <v>0</v>
      </c>
      <c r="F882" t="s">
        <v>41</v>
      </c>
      <c r="G882" t="s">
        <v>11</v>
      </c>
      <c r="H882" t="s">
        <v>18</v>
      </c>
      <c r="I882" t="s">
        <v>13</v>
      </c>
      <c r="J882">
        <v>1</v>
      </c>
    </row>
    <row r="883" spans="1:10" x14ac:dyDescent="0.3">
      <c r="A883" t="s">
        <v>14</v>
      </c>
      <c r="B883">
        <v>23</v>
      </c>
      <c r="C883">
        <v>0</v>
      </c>
      <c r="D883">
        <v>1</v>
      </c>
      <c r="E883">
        <v>0</v>
      </c>
      <c r="F883" t="s">
        <v>27</v>
      </c>
      <c r="G883" t="s">
        <v>16</v>
      </c>
      <c r="H883" t="s">
        <v>12</v>
      </c>
      <c r="I883" t="s">
        <v>13</v>
      </c>
      <c r="J883">
        <v>1</v>
      </c>
    </row>
    <row r="884" spans="1:10" x14ac:dyDescent="0.3">
      <c r="A884" t="s">
        <v>9</v>
      </c>
      <c r="B884">
        <v>14</v>
      </c>
      <c r="C884">
        <v>1</v>
      </c>
      <c r="D884">
        <v>1</v>
      </c>
      <c r="E884">
        <v>1</v>
      </c>
      <c r="F884" t="s">
        <v>46</v>
      </c>
      <c r="G884" t="s">
        <v>11</v>
      </c>
      <c r="H884" t="s">
        <v>12</v>
      </c>
      <c r="I884" t="s">
        <v>13</v>
      </c>
      <c r="J884">
        <v>1</v>
      </c>
    </row>
    <row r="885" spans="1:10" x14ac:dyDescent="0.3">
      <c r="A885" t="s">
        <v>9</v>
      </c>
      <c r="B885">
        <v>21</v>
      </c>
      <c r="C885">
        <v>1</v>
      </c>
      <c r="D885">
        <v>1</v>
      </c>
      <c r="E885">
        <v>0</v>
      </c>
      <c r="F885" t="s">
        <v>30</v>
      </c>
      <c r="G885" t="s">
        <v>16</v>
      </c>
      <c r="H885" t="s">
        <v>18</v>
      </c>
      <c r="I885" t="s">
        <v>13</v>
      </c>
      <c r="J885">
        <v>1</v>
      </c>
    </row>
    <row r="886" spans="1:10" x14ac:dyDescent="0.3">
      <c r="A886" t="s">
        <v>14</v>
      </c>
      <c r="B886">
        <v>39</v>
      </c>
      <c r="C886">
        <v>1</v>
      </c>
      <c r="D886">
        <v>1</v>
      </c>
      <c r="E886">
        <v>1</v>
      </c>
      <c r="F886" t="s">
        <v>43</v>
      </c>
      <c r="G886" t="s">
        <v>11</v>
      </c>
      <c r="H886" t="s">
        <v>18</v>
      </c>
      <c r="I886" t="s">
        <v>13</v>
      </c>
      <c r="J886">
        <v>1</v>
      </c>
    </row>
    <row r="887" spans="1:10" x14ac:dyDescent="0.3">
      <c r="A887" t="s">
        <v>9</v>
      </c>
      <c r="B887">
        <v>39</v>
      </c>
      <c r="C887">
        <v>1</v>
      </c>
      <c r="D887">
        <v>1</v>
      </c>
      <c r="E887">
        <v>1</v>
      </c>
      <c r="F887" t="s">
        <v>10</v>
      </c>
      <c r="G887" t="s">
        <v>16</v>
      </c>
      <c r="H887" t="s">
        <v>12</v>
      </c>
      <c r="I887" t="s">
        <v>13</v>
      </c>
      <c r="J887">
        <v>1</v>
      </c>
    </row>
    <row r="888" spans="1:10" x14ac:dyDescent="0.3">
      <c r="A888" t="s">
        <v>14</v>
      </c>
      <c r="B888">
        <v>34</v>
      </c>
      <c r="C888">
        <v>0</v>
      </c>
      <c r="D888">
        <v>0</v>
      </c>
      <c r="E888">
        <v>0</v>
      </c>
      <c r="F888" t="s">
        <v>17</v>
      </c>
      <c r="G888" t="s">
        <v>11</v>
      </c>
      <c r="H888" t="s">
        <v>18</v>
      </c>
      <c r="I888" t="s">
        <v>13</v>
      </c>
      <c r="J888">
        <v>0</v>
      </c>
    </row>
    <row r="889" spans="1:10" x14ac:dyDescent="0.3">
      <c r="A889" t="s">
        <v>9</v>
      </c>
      <c r="B889">
        <v>36</v>
      </c>
      <c r="C889">
        <v>1</v>
      </c>
      <c r="D889">
        <v>1</v>
      </c>
      <c r="E889">
        <v>1</v>
      </c>
      <c r="F889" t="s">
        <v>36</v>
      </c>
      <c r="G889" t="s">
        <v>16</v>
      </c>
      <c r="H889" t="s">
        <v>12</v>
      </c>
      <c r="I889" t="s">
        <v>13</v>
      </c>
      <c r="J889">
        <v>1</v>
      </c>
    </row>
    <row r="890" spans="1:10" x14ac:dyDescent="0.3">
      <c r="A890" t="s">
        <v>9</v>
      </c>
      <c r="B890">
        <v>43</v>
      </c>
      <c r="C890">
        <v>0</v>
      </c>
      <c r="D890">
        <v>1</v>
      </c>
      <c r="E890">
        <v>0</v>
      </c>
      <c r="F890" t="s">
        <v>39</v>
      </c>
      <c r="G890" t="s">
        <v>11</v>
      </c>
      <c r="H890" t="s">
        <v>23</v>
      </c>
      <c r="I890" t="s">
        <v>13</v>
      </c>
      <c r="J890">
        <v>1</v>
      </c>
    </row>
    <row r="891" spans="1:10" x14ac:dyDescent="0.3">
      <c r="A891" t="s">
        <v>14</v>
      </c>
      <c r="B891">
        <v>39</v>
      </c>
      <c r="C891">
        <v>1</v>
      </c>
      <c r="D891">
        <v>1</v>
      </c>
      <c r="E891">
        <v>1</v>
      </c>
      <c r="F891" t="s">
        <v>35</v>
      </c>
      <c r="G891" t="s">
        <v>16</v>
      </c>
      <c r="H891" t="s">
        <v>12</v>
      </c>
      <c r="I891" t="s">
        <v>13</v>
      </c>
      <c r="J891">
        <v>1</v>
      </c>
    </row>
    <row r="892" spans="1:10" x14ac:dyDescent="0.3">
      <c r="A892" t="s">
        <v>9</v>
      </c>
      <c r="B892">
        <v>53</v>
      </c>
      <c r="C892">
        <v>1</v>
      </c>
      <c r="D892">
        <v>1</v>
      </c>
      <c r="E892">
        <v>1</v>
      </c>
      <c r="F892" t="s">
        <v>43</v>
      </c>
      <c r="G892" t="s">
        <v>11</v>
      </c>
      <c r="H892" t="s">
        <v>18</v>
      </c>
      <c r="I892" t="s">
        <v>13</v>
      </c>
      <c r="J892">
        <v>1</v>
      </c>
    </row>
    <row r="893" spans="1:10" x14ac:dyDescent="0.3">
      <c r="A893" t="s">
        <v>14</v>
      </c>
      <c r="B893">
        <v>45</v>
      </c>
      <c r="C893">
        <v>1</v>
      </c>
      <c r="D893">
        <v>1</v>
      </c>
      <c r="E893">
        <v>1</v>
      </c>
      <c r="F893" t="s">
        <v>38</v>
      </c>
      <c r="G893" t="s">
        <v>16</v>
      </c>
      <c r="H893" t="s">
        <v>23</v>
      </c>
      <c r="I893" t="s">
        <v>13</v>
      </c>
      <c r="J893">
        <v>1</v>
      </c>
    </row>
    <row r="894" spans="1:10" x14ac:dyDescent="0.3">
      <c r="A894" t="s">
        <v>9</v>
      </c>
      <c r="B894">
        <v>12</v>
      </c>
      <c r="C894">
        <v>0</v>
      </c>
      <c r="D894">
        <v>0</v>
      </c>
      <c r="E894">
        <v>1</v>
      </c>
      <c r="F894" t="s">
        <v>35</v>
      </c>
      <c r="G894" t="s">
        <v>11</v>
      </c>
      <c r="H894" t="s">
        <v>12</v>
      </c>
      <c r="I894" t="s">
        <v>13</v>
      </c>
      <c r="J894">
        <v>0</v>
      </c>
    </row>
    <row r="895" spans="1:10" x14ac:dyDescent="0.3">
      <c r="A895" t="s">
        <v>9</v>
      </c>
      <c r="B895">
        <v>28</v>
      </c>
      <c r="C895">
        <v>1</v>
      </c>
      <c r="D895">
        <v>1</v>
      </c>
      <c r="E895">
        <v>0</v>
      </c>
      <c r="F895" t="s">
        <v>19</v>
      </c>
      <c r="G895" t="s">
        <v>16</v>
      </c>
      <c r="H895" t="s">
        <v>18</v>
      </c>
      <c r="I895" t="s">
        <v>13</v>
      </c>
      <c r="J895">
        <v>1</v>
      </c>
    </row>
    <row r="896" spans="1:10" x14ac:dyDescent="0.3">
      <c r="A896" t="s">
        <v>14</v>
      </c>
      <c r="B896">
        <v>14</v>
      </c>
      <c r="C896">
        <v>1</v>
      </c>
      <c r="D896">
        <v>1</v>
      </c>
      <c r="E896">
        <v>0</v>
      </c>
      <c r="F896" t="s">
        <v>40</v>
      </c>
      <c r="G896" t="s">
        <v>11</v>
      </c>
      <c r="H896" t="s">
        <v>12</v>
      </c>
      <c r="I896" t="s">
        <v>13</v>
      </c>
      <c r="J896">
        <v>1</v>
      </c>
    </row>
    <row r="897" spans="1:10" x14ac:dyDescent="0.3">
      <c r="A897" t="s">
        <v>14</v>
      </c>
      <c r="B897">
        <v>10</v>
      </c>
      <c r="C897">
        <v>0</v>
      </c>
      <c r="D897">
        <v>0</v>
      </c>
      <c r="E897">
        <v>0</v>
      </c>
      <c r="F897" t="s">
        <v>51</v>
      </c>
      <c r="G897" t="s">
        <v>16</v>
      </c>
      <c r="H897" t="s">
        <v>12</v>
      </c>
      <c r="I897" t="s">
        <v>13</v>
      </c>
      <c r="J897">
        <v>0</v>
      </c>
    </row>
    <row r="898" spans="1:10" x14ac:dyDescent="0.3">
      <c r="A898" t="s">
        <v>14</v>
      </c>
      <c r="B898">
        <v>64</v>
      </c>
      <c r="C898">
        <v>1</v>
      </c>
      <c r="D898">
        <v>1</v>
      </c>
      <c r="E898">
        <v>0</v>
      </c>
      <c r="F898" t="s">
        <v>32</v>
      </c>
      <c r="G898" t="s">
        <v>11</v>
      </c>
      <c r="H898" t="s">
        <v>18</v>
      </c>
      <c r="I898" t="s">
        <v>13</v>
      </c>
      <c r="J898">
        <v>1</v>
      </c>
    </row>
    <row r="899" spans="1:10" x14ac:dyDescent="0.3">
      <c r="A899" t="s">
        <v>14</v>
      </c>
      <c r="B899">
        <v>8</v>
      </c>
      <c r="C899">
        <v>1</v>
      </c>
      <c r="D899">
        <v>1</v>
      </c>
      <c r="E899">
        <v>0</v>
      </c>
      <c r="F899" t="s">
        <v>32</v>
      </c>
      <c r="G899" t="s">
        <v>16</v>
      </c>
      <c r="H899" t="s">
        <v>23</v>
      </c>
      <c r="I899" t="s">
        <v>13</v>
      </c>
      <c r="J899">
        <v>1</v>
      </c>
    </row>
    <row r="900" spans="1:10" x14ac:dyDescent="0.3">
      <c r="A900" t="s">
        <v>9</v>
      </c>
      <c r="B900">
        <v>43</v>
      </c>
      <c r="C900">
        <v>0</v>
      </c>
      <c r="D900">
        <v>0</v>
      </c>
      <c r="E900">
        <v>1</v>
      </c>
      <c r="F900" t="s">
        <v>40</v>
      </c>
      <c r="G900" t="s">
        <v>11</v>
      </c>
      <c r="H900" t="s">
        <v>18</v>
      </c>
      <c r="I900" t="s">
        <v>13</v>
      </c>
      <c r="J900">
        <v>0</v>
      </c>
    </row>
    <row r="901" spans="1:10" x14ac:dyDescent="0.3">
      <c r="A901" t="s">
        <v>14</v>
      </c>
      <c r="B901">
        <v>16</v>
      </c>
      <c r="C901">
        <v>0</v>
      </c>
      <c r="D901">
        <v>0</v>
      </c>
      <c r="E901">
        <v>0</v>
      </c>
      <c r="F901" t="s">
        <v>42</v>
      </c>
      <c r="G901" t="s">
        <v>16</v>
      </c>
      <c r="H901" t="s">
        <v>12</v>
      </c>
      <c r="I901" t="s">
        <v>13</v>
      </c>
      <c r="J901">
        <v>0</v>
      </c>
    </row>
    <row r="902" spans="1:10" x14ac:dyDescent="0.3">
      <c r="A902" t="s">
        <v>9</v>
      </c>
      <c r="B902">
        <v>62</v>
      </c>
      <c r="C902">
        <v>1</v>
      </c>
      <c r="D902">
        <v>1</v>
      </c>
      <c r="E902">
        <v>1</v>
      </c>
      <c r="F902" t="s">
        <v>30</v>
      </c>
      <c r="G902" t="s">
        <v>11</v>
      </c>
      <c r="H902" t="s">
        <v>23</v>
      </c>
      <c r="I902" t="s">
        <v>13</v>
      </c>
      <c r="J902">
        <v>1</v>
      </c>
    </row>
    <row r="903" spans="1:10" x14ac:dyDescent="0.3">
      <c r="A903" t="s">
        <v>9</v>
      </c>
      <c r="B903">
        <v>35</v>
      </c>
      <c r="C903">
        <v>0</v>
      </c>
      <c r="D903">
        <v>0</v>
      </c>
      <c r="E903">
        <v>0</v>
      </c>
      <c r="F903" t="s">
        <v>33</v>
      </c>
      <c r="G903" t="s">
        <v>16</v>
      </c>
      <c r="H903" t="s">
        <v>12</v>
      </c>
      <c r="I903" t="s">
        <v>13</v>
      </c>
      <c r="J903">
        <v>0</v>
      </c>
    </row>
    <row r="904" spans="1:10" x14ac:dyDescent="0.3">
      <c r="A904" t="s">
        <v>14</v>
      </c>
      <c r="B904">
        <v>36</v>
      </c>
      <c r="C904">
        <v>0</v>
      </c>
      <c r="D904">
        <v>0</v>
      </c>
      <c r="E904">
        <v>0</v>
      </c>
      <c r="F904" t="s">
        <v>15</v>
      </c>
      <c r="G904" t="s">
        <v>11</v>
      </c>
      <c r="H904" t="s">
        <v>18</v>
      </c>
      <c r="I904" t="s">
        <v>13</v>
      </c>
      <c r="J904">
        <v>0</v>
      </c>
    </row>
    <row r="905" spans="1:10" x14ac:dyDescent="0.3">
      <c r="A905" t="s">
        <v>9</v>
      </c>
      <c r="B905">
        <v>15</v>
      </c>
      <c r="C905">
        <v>1</v>
      </c>
      <c r="D905">
        <v>1</v>
      </c>
      <c r="E905">
        <v>0</v>
      </c>
      <c r="F905" t="s">
        <v>28</v>
      </c>
      <c r="G905" t="s">
        <v>16</v>
      </c>
      <c r="H905" t="s">
        <v>12</v>
      </c>
      <c r="I905" t="s">
        <v>13</v>
      </c>
      <c r="J905">
        <v>1</v>
      </c>
    </row>
    <row r="906" spans="1:10" x14ac:dyDescent="0.3">
      <c r="A906" t="s">
        <v>9</v>
      </c>
      <c r="B906">
        <v>11</v>
      </c>
      <c r="C906">
        <v>1</v>
      </c>
      <c r="D906">
        <v>1</v>
      </c>
      <c r="E906">
        <v>0</v>
      </c>
      <c r="F906" t="s">
        <v>32</v>
      </c>
      <c r="G906" t="s">
        <v>11</v>
      </c>
      <c r="H906" t="s">
        <v>12</v>
      </c>
      <c r="I906" t="s">
        <v>13</v>
      </c>
      <c r="J906">
        <v>1</v>
      </c>
    </row>
    <row r="907" spans="1:10" x14ac:dyDescent="0.3">
      <c r="A907" t="s">
        <v>14</v>
      </c>
      <c r="B907">
        <v>27</v>
      </c>
      <c r="C907">
        <v>1</v>
      </c>
      <c r="D907">
        <v>1</v>
      </c>
      <c r="E907">
        <v>0</v>
      </c>
      <c r="F907" t="s">
        <v>40</v>
      </c>
      <c r="G907" t="s">
        <v>16</v>
      </c>
      <c r="H907" t="s">
        <v>18</v>
      </c>
      <c r="I907" t="s">
        <v>13</v>
      </c>
      <c r="J907">
        <v>1</v>
      </c>
    </row>
    <row r="908" spans="1:10" x14ac:dyDescent="0.3">
      <c r="A908" t="s">
        <v>14</v>
      </c>
      <c r="B908">
        <v>20</v>
      </c>
      <c r="C908">
        <v>0</v>
      </c>
      <c r="D908">
        <v>0</v>
      </c>
      <c r="E908">
        <v>0</v>
      </c>
      <c r="F908" t="s">
        <v>28</v>
      </c>
      <c r="G908" t="s">
        <v>11</v>
      </c>
      <c r="H908" t="s">
        <v>18</v>
      </c>
      <c r="I908" t="s">
        <v>13</v>
      </c>
      <c r="J908">
        <v>0</v>
      </c>
    </row>
    <row r="909" spans="1:10" x14ac:dyDescent="0.3">
      <c r="A909" t="s">
        <v>14</v>
      </c>
      <c r="B909">
        <v>28</v>
      </c>
      <c r="C909">
        <v>1</v>
      </c>
      <c r="D909">
        <v>1</v>
      </c>
      <c r="E909">
        <v>0</v>
      </c>
      <c r="F909" t="s">
        <v>29</v>
      </c>
      <c r="G909" t="s">
        <v>16</v>
      </c>
      <c r="H909" t="s">
        <v>23</v>
      </c>
      <c r="I909" t="s">
        <v>13</v>
      </c>
      <c r="J909">
        <v>1</v>
      </c>
    </row>
    <row r="910" spans="1:10" x14ac:dyDescent="0.3">
      <c r="A910" t="s">
        <v>14</v>
      </c>
      <c r="B910">
        <v>60</v>
      </c>
      <c r="C910">
        <v>1</v>
      </c>
      <c r="D910">
        <v>1</v>
      </c>
      <c r="E910">
        <v>0</v>
      </c>
      <c r="F910" t="s">
        <v>15</v>
      </c>
      <c r="G910" t="s">
        <v>11</v>
      </c>
      <c r="H910" t="s">
        <v>18</v>
      </c>
      <c r="I910" t="s">
        <v>13</v>
      </c>
      <c r="J910">
        <v>1</v>
      </c>
    </row>
    <row r="911" spans="1:10" x14ac:dyDescent="0.3">
      <c r="A911" t="s">
        <v>14</v>
      </c>
      <c r="B911">
        <v>10</v>
      </c>
      <c r="C911">
        <v>1</v>
      </c>
      <c r="D911">
        <v>1</v>
      </c>
      <c r="E911">
        <v>1</v>
      </c>
      <c r="F911" t="s">
        <v>47</v>
      </c>
      <c r="G911" t="s">
        <v>16</v>
      </c>
      <c r="H911" t="s">
        <v>18</v>
      </c>
      <c r="I911" t="s">
        <v>13</v>
      </c>
      <c r="J911">
        <v>1</v>
      </c>
    </row>
    <row r="912" spans="1:10" x14ac:dyDescent="0.3">
      <c r="A912" t="s">
        <v>9</v>
      </c>
      <c r="B912">
        <v>39</v>
      </c>
      <c r="C912">
        <v>0</v>
      </c>
      <c r="D912">
        <v>0</v>
      </c>
      <c r="E912">
        <v>1</v>
      </c>
      <c r="F912" t="s">
        <v>46</v>
      </c>
      <c r="G912" t="s">
        <v>11</v>
      </c>
      <c r="H912" t="s">
        <v>23</v>
      </c>
      <c r="I912" t="s">
        <v>13</v>
      </c>
      <c r="J912">
        <v>0</v>
      </c>
    </row>
    <row r="913" spans="1:10" x14ac:dyDescent="0.3">
      <c r="A913" t="s">
        <v>14</v>
      </c>
      <c r="B913">
        <v>52</v>
      </c>
      <c r="C913">
        <v>0</v>
      </c>
      <c r="D913">
        <v>0</v>
      </c>
      <c r="E913">
        <v>1</v>
      </c>
      <c r="F913" t="s">
        <v>51</v>
      </c>
      <c r="G913" t="s">
        <v>16</v>
      </c>
      <c r="H913" t="s">
        <v>23</v>
      </c>
      <c r="I913" t="s">
        <v>13</v>
      </c>
      <c r="J913">
        <v>0</v>
      </c>
    </row>
    <row r="914" spans="1:10" x14ac:dyDescent="0.3">
      <c r="A914" t="s">
        <v>9</v>
      </c>
      <c r="B914">
        <v>36</v>
      </c>
      <c r="C914">
        <v>1</v>
      </c>
      <c r="D914">
        <v>1</v>
      </c>
      <c r="E914">
        <v>0</v>
      </c>
      <c r="F914" t="s">
        <v>47</v>
      </c>
      <c r="G914" t="s">
        <v>11</v>
      </c>
      <c r="H914" t="s">
        <v>23</v>
      </c>
      <c r="I914" t="s">
        <v>13</v>
      </c>
      <c r="J914">
        <v>1</v>
      </c>
    </row>
    <row r="915" spans="1:10" x14ac:dyDescent="0.3">
      <c r="A915" t="s">
        <v>9</v>
      </c>
      <c r="B915">
        <v>39</v>
      </c>
      <c r="C915">
        <v>0</v>
      </c>
      <c r="D915">
        <v>0</v>
      </c>
      <c r="E915">
        <v>0</v>
      </c>
      <c r="F915" t="s">
        <v>50</v>
      </c>
      <c r="G915" t="s">
        <v>16</v>
      </c>
      <c r="H915" t="s">
        <v>12</v>
      </c>
      <c r="I915" t="s">
        <v>13</v>
      </c>
      <c r="J915">
        <v>0</v>
      </c>
    </row>
    <row r="916" spans="1:10" x14ac:dyDescent="0.3">
      <c r="A916" t="s">
        <v>14</v>
      </c>
      <c r="B916">
        <v>13</v>
      </c>
      <c r="C916">
        <v>0</v>
      </c>
      <c r="D916">
        <v>0</v>
      </c>
      <c r="E916">
        <v>1</v>
      </c>
      <c r="F916" t="s">
        <v>44</v>
      </c>
      <c r="G916" t="s">
        <v>11</v>
      </c>
      <c r="H916" t="s">
        <v>18</v>
      </c>
      <c r="I916" t="s">
        <v>13</v>
      </c>
      <c r="J916">
        <v>0</v>
      </c>
    </row>
    <row r="917" spans="1:10" x14ac:dyDescent="0.3">
      <c r="A917" t="s">
        <v>9</v>
      </c>
      <c r="B917">
        <v>42</v>
      </c>
      <c r="C917">
        <v>0</v>
      </c>
      <c r="D917">
        <v>0</v>
      </c>
      <c r="E917">
        <v>0</v>
      </c>
      <c r="F917" t="s">
        <v>10</v>
      </c>
      <c r="G917" t="s">
        <v>16</v>
      </c>
      <c r="H917" t="s">
        <v>23</v>
      </c>
      <c r="I917" t="s">
        <v>13</v>
      </c>
      <c r="J917">
        <v>0</v>
      </c>
    </row>
    <row r="918" spans="1:10" x14ac:dyDescent="0.3">
      <c r="A918" t="s">
        <v>14</v>
      </c>
      <c r="B918">
        <v>30</v>
      </c>
      <c r="C918">
        <v>1</v>
      </c>
      <c r="D918">
        <v>1</v>
      </c>
      <c r="E918">
        <v>1</v>
      </c>
      <c r="F918" t="s">
        <v>43</v>
      </c>
      <c r="G918" t="s">
        <v>11</v>
      </c>
      <c r="H918" t="s">
        <v>12</v>
      </c>
      <c r="I918" t="s">
        <v>13</v>
      </c>
      <c r="J918">
        <v>1</v>
      </c>
    </row>
    <row r="919" spans="1:10" x14ac:dyDescent="0.3">
      <c r="A919" t="s">
        <v>14</v>
      </c>
      <c r="B919">
        <v>33</v>
      </c>
      <c r="C919">
        <v>0</v>
      </c>
      <c r="D919">
        <v>0</v>
      </c>
      <c r="E919">
        <v>0</v>
      </c>
      <c r="F919" t="s">
        <v>40</v>
      </c>
      <c r="G919" t="s">
        <v>16</v>
      </c>
      <c r="H919" t="s">
        <v>23</v>
      </c>
      <c r="I919" t="s">
        <v>13</v>
      </c>
      <c r="J919">
        <v>0</v>
      </c>
    </row>
    <row r="920" spans="1:10" x14ac:dyDescent="0.3">
      <c r="A920" t="s">
        <v>9</v>
      </c>
      <c r="B920">
        <v>61</v>
      </c>
      <c r="C920">
        <v>1</v>
      </c>
      <c r="D920">
        <v>1</v>
      </c>
      <c r="E920">
        <v>1</v>
      </c>
      <c r="F920" t="s">
        <v>35</v>
      </c>
      <c r="G920" t="s">
        <v>11</v>
      </c>
      <c r="H920" t="s">
        <v>12</v>
      </c>
      <c r="I920" t="s">
        <v>13</v>
      </c>
      <c r="J920">
        <v>1</v>
      </c>
    </row>
    <row r="921" spans="1:10" x14ac:dyDescent="0.3">
      <c r="A921" t="s">
        <v>9</v>
      </c>
      <c r="B921">
        <v>47</v>
      </c>
      <c r="C921">
        <v>1</v>
      </c>
      <c r="D921">
        <v>1</v>
      </c>
      <c r="E921">
        <v>1</v>
      </c>
      <c r="F921" t="s">
        <v>22</v>
      </c>
      <c r="G921" t="s">
        <v>16</v>
      </c>
      <c r="H921" t="s">
        <v>12</v>
      </c>
      <c r="I921" t="s">
        <v>13</v>
      </c>
      <c r="J921">
        <v>1</v>
      </c>
    </row>
    <row r="922" spans="1:10" x14ac:dyDescent="0.3">
      <c r="A922" t="s">
        <v>9</v>
      </c>
      <c r="B922">
        <v>52</v>
      </c>
      <c r="C922">
        <v>0</v>
      </c>
      <c r="D922">
        <v>0</v>
      </c>
      <c r="E922">
        <v>1</v>
      </c>
      <c r="F922" t="s">
        <v>46</v>
      </c>
      <c r="G922" t="s">
        <v>11</v>
      </c>
      <c r="H922" t="s">
        <v>18</v>
      </c>
      <c r="I922" t="s">
        <v>13</v>
      </c>
      <c r="J922">
        <v>0</v>
      </c>
    </row>
    <row r="923" spans="1:10" x14ac:dyDescent="0.3">
      <c r="A923" t="s">
        <v>14</v>
      </c>
      <c r="B923">
        <v>59</v>
      </c>
      <c r="C923">
        <v>0</v>
      </c>
      <c r="D923">
        <v>0</v>
      </c>
      <c r="E923">
        <v>1</v>
      </c>
      <c r="F923" t="s">
        <v>52</v>
      </c>
      <c r="G923" t="s">
        <v>16</v>
      </c>
      <c r="H923" t="s">
        <v>12</v>
      </c>
      <c r="I923" t="s">
        <v>13</v>
      </c>
      <c r="J923">
        <v>0</v>
      </c>
    </row>
    <row r="924" spans="1:10" x14ac:dyDescent="0.3">
      <c r="A924" t="s">
        <v>9</v>
      </c>
      <c r="B924">
        <v>29</v>
      </c>
      <c r="C924">
        <v>0</v>
      </c>
      <c r="D924">
        <v>0</v>
      </c>
      <c r="E924">
        <v>0</v>
      </c>
      <c r="F924" t="s">
        <v>44</v>
      </c>
      <c r="G924" t="s">
        <v>11</v>
      </c>
      <c r="H924" t="s">
        <v>12</v>
      </c>
      <c r="I924" t="s">
        <v>13</v>
      </c>
      <c r="J924">
        <v>0</v>
      </c>
    </row>
    <row r="925" spans="1:10" x14ac:dyDescent="0.3">
      <c r="A925" t="s">
        <v>9</v>
      </c>
      <c r="B925">
        <v>50</v>
      </c>
      <c r="C925">
        <v>1</v>
      </c>
      <c r="D925">
        <v>1</v>
      </c>
      <c r="E925">
        <v>1</v>
      </c>
      <c r="F925" t="s">
        <v>38</v>
      </c>
      <c r="G925" t="s">
        <v>16</v>
      </c>
      <c r="H925" t="s">
        <v>23</v>
      </c>
      <c r="I925" t="s">
        <v>13</v>
      </c>
      <c r="J925">
        <v>1</v>
      </c>
    </row>
    <row r="926" spans="1:10" x14ac:dyDescent="0.3">
      <c r="A926" t="s">
        <v>9</v>
      </c>
      <c r="B926">
        <v>56</v>
      </c>
      <c r="C926">
        <v>1</v>
      </c>
      <c r="D926">
        <v>1</v>
      </c>
      <c r="E926">
        <v>0</v>
      </c>
      <c r="F926" t="s">
        <v>44</v>
      </c>
      <c r="G926" t="s">
        <v>11</v>
      </c>
      <c r="H926" t="s">
        <v>12</v>
      </c>
      <c r="I926" t="s">
        <v>13</v>
      </c>
      <c r="J926">
        <v>1</v>
      </c>
    </row>
    <row r="927" spans="1:10" x14ac:dyDescent="0.3">
      <c r="A927" t="s">
        <v>14</v>
      </c>
      <c r="B927">
        <v>55</v>
      </c>
      <c r="C927">
        <v>1</v>
      </c>
      <c r="D927">
        <v>1</v>
      </c>
      <c r="E927">
        <v>0</v>
      </c>
      <c r="F927" t="s">
        <v>41</v>
      </c>
      <c r="G927" t="s">
        <v>16</v>
      </c>
      <c r="H927" t="s">
        <v>12</v>
      </c>
      <c r="I927" t="s">
        <v>13</v>
      </c>
      <c r="J927">
        <v>1</v>
      </c>
    </row>
    <row r="928" spans="1:10" x14ac:dyDescent="0.3">
      <c r="A928" t="s">
        <v>9</v>
      </c>
      <c r="B928">
        <v>44</v>
      </c>
      <c r="C928">
        <v>1</v>
      </c>
      <c r="D928">
        <v>1</v>
      </c>
      <c r="E928">
        <v>1</v>
      </c>
      <c r="F928" t="s">
        <v>33</v>
      </c>
      <c r="G928" t="s">
        <v>11</v>
      </c>
      <c r="H928" t="s">
        <v>12</v>
      </c>
      <c r="I928" t="s">
        <v>13</v>
      </c>
      <c r="J928">
        <v>1</v>
      </c>
    </row>
    <row r="929" spans="1:10" x14ac:dyDescent="0.3">
      <c r="A929" t="s">
        <v>14</v>
      </c>
      <c r="B929">
        <v>37</v>
      </c>
      <c r="C929">
        <v>0</v>
      </c>
      <c r="D929">
        <v>0</v>
      </c>
      <c r="E929">
        <v>0</v>
      </c>
      <c r="F929" t="s">
        <v>33</v>
      </c>
      <c r="G929" t="s">
        <v>16</v>
      </c>
      <c r="H929" t="s">
        <v>23</v>
      </c>
      <c r="I929" t="s">
        <v>13</v>
      </c>
      <c r="J929">
        <v>0</v>
      </c>
    </row>
    <row r="930" spans="1:10" x14ac:dyDescent="0.3">
      <c r="A930" t="s">
        <v>9</v>
      </c>
      <c r="B930">
        <v>42</v>
      </c>
      <c r="C930">
        <v>0</v>
      </c>
      <c r="D930">
        <v>0</v>
      </c>
      <c r="E930">
        <v>1</v>
      </c>
      <c r="F930" t="s">
        <v>44</v>
      </c>
      <c r="G930" t="s">
        <v>11</v>
      </c>
      <c r="H930" t="s">
        <v>23</v>
      </c>
      <c r="I930" t="s">
        <v>13</v>
      </c>
      <c r="J930">
        <v>0</v>
      </c>
    </row>
    <row r="931" spans="1:10" x14ac:dyDescent="0.3">
      <c r="A931" t="s">
        <v>14</v>
      </c>
      <c r="B931">
        <v>8</v>
      </c>
      <c r="C931">
        <v>0</v>
      </c>
      <c r="D931">
        <v>0</v>
      </c>
      <c r="E931">
        <v>1</v>
      </c>
      <c r="F931" t="s">
        <v>22</v>
      </c>
      <c r="G931" t="s">
        <v>16</v>
      </c>
      <c r="H931" t="s">
        <v>12</v>
      </c>
      <c r="I931" t="s">
        <v>13</v>
      </c>
      <c r="J931">
        <v>0</v>
      </c>
    </row>
    <row r="932" spans="1:10" x14ac:dyDescent="0.3">
      <c r="A932" t="s">
        <v>14</v>
      </c>
      <c r="B932">
        <v>40</v>
      </c>
      <c r="C932">
        <v>0</v>
      </c>
      <c r="D932">
        <v>0</v>
      </c>
      <c r="E932">
        <v>0</v>
      </c>
      <c r="F932" t="s">
        <v>34</v>
      </c>
      <c r="G932" t="s">
        <v>11</v>
      </c>
      <c r="H932" t="s">
        <v>23</v>
      </c>
      <c r="I932" t="s">
        <v>13</v>
      </c>
      <c r="J932">
        <v>0</v>
      </c>
    </row>
    <row r="933" spans="1:10" x14ac:dyDescent="0.3">
      <c r="A933" t="s">
        <v>14</v>
      </c>
      <c r="B933">
        <v>56</v>
      </c>
      <c r="C933">
        <v>0</v>
      </c>
      <c r="D933">
        <v>0</v>
      </c>
      <c r="E933">
        <v>1</v>
      </c>
      <c r="F933" t="s">
        <v>21</v>
      </c>
      <c r="G933" t="s">
        <v>16</v>
      </c>
      <c r="H933" t="s">
        <v>23</v>
      </c>
      <c r="I933" t="s">
        <v>13</v>
      </c>
      <c r="J933">
        <v>0</v>
      </c>
    </row>
    <row r="934" spans="1:10" x14ac:dyDescent="0.3">
      <c r="A934" t="s">
        <v>14</v>
      </c>
      <c r="B934">
        <v>60</v>
      </c>
      <c r="C934">
        <v>0</v>
      </c>
      <c r="D934">
        <v>0</v>
      </c>
      <c r="E934">
        <v>1</v>
      </c>
      <c r="F934" t="s">
        <v>32</v>
      </c>
      <c r="G934" t="s">
        <v>11</v>
      </c>
      <c r="H934" t="s">
        <v>12</v>
      </c>
      <c r="I934" t="s">
        <v>13</v>
      </c>
      <c r="J934">
        <v>0</v>
      </c>
    </row>
    <row r="935" spans="1:10" x14ac:dyDescent="0.3">
      <c r="A935" t="s">
        <v>14</v>
      </c>
      <c r="B935">
        <v>26</v>
      </c>
      <c r="C935">
        <v>0</v>
      </c>
      <c r="D935">
        <v>0</v>
      </c>
      <c r="E935">
        <v>0</v>
      </c>
      <c r="F935" t="s">
        <v>19</v>
      </c>
      <c r="G935" t="s">
        <v>16</v>
      </c>
      <c r="H935" t="s">
        <v>23</v>
      </c>
      <c r="I935" t="s">
        <v>13</v>
      </c>
      <c r="J935">
        <v>0</v>
      </c>
    </row>
    <row r="936" spans="1:10" x14ac:dyDescent="0.3">
      <c r="A936" t="s">
        <v>9</v>
      </c>
      <c r="B936">
        <v>65</v>
      </c>
      <c r="C936">
        <v>1</v>
      </c>
      <c r="D936">
        <v>1</v>
      </c>
      <c r="E936">
        <v>0</v>
      </c>
      <c r="F936" t="s">
        <v>27</v>
      </c>
      <c r="G936" t="s">
        <v>11</v>
      </c>
      <c r="H936" t="s">
        <v>12</v>
      </c>
      <c r="I936" t="s">
        <v>13</v>
      </c>
      <c r="J936">
        <v>1</v>
      </c>
    </row>
    <row r="937" spans="1:10" x14ac:dyDescent="0.3">
      <c r="A937" t="s">
        <v>9</v>
      </c>
      <c r="B937">
        <v>33</v>
      </c>
      <c r="C937">
        <v>1</v>
      </c>
      <c r="D937">
        <v>1</v>
      </c>
      <c r="E937">
        <v>1</v>
      </c>
      <c r="F937" t="s">
        <v>47</v>
      </c>
      <c r="G937" t="s">
        <v>16</v>
      </c>
      <c r="H937" t="s">
        <v>12</v>
      </c>
      <c r="I937" t="s">
        <v>13</v>
      </c>
      <c r="J937">
        <v>1</v>
      </c>
    </row>
    <row r="938" spans="1:10" x14ac:dyDescent="0.3">
      <c r="A938" t="s">
        <v>9</v>
      </c>
      <c r="B938">
        <v>20</v>
      </c>
      <c r="C938">
        <v>0</v>
      </c>
      <c r="D938">
        <v>0</v>
      </c>
      <c r="E938">
        <v>0</v>
      </c>
      <c r="F938" t="s">
        <v>51</v>
      </c>
      <c r="G938" t="s">
        <v>11</v>
      </c>
      <c r="H938" t="s">
        <v>18</v>
      </c>
      <c r="I938" t="s">
        <v>13</v>
      </c>
      <c r="J938">
        <v>0</v>
      </c>
    </row>
    <row r="939" spans="1:10" x14ac:dyDescent="0.3">
      <c r="A939" t="s">
        <v>14</v>
      </c>
      <c r="B939">
        <v>20</v>
      </c>
      <c r="C939">
        <v>0</v>
      </c>
      <c r="D939">
        <v>0</v>
      </c>
      <c r="E939">
        <v>0</v>
      </c>
      <c r="F939" t="s">
        <v>45</v>
      </c>
      <c r="G939" t="s">
        <v>16</v>
      </c>
      <c r="H939" t="s">
        <v>18</v>
      </c>
      <c r="I939" t="s">
        <v>13</v>
      </c>
      <c r="J939">
        <v>0</v>
      </c>
    </row>
    <row r="940" spans="1:10" x14ac:dyDescent="0.3">
      <c r="A940" t="s">
        <v>9</v>
      </c>
      <c r="B940">
        <v>54</v>
      </c>
      <c r="C940">
        <v>1</v>
      </c>
      <c r="D940">
        <v>1</v>
      </c>
      <c r="E940">
        <v>0</v>
      </c>
      <c r="F940" t="s">
        <v>49</v>
      </c>
      <c r="G940" t="s">
        <v>11</v>
      </c>
      <c r="H940" t="s">
        <v>12</v>
      </c>
      <c r="I940" t="s">
        <v>13</v>
      </c>
      <c r="J940">
        <v>1</v>
      </c>
    </row>
    <row r="941" spans="1:10" x14ac:dyDescent="0.3">
      <c r="A941" t="s">
        <v>14</v>
      </c>
      <c r="B941">
        <v>22</v>
      </c>
      <c r="C941">
        <v>1</v>
      </c>
      <c r="D941">
        <v>1</v>
      </c>
      <c r="E941">
        <v>1</v>
      </c>
      <c r="F941" t="s">
        <v>44</v>
      </c>
      <c r="G941" t="s">
        <v>16</v>
      </c>
      <c r="H941" t="s">
        <v>23</v>
      </c>
      <c r="I941" t="s">
        <v>13</v>
      </c>
      <c r="J941">
        <v>1</v>
      </c>
    </row>
    <row r="942" spans="1:10" x14ac:dyDescent="0.3">
      <c r="A942" t="s">
        <v>9</v>
      </c>
      <c r="B942">
        <v>16</v>
      </c>
      <c r="C942">
        <v>0</v>
      </c>
      <c r="D942">
        <v>0</v>
      </c>
      <c r="E942">
        <v>0</v>
      </c>
      <c r="F942" t="s">
        <v>17</v>
      </c>
      <c r="G942" t="s">
        <v>11</v>
      </c>
      <c r="H942" t="s">
        <v>23</v>
      </c>
      <c r="I942" t="s">
        <v>13</v>
      </c>
      <c r="J942">
        <v>0</v>
      </c>
    </row>
    <row r="943" spans="1:10" x14ac:dyDescent="0.3">
      <c r="A943" t="s">
        <v>9</v>
      </c>
      <c r="B943">
        <v>37</v>
      </c>
      <c r="C943">
        <v>0</v>
      </c>
      <c r="D943">
        <v>0</v>
      </c>
      <c r="E943">
        <v>0</v>
      </c>
      <c r="F943" t="s">
        <v>51</v>
      </c>
      <c r="G943" t="s">
        <v>16</v>
      </c>
      <c r="H943" t="s">
        <v>12</v>
      </c>
      <c r="I943" t="s">
        <v>13</v>
      </c>
      <c r="J943">
        <v>0</v>
      </c>
    </row>
    <row r="944" spans="1:10" x14ac:dyDescent="0.3">
      <c r="A944" t="s">
        <v>9</v>
      </c>
      <c r="B944">
        <v>26</v>
      </c>
      <c r="C944">
        <v>0</v>
      </c>
      <c r="D944">
        <v>0</v>
      </c>
      <c r="E944">
        <v>1</v>
      </c>
      <c r="F944" t="s">
        <v>43</v>
      </c>
      <c r="G944" t="s">
        <v>11</v>
      </c>
      <c r="H944" t="s">
        <v>23</v>
      </c>
      <c r="I944" t="s">
        <v>13</v>
      </c>
      <c r="J944">
        <v>0</v>
      </c>
    </row>
    <row r="945" spans="1:10" x14ac:dyDescent="0.3">
      <c r="A945" t="s">
        <v>9</v>
      </c>
      <c r="B945">
        <v>27</v>
      </c>
      <c r="C945">
        <v>0</v>
      </c>
      <c r="D945">
        <v>0</v>
      </c>
      <c r="E945">
        <v>0</v>
      </c>
      <c r="F945" t="s">
        <v>40</v>
      </c>
      <c r="G945" t="s">
        <v>16</v>
      </c>
      <c r="H945" t="s">
        <v>23</v>
      </c>
      <c r="I945" t="s">
        <v>13</v>
      </c>
      <c r="J945">
        <v>0</v>
      </c>
    </row>
    <row r="946" spans="1:10" x14ac:dyDescent="0.3">
      <c r="A946" t="s">
        <v>9</v>
      </c>
      <c r="B946">
        <v>10</v>
      </c>
      <c r="C946">
        <v>0</v>
      </c>
      <c r="D946">
        <v>0</v>
      </c>
      <c r="E946">
        <v>0</v>
      </c>
      <c r="F946" t="s">
        <v>49</v>
      </c>
      <c r="G946" t="s">
        <v>11</v>
      </c>
      <c r="H946" t="s">
        <v>12</v>
      </c>
      <c r="I946" t="s">
        <v>13</v>
      </c>
      <c r="J946">
        <v>0</v>
      </c>
    </row>
    <row r="947" spans="1:10" x14ac:dyDescent="0.3">
      <c r="A947" t="s">
        <v>9</v>
      </c>
      <c r="B947">
        <v>15</v>
      </c>
      <c r="C947">
        <v>0</v>
      </c>
      <c r="D947">
        <v>0</v>
      </c>
      <c r="E947">
        <v>0</v>
      </c>
      <c r="F947" t="s">
        <v>36</v>
      </c>
      <c r="G947" t="s">
        <v>16</v>
      </c>
      <c r="H947" t="s">
        <v>12</v>
      </c>
      <c r="I947" t="s">
        <v>13</v>
      </c>
      <c r="J947">
        <v>0</v>
      </c>
    </row>
    <row r="948" spans="1:10" x14ac:dyDescent="0.3">
      <c r="A948" t="s">
        <v>9</v>
      </c>
      <c r="B948">
        <v>17</v>
      </c>
      <c r="C948">
        <v>0</v>
      </c>
      <c r="D948">
        <v>0</v>
      </c>
      <c r="E948">
        <v>0</v>
      </c>
      <c r="F948" t="s">
        <v>35</v>
      </c>
      <c r="G948" t="s">
        <v>11</v>
      </c>
      <c r="H948" t="s">
        <v>23</v>
      </c>
      <c r="I948" t="s">
        <v>13</v>
      </c>
      <c r="J948">
        <v>0</v>
      </c>
    </row>
    <row r="949" spans="1:10" x14ac:dyDescent="0.3">
      <c r="A949" t="s">
        <v>9</v>
      </c>
      <c r="B949">
        <v>61</v>
      </c>
      <c r="C949">
        <v>1</v>
      </c>
      <c r="D949">
        <v>1</v>
      </c>
      <c r="E949">
        <v>1</v>
      </c>
      <c r="F949" t="s">
        <v>10</v>
      </c>
      <c r="G949" t="s">
        <v>16</v>
      </c>
      <c r="H949" t="s">
        <v>12</v>
      </c>
      <c r="I949" t="s">
        <v>13</v>
      </c>
      <c r="J949">
        <v>1</v>
      </c>
    </row>
    <row r="950" spans="1:10" x14ac:dyDescent="0.3">
      <c r="A950" t="s">
        <v>14</v>
      </c>
      <c r="B950">
        <v>35</v>
      </c>
      <c r="C950">
        <v>1</v>
      </c>
      <c r="D950">
        <v>1</v>
      </c>
      <c r="E950">
        <v>1</v>
      </c>
      <c r="F950" t="s">
        <v>28</v>
      </c>
      <c r="G950" t="s">
        <v>11</v>
      </c>
      <c r="H950" t="s">
        <v>18</v>
      </c>
      <c r="I950" t="s">
        <v>13</v>
      </c>
      <c r="J950">
        <v>1</v>
      </c>
    </row>
    <row r="951" spans="1:10" x14ac:dyDescent="0.3">
      <c r="A951" t="s">
        <v>9</v>
      </c>
      <c r="B951">
        <v>55</v>
      </c>
      <c r="C951">
        <v>1</v>
      </c>
      <c r="D951">
        <v>1</v>
      </c>
      <c r="E951">
        <v>1</v>
      </c>
      <c r="F951" t="s">
        <v>51</v>
      </c>
      <c r="G951" t="s">
        <v>16</v>
      </c>
      <c r="H951" t="s">
        <v>18</v>
      </c>
      <c r="I951" t="s">
        <v>13</v>
      </c>
      <c r="J951">
        <v>1</v>
      </c>
    </row>
    <row r="952" spans="1:10" x14ac:dyDescent="0.3">
      <c r="A952" t="s">
        <v>9</v>
      </c>
      <c r="B952">
        <v>16</v>
      </c>
      <c r="C952">
        <v>1</v>
      </c>
      <c r="D952">
        <v>1</v>
      </c>
      <c r="E952">
        <v>1</v>
      </c>
      <c r="F952" t="s">
        <v>42</v>
      </c>
      <c r="G952" t="s">
        <v>11</v>
      </c>
      <c r="H952" t="s">
        <v>18</v>
      </c>
      <c r="I952" t="s">
        <v>13</v>
      </c>
      <c r="J952">
        <v>1</v>
      </c>
    </row>
    <row r="953" spans="1:10" x14ac:dyDescent="0.3">
      <c r="A953" t="s">
        <v>14</v>
      </c>
      <c r="B953">
        <v>52</v>
      </c>
      <c r="C953">
        <v>0</v>
      </c>
      <c r="D953">
        <v>0</v>
      </c>
      <c r="E953">
        <v>0</v>
      </c>
      <c r="F953" t="s">
        <v>49</v>
      </c>
      <c r="G953" t="s">
        <v>16</v>
      </c>
      <c r="H953" t="s">
        <v>12</v>
      </c>
      <c r="I953" t="s">
        <v>13</v>
      </c>
      <c r="J953">
        <v>0</v>
      </c>
    </row>
    <row r="954" spans="1:10" x14ac:dyDescent="0.3">
      <c r="A954" t="s">
        <v>9</v>
      </c>
      <c r="B954">
        <v>50</v>
      </c>
      <c r="C954">
        <v>0</v>
      </c>
      <c r="D954">
        <v>0</v>
      </c>
      <c r="E954">
        <v>0</v>
      </c>
      <c r="F954" t="s">
        <v>19</v>
      </c>
      <c r="G954" t="s">
        <v>11</v>
      </c>
      <c r="H954" t="s">
        <v>18</v>
      </c>
      <c r="I954" t="s">
        <v>13</v>
      </c>
      <c r="J954">
        <v>0</v>
      </c>
    </row>
    <row r="955" spans="1:10" x14ac:dyDescent="0.3">
      <c r="A955" t="s">
        <v>9</v>
      </c>
      <c r="B955">
        <v>23</v>
      </c>
      <c r="C955">
        <v>1</v>
      </c>
      <c r="D955">
        <v>1</v>
      </c>
      <c r="E955">
        <v>1</v>
      </c>
      <c r="F955" t="s">
        <v>25</v>
      </c>
      <c r="G955" t="s">
        <v>16</v>
      </c>
      <c r="H955" t="s">
        <v>23</v>
      </c>
      <c r="I955" t="s">
        <v>13</v>
      </c>
      <c r="J955">
        <v>1</v>
      </c>
    </row>
    <row r="956" spans="1:10" x14ac:dyDescent="0.3">
      <c r="A956" t="s">
        <v>14</v>
      </c>
      <c r="B956">
        <v>64</v>
      </c>
      <c r="C956">
        <v>1</v>
      </c>
      <c r="D956">
        <v>1</v>
      </c>
      <c r="E956">
        <v>0</v>
      </c>
      <c r="F956" t="s">
        <v>43</v>
      </c>
      <c r="G956" t="s">
        <v>11</v>
      </c>
      <c r="H956" t="s">
        <v>12</v>
      </c>
      <c r="I956" t="s">
        <v>13</v>
      </c>
      <c r="J956">
        <v>1</v>
      </c>
    </row>
    <row r="957" spans="1:10" x14ac:dyDescent="0.3">
      <c r="A957" t="s">
        <v>9</v>
      </c>
      <c r="B957">
        <v>50</v>
      </c>
      <c r="C957">
        <v>0</v>
      </c>
      <c r="D957">
        <v>0</v>
      </c>
      <c r="E957">
        <v>0</v>
      </c>
      <c r="F957" t="s">
        <v>51</v>
      </c>
      <c r="G957" t="s">
        <v>16</v>
      </c>
      <c r="H957" t="s">
        <v>23</v>
      </c>
      <c r="I957" t="s">
        <v>13</v>
      </c>
      <c r="J957">
        <v>0</v>
      </c>
    </row>
    <row r="958" spans="1:10" x14ac:dyDescent="0.3">
      <c r="A958" t="s">
        <v>9</v>
      </c>
      <c r="B958">
        <v>8</v>
      </c>
      <c r="C958">
        <v>0</v>
      </c>
      <c r="D958">
        <v>1</v>
      </c>
      <c r="E958">
        <v>0</v>
      </c>
      <c r="F958" t="s">
        <v>45</v>
      </c>
      <c r="G958" t="s">
        <v>16</v>
      </c>
      <c r="H958" t="s">
        <v>18</v>
      </c>
      <c r="I958" t="s">
        <v>13</v>
      </c>
      <c r="J958">
        <v>1</v>
      </c>
    </row>
    <row r="959" spans="1:10" x14ac:dyDescent="0.3">
      <c r="A959" t="s">
        <v>9</v>
      </c>
      <c r="B959">
        <v>37</v>
      </c>
      <c r="C959">
        <v>0</v>
      </c>
      <c r="D959">
        <v>0</v>
      </c>
      <c r="E959">
        <v>1</v>
      </c>
      <c r="F959" t="s">
        <v>29</v>
      </c>
      <c r="G959" t="s">
        <v>16</v>
      </c>
      <c r="H959" t="s">
        <v>23</v>
      </c>
      <c r="I959" t="s">
        <v>13</v>
      </c>
      <c r="J959">
        <v>0</v>
      </c>
    </row>
    <row r="960" spans="1:10" x14ac:dyDescent="0.3">
      <c r="A960" t="s">
        <v>9</v>
      </c>
      <c r="B960">
        <v>63</v>
      </c>
      <c r="C960">
        <v>0</v>
      </c>
      <c r="D960">
        <v>0</v>
      </c>
      <c r="E960">
        <v>0</v>
      </c>
      <c r="F960" t="s">
        <v>51</v>
      </c>
      <c r="G960" t="s">
        <v>11</v>
      </c>
      <c r="H960" t="s">
        <v>18</v>
      </c>
      <c r="I960" t="s">
        <v>13</v>
      </c>
      <c r="J960">
        <v>0</v>
      </c>
    </row>
    <row r="961" spans="1:10" x14ac:dyDescent="0.3">
      <c r="A961" t="s">
        <v>9</v>
      </c>
      <c r="B961">
        <v>45</v>
      </c>
      <c r="C961">
        <v>0</v>
      </c>
      <c r="D961">
        <v>0</v>
      </c>
      <c r="E961">
        <v>0</v>
      </c>
      <c r="F961" t="s">
        <v>35</v>
      </c>
      <c r="G961" t="s">
        <v>16</v>
      </c>
      <c r="H961" t="s">
        <v>18</v>
      </c>
      <c r="I961" t="s">
        <v>13</v>
      </c>
      <c r="J961">
        <v>0</v>
      </c>
    </row>
    <row r="962" spans="1:10" x14ac:dyDescent="0.3">
      <c r="A962" t="s">
        <v>9</v>
      </c>
      <c r="B962">
        <v>26</v>
      </c>
      <c r="C962">
        <v>0</v>
      </c>
      <c r="D962">
        <v>0</v>
      </c>
      <c r="E962">
        <v>0</v>
      </c>
      <c r="F962" t="s">
        <v>52</v>
      </c>
      <c r="G962" t="s">
        <v>11</v>
      </c>
      <c r="H962" t="s">
        <v>12</v>
      </c>
      <c r="I962" t="s">
        <v>13</v>
      </c>
      <c r="J962">
        <v>0</v>
      </c>
    </row>
    <row r="963" spans="1:10" x14ac:dyDescent="0.3">
      <c r="A963" t="s">
        <v>9</v>
      </c>
      <c r="B963">
        <v>24</v>
      </c>
      <c r="C963">
        <v>0</v>
      </c>
      <c r="D963">
        <v>0</v>
      </c>
      <c r="E963">
        <v>0</v>
      </c>
      <c r="F963" t="s">
        <v>44</v>
      </c>
      <c r="G963" t="s">
        <v>16</v>
      </c>
      <c r="H963" t="s">
        <v>18</v>
      </c>
      <c r="I963" t="s">
        <v>13</v>
      </c>
      <c r="J963">
        <v>0</v>
      </c>
    </row>
    <row r="964" spans="1:10" x14ac:dyDescent="0.3">
      <c r="A964" t="s">
        <v>14</v>
      </c>
      <c r="B964">
        <v>31</v>
      </c>
      <c r="C964">
        <v>1</v>
      </c>
      <c r="D964">
        <v>1</v>
      </c>
      <c r="E964">
        <v>0</v>
      </c>
      <c r="F964" t="s">
        <v>46</v>
      </c>
      <c r="G964" t="s">
        <v>11</v>
      </c>
      <c r="H964" t="s">
        <v>23</v>
      </c>
      <c r="I964" t="s">
        <v>13</v>
      </c>
      <c r="J964">
        <v>1</v>
      </c>
    </row>
    <row r="965" spans="1:10" x14ac:dyDescent="0.3">
      <c r="A965" t="s">
        <v>9</v>
      </c>
      <c r="B965">
        <v>54</v>
      </c>
      <c r="C965">
        <v>0</v>
      </c>
      <c r="D965">
        <v>0</v>
      </c>
      <c r="E965">
        <v>1</v>
      </c>
      <c r="F965" t="s">
        <v>24</v>
      </c>
      <c r="G965" t="s">
        <v>16</v>
      </c>
      <c r="H965" t="s">
        <v>23</v>
      </c>
      <c r="I965" t="s">
        <v>13</v>
      </c>
      <c r="J965">
        <v>0</v>
      </c>
    </row>
    <row r="966" spans="1:10" x14ac:dyDescent="0.3">
      <c r="A966" t="s">
        <v>14</v>
      </c>
      <c r="B966">
        <v>60</v>
      </c>
      <c r="C966">
        <v>1</v>
      </c>
      <c r="D966">
        <v>1</v>
      </c>
      <c r="E966">
        <v>1</v>
      </c>
      <c r="F966" t="s">
        <v>34</v>
      </c>
      <c r="G966" t="s">
        <v>11</v>
      </c>
      <c r="H966" t="s">
        <v>12</v>
      </c>
      <c r="I966" t="s">
        <v>13</v>
      </c>
      <c r="J966">
        <v>1</v>
      </c>
    </row>
    <row r="967" spans="1:10" x14ac:dyDescent="0.3">
      <c r="A967" t="s">
        <v>14</v>
      </c>
      <c r="B967">
        <v>61</v>
      </c>
      <c r="C967">
        <v>1</v>
      </c>
      <c r="D967">
        <v>1</v>
      </c>
      <c r="E967">
        <v>1</v>
      </c>
      <c r="F967" t="s">
        <v>20</v>
      </c>
      <c r="G967" t="s">
        <v>16</v>
      </c>
      <c r="H967" t="s">
        <v>12</v>
      </c>
      <c r="I967" t="s">
        <v>13</v>
      </c>
      <c r="J967">
        <v>1</v>
      </c>
    </row>
    <row r="968" spans="1:10" x14ac:dyDescent="0.3">
      <c r="A968" t="s">
        <v>14</v>
      </c>
      <c r="B968">
        <v>58</v>
      </c>
      <c r="C968">
        <v>0</v>
      </c>
      <c r="D968">
        <v>1</v>
      </c>
      <c r="E968">
        <v>0</v>
      </c>
      <c r="F968" t="s">
        <v>39</v>
      </c>
      <c r="G968" t="s">
        <v>11</v>
      </c>
      <c r="H968" t="s">
        <v>23</v>
      </c>
      <c r="I968" t="s">
        <v>13</v>
      </c>
      <c r="J968">
        <v>1</v>
      </c>
    </row>
    <row r="969" spans="1:10" x14ac:dyDescent="0.3">
      <c r="A969" t="s">
        <v>9</v>
      </c>
      <c r="B969">
        <v>39</v>
      </c>
      <c r="C969">
        <v>0</v>
      </c>
      <c r="D969">
        <v>0</v>
      </c>
      <c r="E969">
        <v>1</v>
      </c>
      <c r="F969" t="s">
        <v>41</v>
      </c>
      <c r="G969" t="s">
        <v>16</v>
      </c>
      <c r="H969" t="s">
        <v>23</v>
      </c>
      <c r="I969" t="s">
        <v>13</v>
      </c>
      <c r="J969">
        <v>0</v>
      </c>
    </row>
    <row r="970" spans="1:10" x14ac:dyDescent="0.3">
      <c r="A970" t="s">
        <v>9</v>
      </c>
      <c r="B970">
        <v>30</v>
      </c>
      <c r="C970">
        <v>0</v>
      </c>
      <c r="D970">
        <v>0</v>
      </c>
      <c r="E970">
        <v>1</v>
      </c>
      <c r="F970" t="s">
        <v>42</v>
      </c>
      <c r="G970" t="s">
        <v>11</v>
      </c>
      <c r="H970" t="s">
        <v>18</v>
      </c>
      <c r="I970" t="s">
        <v>13</v>
      </c>
      <c r="J970">
        <v>0</v>
      </c>
    </row>
    <row r="971" spans="1:10" x14ac:dyDescent="0.3">
      <c r="A971" t="s">
        <v>14</v>
      </c>
      <c r="B971">
        <v>57</v>
      </c>
      <c r="C971">
        <v>1</v>
      </c>
      <c r="D971">
        <v>1</v>
      </c>
      <c r="E971">
        <v>0</v>
      </c>
      <c r="F971" t="s">
        <v>37</v>
      </c>
      <c r="G971" t="s">
        <v>16</v>
      </c>
      <c r="H971" t="s">
        <v>18</v>
      </c>
      <c r="I971" t="s">
        <v>13</v>
      </c>
      <c r="J971">
        <v>1</v>
      </c>
    </row>
    <row r="972" spans="1:10" x14ac:dyDescent="0.3">
      <c r="A972" t="s">
        <v>9</v>
      </c>
      <c r="B972">
        <v>40</v>
      </c>
      <c r="C972">
        <v>1</v>
      </c>
      <c r="D972">
        <v>1</v>
      </c>
      <c r="E972">
        <v>0</v>
      </c>
      <c r="F972" t="s">
        <v>17</v>
      </c>
      <c r="G972" t="s">
        <v>11</v>
      </c>
      <c r="H972" t="s">
        <v>23</v>
      </c>
      <c r="I972" t="s">
        <v>13</v>
      </c>
      <c r="J972">
        <v>1</v>
      </c>
    </row>
    <row r="973" spans="1:10" x14ac:dyDescent="0.3">
      <c r="A973" t="s">
        <v>14</v>
      </c>
      <c r="B973">
        <v>39</v>
      </c>
      <c r="C973">
        <v>0</v>
      </c>
      <c r="D973">
        <v>0</v>
      </c>
      <c r="E973">
        <v>0</v>
      </c>
      <c r="F973" t="s">
        <v>50</v>
      </c>
      <c r="G973" t="s">
        <v>16</v>
      </c>
      <c r="H973" t="s">
        <v>12</v>
      </c>
      <c r="I973" t="s">
        <v>13</v>
      </c>
      <c r="J973">
        <v>0</v>
      </c>
    </row>
    <row r="974" spans="1:10" x14ac:dyDescent="0.3">
      <c r="A974" t="s">
        <v>9</v>
      </c>
      <c r="B974">
        <v>9</v>
      </c>
      <c r="C974">
        <v>1</v>
      </c>
      <c r="D974">
        <v>1</v>
      </c>
      <c r="E974">
        <v>1</v>
      </c>
      <c r="F974" t="s">
        <v>50</v>
      </c>
      <c r="G974" t="s">
        <v>11</v>
      </c>
      <c r="H974" t="s">
        <v>18</v>
      </c>
      <c r="I974" t="s">
        <v>13</v>
      </c>
      <c r="J974">
        <v>1</v>
      </c>
    </row>
    <row r="975" spans="1:10" x14ac:dyDescent="0.3">
      <c r="A975" t="s">
        <v>14</v>
      </c>
      <c r="B975">
        <v>26</v>
      </c>
      <c r="C975">
        <v>0</v>
      </c>
      <c r="D975">
        <v>1</v>
      </c>
      <c r="E975">
        <v>0</v>
      </c>
      <c r="F975" t="s">
        <v>34</v>
      </c>
      <c r="G975" t="s">
        <v>16</v>
      </c>
      <c r="H975" t="s">
        <v>18</v>
      </c>
      <c r="I975" t="s">
        <v>13</v>
      </c>
      <c r="J975">
        <v>1</v>
      </c>
    </row>
    <row r="976" spans="1:10" x14ac:dyDescent="0.3">
      <c r="A976" t="s">
        <v>9</v>
      </c>
      <c r="B976">
        <v>40</v>
      </c>
      <c r="C976">
        <v>1</v>
      </c>
      <c r="D976">
        <v>1</v>
      </c>
      <c r="E976">
        <v>0</v>
      </c>
      <c r="F976" t="s">
        <v>47</v>
      </c>
      <c r="G976" t="s">
        <v>11</v>
      </c>
      <c r="H976" t="s">
        <v>12</v>
      </c>
      <c r="I976" t="s">
        <v>13</v>
      </c>
      <c r="J976">
        <v>1</v>
      </c>
    </row>
    <row r="977" spans="1:10" x14ac:dyDescent="0.3">
      <c r="A977" t="s">
        <v>14</v>
      </c>
      <c r="B977">
        <v>49</v>
      </c>
      <c r="C977">
        <v>1</v>
      </c>
      <c r="D977">
        <v>1</v>
      </c>
      <c r="E977">
        <v>1</v>
      </c>
      <c r="F977" t="s">
        <v>22</v>
      </c>
      <c r="G977" t="s">
        <v>16</v>
      </c>
      <c r="H977" t="s">
        <v>18</v>
      </c>
      <c r="I977" t="s">
        <v>13</v>
      </c>
      <c r="J977">
        <v>1</v>
      </c>
    </row>
    <row r="978" spans="1:10" x14ac:dyDescent="0.3">
      <c r="A978" t="s">
        <v>9</v>
      </c>
      <c r="B978">
        <v>29</v>
      </c>
      <c r="C978">
        <v>0</v>
      </c>
      <c r="D978">
        <v>0</v>
      </c>
      <c r="E978">
        <v>1</v>
      </c>
      <c r="F978" t="s">
        <v>32</v>
      </c>
      <c r="G978" t="s">
        <v>11</v>
      </c>
      <c r="H978" t="s">
        <v>23</v>
      </c>
      <c r="I978" t="s">
        <v>13</v>
      </c>
      <c r="J978">
        <v>0</v>
      </c>
    </row>
    <row r="979" spans="1:10" x14ac:dyDescent="0.3">
      <c r="A979" t="s">
        <v>9</v>
      </c>
      <c r="B979">
        <v>38</v>
      </c>
      <c r="C979">
        <v>1</v>
      </c>
      <c r="D979">
        <v>1</v>
      </c>
      <c r="E979">
        <v>0</v>
      </c>
      <c r="F979" t="s">
        <v>44</v>
      </c>
      <c r="G979" t="s">
        <v>16</v>
      </c>
      <c r="H979" t="s">
        <v>18</v>
      </c>
      <c r="I979" t="s">
        <v>13</v>
      </c>
      <c r="J979">
        <v>1</v>
      </c>
    </row>
    <row r="980" spans="1:10" x14ac:dyDescent="0.3">
      <c r="A980" t="s">
        <v>14</v>
      </c>
      <c r="B980">
        <v>52</v>
      </c>
      <c r="C980">
        <v>0</v>
      </c>
      <c r="D980">
        <v>0</v>
      </c>
      <c r="E980">
        <v>1</v>
      </c>
      <c r="F980" t="s">
        <v>15</v>
      </c>
      <c r="G980" t="s">
        <v>11</v>
      </c>
      <c r="H980" t="s">
        <v>12</v>
      </c>
      <c r="I980" t="s">
        <v>13</v>
      </c>
      <c r="J980">
        <v>0</v>
      </c>
    </row>
    <row r="981" spans="1:10" x14ac:dyDescent="0.3">
      <c r="A981" t="s">
        <v>14</v>
      </c>
      <c r="B981">
        <v>64</v>
      </c>
      <c r="C981">
        <v>0</v>
      </c>
      <c r="D981">
        <v>0</v>
      </c>
      <c r="E981">
        <v>0</v>
      </c>
      <c r="F981" t="s">
        <v>40</v>
      </c>
      <c r="G981" t="s">
        <v>16</v>
      </c>
      <c r="H981" t="s">
        <v>12</v>
      </c>
      <c r="I981" t="s">
        <v>13</v>
      </c>
      <c r="J981">
        <v>0</v>
      </c>
    </row>
    <row r="982" spans="1:10" x14ac:dyDescent="0.3">
      <c r="A982" t="s">
        <v>14</v>
      </c>
      <c r="B982">
        <v>11</v>
      </c>
      <c r="C982">
        <v>0</v>
      </c>
      <c r="D982">
        <v>0</v>
      </c>
      <c r="E982">
        <v>0</v>
      </c>
      <c r="F982" t="s">
        <v>44</v>
      </c>
      <c r="G982" t="s">
        <v>11</v>
      </c>
      <c r="H982" t="s">
        <v>18</v>
      </c>
      <c r="I982" t="s">
        <v>13</v>
      </c>
      <c r="J982">
        <v>0</v>
      </c>
    </row>
    <row r="983" spans="1:10" x14ac:dyDescent="0.3">
      <c r="A983" t="s">
        <v>14</v>
      </c>
      <c r="B983">
        <v>39</v>
      </c>
      <c r="C983">
        <v>1</v>
      </c>
      <c r="D983">
        <v>1</v>
      </c>
      <c r="E983">
        <v>0</v>
      </c>
      <c r="F983" t="s">
        <v>32</v>
      </c>
      <c r="G983" t="s">
        <v>16</v>
      </c>
      <c r="H983" t="s">
        <v>18</v>
      </c>
      <c r="I983" t="s">
        <v>13</v>
      </c>
      <c r="J983">
        <v>1</v>
      </c>
    </row>
    <row r="984" spans="1:10" x14ac:dyDescent="0.3">
      <c r="A984" t="s">
        <v>14</v>
      </c>
      <c r="B984">
        <v>39</v>
      </c>
      <c r="C984">
        <v>1</v>
      </c>
      <c r="D984">
        <v>1</v>
      </c>
      <c r="E984">
        <v>0</v>
      </c>
      <c r="F984" t="s">
        <v>35</v>
      </c>
      <c r="G984" t="s">
        <v>11</v>
      </c>
      <c r="H984" t="s">
        <v>23</v>
      </c>
      <c r="I984" t="s">
        <v>13</v>
      </c>
      <c r="J984">
        <v>1</v>
      </c>
    </row>
    <row r="985" spans="1:10" x14ac:dyDescent="0.3">
      <c r="A985" t="s">
        <v>9</v>
      </c>
      <c r="B985">
        <v>25</v>
      </c>
      <c r="C985">
        <v>1</v>
      </c>
      <c r="D985">
        <v>1</v>
      </c>
      <c r="E985">
        <v>0</v>
      </c>
      <c r="F985" t="s">
        <v>51</v>
      </c>
      <c r="G985" t="s">
        <v>16</v>
      </c>
      <c r="H985" t="s">
        <v>23</v>
      </c>
      <c r="I985" t="s">
        <v>13</v>
      </c>
      <c r="J985">
        <v>1</v>
      </c>
    </row>
    <row r="986" spans="1:10" x14ac:dyDescent="0.3">
      <c r="A986" t="s">
        <v>14</v>
      </c>
      <c r="B986">
        <v>9</v>
      </c>
      <c r="C986">
        <v>0</v>
      </c>
      <c r="D986">
        <v>0</v>
      </c>
      <c r="E986">
        <v>1</v>
      </c>
      <c r="F986" t="s">
        <v>10</v>
      </c>
      <c r="G986" t="s">
        <v>11</v>
      </c>
      <c r="H986" t="s">
        <v>12</v>
      </c>
      <c r="I986" t="s">
        <v>13</v>
      </c>
      <c r="J986">
        <v>0</v>
      </c>
    </row>
    <row r="987" spans="1:10" x14ac:dyDescent="0.3">
      <c r="A987" t="s">
        <v>9</v>
      </c>
      <c r="B987">
        <v>61</v>
      </c>
      <c r="C987">
        <v>1</v>
      </c>
      <c r="D987">
        <v>1</v>
      </c>
      <c r="E987">
        <v>0</v>
      </c>
      <c r="F987" t="s">
        <v>20</v>
      </c>
      <c r="G987" t="s">
        <v>16</v>
      </c>
      <c r="H987" t="s">
        <v>12</v>
      </c>
      <c r="I987" t="s">
        <v>13</v>
      </c>
      <c r="J987">
        <v>1</v>
      </c>
    </row>
    <row r="988" spans="1:10" x14ac:dyDescent="0.3">
      <c r="A988" t="s">
        <v>9</v>
      </c>
      <c r="B988">
        <v>18</v>
      </c>
      <c r="C988">
        <v>0</v>
      </c>
      <c r="D988">
        <v>0</v>
      </c>
      <c r="E988">
        <v>1</v>
      </c>
      <c r="F988" t="s">
        <v>50</v>
      </c>
      <c r="G988" t="s">
        <v>11</v>
      </c>
      <c r="H988" t="s">
        <v>12</v>
      </c>
      <c r="I988" t="s">
        <v>13</v>
      </c>
      <c r="J988">
        <v>0</v>
      </c>
    </row>
    <row r="989" spans="1:10" x14ac:dyDescent="0.3">
      <c r="A989" t="s">
        <v>9</v>
      </c>
      <c r="B989">
        <v>55</v>
      </c>
      <c r="C989">
        <v>1</v>
      </c>
      <c r="D989">
        <v>1</v>
      </c>
      <c r="E989">
        <v>0</v>
      </c>
      <c r="F989" t="s">
        <v>45</v>
      </c>
      <c r="G989" t="s">
        <v>16</v>
      </c>
      <c r="H989" t="s">
        <v>23</v>
      </c>
      <c r="I989" t="s">
        <v>13</v>
      </c>
      <c r="J989">
        <v>1</v>
      </c>
    </row>
    <row r="990" spans="1:10" x14ac:dyDescent="0.3">
      <c r="A990" t="s">
        <v>14</v>
      </c>
      <c r="B990">
        <v>11</v>
      </c>
      <c r="C990">
        <v>0</v>
      </c>
      <c r="D990">
        <v>0</v>
      </c>
      <c r="E990">
        <v>0</v>
      </c>
      <c r="F990" t="s">
        <v>44</v>
      </c>
      <c r="G990" t="s">
        <v>11</v>
      </c>
      <c r="H990" t="s">
        <v>12</v>
      </c>
      <c r="I990" t="s">
        <v>13</v>
      </c>
      <c r="J990">
        <v>0</v>
      </c>
    </row>
    <row r="991" spans="1:10" x14ac:dyDescent="0.3">
      <c r="A991" t="s">
        <v>14</v>
      </c>
      <c r="B991">
        <v>23</v>
      </c>
      <c r="C991">
        <v>1</v>
      </c>
      <c r="D991">
        <v>1</v>
      </c>
      <c r="E991">
        <v>0</v>
      </c>
      <c r="F991" t="s">
        <v>42</v>
      </c>
      <c r="G991" t="s">
        <v>16</v>
      </c>
      <c r="H991" t="s">
        <v>12</v>
      </c>
      <c r="I991" t="s">
        <v>13</v>
      </c>
      <c r="J991">
        <v>1</v>
      </c>
    </row>
    <row r="992" spans="1:10" x14ac:dyDescent="0.3">
      <c r="A992" t="s">
        <v>9</v>
      </c>
      <c r="B992">
        <v>37</v>
      </c>
      <c r="C992">
        <v>1</v>
      </c>
      <c r="D992">
        <v>1</v>
      </c>
      <c r="E992">
        <v>1</v>
      </c>
      <c r="F992" t="s">
        <v>32</v>
      </c>
      <c r="G992" t="s">
        <v>11</v>
      </c>
      <c r="H992" t="s">
        <v>18</v>
      </c>
      <c r="I992" t="s">
        <v>13</v>
      </c>
      <c r="J992">
        <v>1</v>
      </c>
    </row>
    <row r="993" spans="1:10" x14ac:dyDescent="0.3">
      <c r="A993" t="s">
        <v>9</v>
      </c>
      <c r="B993">
        <v>33</v>
      </c>
      <c r="C993">
        <v>0</v>
      </c>
      <c r="D993">
        <v>0</v>
      </c>
      <c r="E993">
        <v>1</v>
      </c>
      <c r="F993" t="s">
        <v>40</v>
      </c>
      <c r="G993" t="s">
        <v>16</v>
      </c>
      <c r="H993" t="s">
        <v>18</v>
      </c>
      <c r="I993" t="s">
        <v>13</v>
      </c>
      <c r="J993">
        <v>0</v>
      </c>
    </row>
    <row r="994" spans="1:10" x14ac:dyDescent="0.3">
      <c r="A994" t="s">
        <v>14</v>
      </c>
      <c r="B994">
        <v>18</v>
      </c>
      <c r="C994">
        <v>1</v>
      </c>
      <c r="D994">
        <v>1</v>
      </c>
      <c r="E994">
        <v>0</v>
      </c>
      <c r="F994" t="s">
        <v>25</v>
      </c>
      <c r="G994" t="s">
        <v>11</v>
      </c>
      <c r="H994" t="s">
        <v>12</v>
      </c>
      <c r="I994" t="s">
        <v>13</v>
      </c>
      <c r="J994">
        <v>1</v>
      </c>
    </row>
    <row r="995" spans="1:10" x14ac:dyDescent="0.3">
      <c r="A995" t="s">
        <v>9</v>
      </c>
      <c r="B995">
        <v>15</v>
      </c>
      <c r="C995">
        <v>0</v>
      </c>
      <c r="D995">
        <v>0</v>
      </c>
      <c r="E995">
        <v>0</v>
      </c>
      <c r="F995" t="s">
        <v>49</v>
      </c>
      <c r="G995" t="s">
        <v>16</v>
      </c>
      <c r="H995" t="s">
        <v>18</v>
      </c>
      <c r="I995" t="s">
        <v>13</v>
      </c>
      <c r="J995">
        <v>0</v>
      </c>
    </row>
    <row r="996" spans="1:10" x14ac:dyDescent="0.3">
      <c r="A996" t="s">
        <v>14</v>
      </c>
      <c r="B996">
        <v>44</v>
      </c>
      <c r="C996">
        <v>0</v>
      </c>
      <c r="D996">
        <v>0</v>
      </c>
      <c r="E996">
        <v>1</v>
      </c>
      <c r="F996" t="s">
        <v>38</v>
      </c>
      <c r="G996" t="s">
        <v>11</v>
      </c>
      <c r="H996" t="s">
        <v>18</v>
      </c>
      <c r="I996" t="s">
        <v>13</v>
      </c>
      <c r="J996">
        <v>0</v>
      </c>
    </row>
    <row r="997" spans="1:10" x14ac:dyDescent="0.3">
      <c r="A997" t="s">
        <v>9</v>
      </c>
      <c r="B997">
        <v>16</v>
      </c>
      <c r="C997">
        <v>1</v>
      </c>
      <c r="D997">
        <v>1</v>
      </c>
      <c r="E997">
        <v>0</v>
      </c>
      <c r="F997" t="s">
        <v>22</v>
      </c>
      <c r="G997" t="s">
        <v>16</v>
      </c>
      <c r="H997" t="s">
        <v>12</v>
      </c>
      <c r="I997" t="s">
        <v>13</v>
      </c>
      <c r="J997">
        <v>1</v>
      </c>
    </row>
    <row r="998" spans="1:10" x14ac:dyDescent="0.3">
      <c r="A998" t="s">
        <v>14</v>
      </c>
      <c r="B998">
        <v>41</v>
      </c>
      <c r="C998">
        <v>1</v>
      </c>
      <c r="D998">
        <v>1</v>
      </c>
      <c r="E998">
        <v>0</v>
      </c>
      <c r="F998" t="s">
        <v>17</v>
      </c>
      <c r="G998" t="s">
        <v>11</v>
      </c>
      <c r="H998" t="s">
        <v>18</v>
      </c>
      <c r="I998" t="s">
        <v>13</v>
      </c>
      <c r="J998">
        <v>1</v>
      </c>
    </row>
    <row r="999" spans="1:10" x14ac:dyDescent="0.3">
      <c r="A999" t="s">
        <v>14</v>
      </c>
      <c r="B999">
        <v>45</v>
      </c>
      <c r="C999">
        <v>0</v>
      </c>
      <c r="D999">
        <v>0</v>
      </c>
      <c r="E999">
        <v>1</v>
      </c>
      <c r="F999" t="s">
        <v>19</v>
      </c>
      <c r="G999" t="s">
        <v>16</v>
      </c>
      <c r="H999" t="s">
        <v>12</v>
      </c>
      <c r="I999" t="s">
        <v>13</v>
      </c>
      <c r="J999">
        <v>0</v>
      </c>
    </row>
    <row r="1000" spans="1:10" x14ac:dyDescent="0.3">
      <c r="A1000" t="s">
        <v>9</v>
      </c>
      <c r="B1000">
        <v>19</v>
      </c>
      <c r="C1000">
        <v>1</v>
      </c>
      <c r="D1000">
        <v>1</v>
      </c>
      <c r="E1000">
        <v>1</v>
      </c>
      <c r="F1000" t="s">
        <v>17</v>
      </c>
      <c r="G1000" t="s">
        <v>11</v>
      </c>
      <c r="H1000" t="s">
        <v>12</v>
      </c>
      <c r="I1000" t="s">
        <v>13</v>
      </c>
      <c r="J1000">
        <v>1</v>
      </c>
    </row>
    <row r="1001" spans="1:10" x14ac:dyDescent="0.3">
      <c r="A1001" t="s">
        <v>9</v>
      </c>
      <c r="B1001">
        <v>28</v>
      </c>
      <c r="C1001">
        <v>0</v>
      </c>
      <c r="D1001">
        <v>0</v>
      </c>
      <c r="E1001">
        <v>1</v>
      </c>
      <c r="F1001" t="s">
        <v>33</v>
      </c>
      <c r="G1001" t="s">
        <v>16</v>
      </c>
      <c r="H1001" t="s">
        <v>12</v>
      </c>
      <c r="I1001" t="s">
        <v>13</v>
      </c>
      <c r="J1001">
        <v>0</v>
      </c>
    </row>
  </sheetData>
  <sheetProtection algorithmName="SHA-512" hashValue="LyA9AEE5uFOgYGyOelzw8PC9ZRlTvcuOg4YAcuJWaT98BTJeUdasrlKlb/EzCML1pdFEWMHcUAuJvA9wm9uslw==" saltValue="ow+S5dbZVw9CO+Z68GXYeQ==" spinCount="100000" sheet="1" objects="1" scenarios="1" selectLockedCells="1" selectUnlockedCell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4457E-82B5-4F1D-B08B-7A56207D5442}">
  <sheetPr>
    <tabColor theme="6" tint="-0.249977111117893"/>
  </sheetPr>
  <dimension ref="B2:F17"/>
  <sheetViews>
    <sheetView topLeftCell="A2" workbookViewId="0">
      <selection activeCell="C2" sqref="C2:F5"/>
    </sheetView>
  </sheetViews>
  <sheetFormatPr defaultRowHeight="14.4" x14ac:dyDescent="0.3"/>
  <cols>
    <col min="2" max="2" width="41.109375" bestFit="1" customWidth="1"/>
    <col min="3" max="3" width="83.109375" bestFit="1" customWidth="1"/>
    <col min="6" max="6" width="21.88671875" customWidth="1"/>
  </cols>
  <sheetData>
    <row r="2" spans="2:6" x14ac:dyDescent="0.3">
      <c r="C2" s="69" t="s">
        <v>71</v>
      </c>
      <c r="D2" s="70"/>
      <c r="E2" s="70"/>
      <c r="F2" s="70"/>
    </row>
    <row r="3" spans="2:6" ht="14.4" customHeight="1" x14ac:dyDescent="0.3">
      <c r="C3" s="70"/>
      <c r="D3" s="70"/>
      <c r="E3" s="70"/>
      <c r="F3" s="70"/>
    </row>
    <row r="4" spans="2:6" x14ac:dyDescent="0.3">
      <c r="C4" s="70"/>
      <c r="D4" s="70"/>
      <c r="E4" s="70"/>
      <c r="F4" s="70"/>
    </row>
    <row r="5" spans="2:6" x14ac:dyDescent="0.3">
      <c r="C5" s="70"/>
      <c r="D5" s="70"/>
      <c r="E5" s="70"/>
      <c r="F5" s="70"/>
    </row>
    <row r="8" spans="2:6" ht="17.399999999999999" x14ac:dyDescent="0.3">
      <c r="B8" s="1" t="s">
        <v>60</v>
      </c>
      <c r="C8" s="3" t="s">
        <v>62</v>
      </c>
    </row>
    <row r="9" spans="2:6" ht="18" x14ac:dyDescent="0.35">
      <c r="B9" s="2" t="s">
        <v>53</v>
      </c>
      <c r="C9" s="3" t="s">
        <v>63</v>
      </c>
    </row>
    <row r="10" spans="2:6" ht="17.399999999999999" x14ac:dyDescent="0.3">
      <c r="B10" s="1" t="s">
        <v>61</v>
      </c>
      <c r="C10" s="4" t="s">
        <v>64</v>
      </c>
    </row>
    <row r="11" spans="2:6" ht="17.399999999999999" x14ac:dyDescent="0.3">
      <c r="B11" s="1" t="s">
        <v>73</v>
      </c>
      <c r="C11" s="4" t="s">
        <v>72</v>
      </c>
    </row>
    <row r="12" spans="2:6" ht="17.399999999999999" x14ac:dyDescent="0.3">
      <c r="B12" s="1" t="s">
        <v>54</v>
      </c>
      <c r="C12" s="3" t="s">
        <v>65</v>
      </c>
    </row>
    <row r="13" spans="2:6" ht="17.399999999999999" x14ac:dyDescent="0.3">
      <c r="B13" s="1" t="s">
        <v>55</v>
      </c>
      <c r="C13" s="3" t="s">
        <v>67</v>
      </c>
    </row>
    <row r="14" spans="2:6" ht="17.399999999999999" x14ac:dyDescent="0.3">
      <c r="B14" s="1" t="s">
        <v>56</v>
      </c>
      <c r="C14" s="3" t="s">
        <v>66</v>
      </c>
    </row>
    <row r="15" spans="2:6" ht="17.399999999999999" x14ac:dyDescent="0.3">
      <c r="B15" s="1" t="s">
        <v>57</v>
      </c>
      <c r="C15" s="3" t="s">
        <v>68</v>
      </c>
    </row>
    <row r="16" spans="2:6" ht="17.399999999999999" x14ac:dyDescent="0.3">
      <c r="B16" s="1" t="s">
        <v>58</v>
      </c>
      <c r="C16" s="3" t="s">
        <v>69</v>
      </c>
    </row>
    <row r="17" spans="2:3" ht="17.399999999999999" x14ac:dyDescent="0.3">
      <c r="B17" s="1" t="s">
        <v>59</v>
      </c>
      <c r="C17" s="3" t="s">
        <v>70</v>
      </c>
    </row>
  </sheetData>
  <mergeCells count="1">
    <mergeCell ref="C2:F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80252-2BFD-4C96-BB57-805C938EB55E}">
  <sheetPr>
    <tabColor rgb="FFFFC000"/>
  </sheetPr>
  <dimension ref="C6:S52"/>
  <sheetViews>
    <sheetView topLeftCell="A26" zoomScale="135" workbookViewId="0">
      <selection activeCell="M32" sqref="M32"/>
    </sheetView>
  </sheetViews>
  <sheetFormatPr defaultRowHeight="14.4" x14ac:dyDescent="0.3"/>
  <cols>
    <col min="3" max="3" width="18" bestFit="1" customWidth="1"/>
    <col min="4" max="4" width="30.44140625" bestFit="1" customWidth="1"/>
    <col min="5" max="5" width="6.21875" customWidth="1"/>
    <col min="8" max="8" width="5.21875" customWidth="1"/>
    <col min="9" max="9" width="23.21875" bestFit="1" customWidth="1"/>
    <col min="10" max="10" width="23.21875" customWidth="1"/>
    <col min="11" max="11" width="5.6640625" customWidth="1"/>
    <col min="12" max="12" width="17.44140625" bestFit="1" customWidth="1"/>
    <col min="13" max="13" width="17.44140625" customWidth="1"/>
    <col min="14" max="14" width="18" bestFit="1" customWidth="1"/>
    <col min="15" max="15" width="6.44140625" customWidth="1"/>
    <col min="16" max="16" width="7.21875" customWidth="1"/>
    <col min="17" max="17" width="17" customWidth="1"/>
    <col min="18" max="18" width="24.109375" customWidth="1"/>
    <col min="19" max="19" width="25.88671875" customWidth="1"/>
  </cols>
  <sheetData>
    <row r="6" spans="3:14" x14ac:dyDescent="0.3">
      <c r="F6" s="79" t="s">
        <v>92</v>
      </c>
      <c r="G6" s="80"/>
      <c r="H6" s="80"/>
      <c r="I6" s="80"/>
    </row>
    <row r="7" spans="3:14" x14ac:dyDescent="0.3">
      <c r="F7" s="80"/>
      <c r="G7" s="80"/>
      <c r="H7" s="80"/>
      <c r="I7" s="80"/>
    </row>
    <row r="10" spans="3:14" ht="15" thickBot="1" x14ac:dyDescent="0.35">
      <c r="C10" s="30" t="s">
        <v>0</v>
      </c>
      <c r="D10" s="7"/>
      <c r="E10" s="10"/>
      <c r="F10" s="73" t="s">
        <v>1</v>
      </c>
      <c r="G10" s="73"/>
      <c r="H10" s="12"/>
      <c r="I10" s="73" t="s">
        <v>74</v>
      </c>
      <c r="J10" s="73"/>
      <c r="K10" s="13"/>
      <c r="L10" s="7" t="s">
        <v>75</v>
      </c>
      <c r="M10" s="7"/>
    </row>
    <row r="11" spans="3:14" ht="15" thickBot="1" x14ac:dyDescent="0.35">
      <c r="C11" s="31" t="s">
        <v>77</v>
      </c>
      <c r="D11" s="32">
        <v>2</v>
      </c>
      <c r="E11" s="23"/>
      <c r="F11" s="37" t="s">
        <v>78</v>
      </c>
      <c r="G11" s="38">
        <v>8</v>
      </c>
      <c r="H11" s="34"/>
      <c r="I11" s="19" t="s">
        <v>77</v>
      </c>
      <c r="J11" s="20">
        <v>2</v>
      </c>
      <c r="K11" s="23"/>
      <c r="L11" s="24" t="s">
        <v>77</v>
      </c>
      <c r="M11" s="25">
        <v>2</v>
      </c>
    </row>
    <row r="12" spans="3:14" ht="15" thickBot="1" x14ac:dyDescent="0.35">
      <c r="C12" s="31" t="s">
        <v>82</v>
      </c>
      <c r="D12" s="32" t="s">
        <v>83</v>
      </c>
      <c r="E12" s="23"/>
      <c r="F12" s="37" t="s">
        <v>79</v>
      </c>
      <c r="G12" s="38">
        <v>65</v>
      </c>
      <c r="H12" s="34"/>
      <c r="I12" s="19" t="s">
        <v>82</v>
      </c>
      <c r="J12" s="20" t="s">
        <v>83</v>
      </c>
      <c r="K12" s="23"/>
      <c r="L12" s="24" t="s">
        <v>82</v>
      </c>
      <c r="M12" s="25" t="s">
        <v>83</v>
      </c>
    </row>
    <row r="13" spans="3:14" ht="15" thickBot="1" x14ac:dyDescent="0.35">
      <c r="C13" s="71" t="s">
        <v>84</v>
      </c>
      <c r="D13" s="32" t="s">
        <v>14</v>
      </c>
      <c r="E13" s="23"/>
      <c r="F13" s="37" t="s">
        <v>80</v>
      </c>
      <c r="G13" s="38">
        <v>36</v>
      </c>
      <c r="H13" s="35"/>
      <c r="I13" s="72" t="s">
        <v>84</v>
      </c>
      <c r="J13" s="20">
        <v>0</v>
      </c>
      <c r="K13" s="16"/>
      <c r="L13" s="74" t="s">
        <v>84</v>
      </c>
      <c r="M13" s="25">
        <v>0</v>
      </c>
    </row>
    <row r="14" spans="3:14" ht="15" thickBot="1" x14ac:dyDescent="0.35">
      <c r="C14" s="71"/>
      <c r="D14" s="33" t="s">
        <v>9</v>
      </c>
      <c r="E14" s="11"/>
      <c r="F14" s="37" t="s">
        <v>81</v>
      </c>
      <c r="G14" s="38">
        <v>16.5</v>
      </c>
      <c r="H14" s="36"/>
      <c r="I14" s="72"/>
      <c r="J14" s="15">
        <v>1</v>
      </c>
      <c r="L14" s="74"/>
      <c r="M14" s="26">
        <v>1</v>
      </c>
    </row>
    <row r="15" spans="3:14" ht="15" thickBot="1" x14ac:dyDescent="0.35">
      <c r="C15" s="17"/>
      <c r="D15" s="18"/>
      <c r="E15" s="8"/>
      <c r="I15" s="21" t="s">
        <v>85</v>
      </c>
      <c r="J15" s="22" t="s">
        <v>178</v>
      </c>
      <c r="K15" s="23"/>
      <c r="L15" s="27" t="s">
        <v>87</v>
      </c>
      <c r="M15" s="28" t="s">
        <v>94</v>
      </c>
    </row>
    <row r="16" spans="3:14" ht="27" thickBot="1" x14ac:dyDescent="0.35">
      <c r="C16" s="5"/>
      <c r="D16" s="6"/>
      <c r="E16" s="8"/>
      <c r="I16" s="89" t="s">
        <v>86</v>
      </c>
      <c r="J16" s="88" t="s">
        <v>112</v>
      </c>
      <c r="K16" s="23"/>
      <c r="L16" s="27" t="s">
        <v>88</v>
      </c>
      <c r="M16" s="28" t="s">
        <v>93</v>
      </c>
      <c r="N16" s="87"/>
    </row>
    <row r="17" spans="3:19" ht="15" thickBot="1" x14ac:dyDescent="0.35">
      <c r="C17" s="5"/>
      <c r="D17" s="5"/>
      <c r="E17" s="9"/>
      <c r="I17" s="17"/>
      <c r="J17" s="18"/>
      <c r="K17" s="8"/>
      <c r="N17" s="87"/>
    </row>
    <row r="18" spans="3:19" ht="15" thickBot="1" x14ac:dyDescent="0.35">
      <c r="C18" s="5"/>
      <c r="D18" s="5"/>
      <c r="E18" s="9"/>
      <c r="I18" s="5"/>
      <c r="J18" s="6"/>
      <c r="K18" s="8"/>
    </row>
    <row r="19" spans="3:19" x14ac:dyDescent="0.3">
      <c r="C19" s="76" t="s">
        <v>6</v>
      </c>
      <c r="D19" s="76"/>
      <c r="F19" s="76" t="s">
        <v>4</v>
      </c>
      <c r="G19" s="76"/>
      <c r="I19" s="77" t="s">
        <v>5</v>
      </c>
      <c r="J19" s="78"/>
      <c r="K19" s="8"/>
      <c r="L19" s="76" t="s">
        <v>7</v>
      </c>
      <c r="M19" s="76"/>
    </row>
    <row r="20" spans="3:19" x14ac:dyDescent="0.3">
      <c r="C20" s="15" t="s">
        <v>77</v>
      </c>
      <c r="D20" s="14">
        <v>3</v>
      </c>
      <c r="E20" s="8"/>
      <c r="F20" s="26" t="s">
        <v>77</v>
      </c>
      <c r="G20" s="26">
        <v>36</v>
      </c>
      <c r="I20" s="19" t="s">
        <v>77</v>
      </c>
      <c r="J20" s="20">
        <v>2</v>
      </c>
      <c r="K20" s="8"/>
      <c r="L20" s="26" t="s">
        <v>77</v>
      </c>
      <c r="M20" s="26">
        <v>1</v>
      </c>
    </row>
    <row r="21" spans="3:19" x14ac:dyDescent="0.3">
      <c r="C21" s="75" t="s">
        <v>84</v>
      </c>
      <c r="D21" s="15" t="s">
        <v>12</v>
      </c>
      <c r="E21" s="8"/>
      <c r="I21" s="72" t="s">
        <v>84</v>
      </c>
      <c r="J21" s="20" t="s">
        <v>16</v>
      </c>
      <c r="K21" s="8"/>
      <c r="L21" s="26" t="s">
        <v>91</v>
      </c>
      <c r="M21" s="29" t="s">
        <v>13</v>
      </c>
      <c r="P21" s="39"/>
      <c r="Q21" s="39"/>
      <c r="R21" s="39"/>
      <c r="S21" s="39"/>
    </row>
    <row r="22" spans="3:19" x14ac:dyDescent="0.3">
      <c r="C22" s="75"/>
      <c r="D22" s="15" t="s">
        <v>23</v>
      </c>
      <c r="E22" s="8"/>
      <c r="I22" s="72"/>
      <c r="J22" s="20" t="s">
        <v>11</v>
      </c>
      <c r="K22" s="8"/>
      <c r="P22" s="40"/>
      <c r="Q22" s="40"/>
      <c r="R22" s="40"/>
      <c r="S22" s="40"/>
    </row>
    <row r="23" spans="3:19" ht="15" thickBot="1" x14ac:dyDescent="0.35">
      <c r="C23" s="75"/>
      <c r="D23" s="15" t="s">
        <v>18</v>
      </c>
      <c r="I23" s="17"/>
      <c r="J23" s="18"/>
      <c r="K23" s="8"/>
      <c r="P23" s="40"/>
      <c r="Q23" s="40"/>
      <c r="R23" s="40"/>
      <c r="S23" s="40"/>
    </row>
    <row r="24" spans="3:19" ht="15" thickBot="1" x14ac:dyDescent="0.35">
      <c r="E24" s="8"/>
      <c r="P24" s="40"/>
      <c r="Q24" s="40"/>
      <c r="R24" s="40"/>
      <c r="S24" s="40"/>
    </row>
    <row r="25" spans="3:19" x14ac:dyDescent="0.3">
      <c r="E25" s="8"/>
      <c r="F25" s="76" t="s">
        <v>8</v>
      </c>
      <c r="G25" s="76"/>
      <c r="I25" s="77" t="s">
        <v>76</v>
      </c>
      <c r="J25" s="77"/>
      <c r="P25" s="40"/>
      <c r="Q25" s="40"/>
      <c r="R25" s="40"/>
      <c r="S25" s="40"/>
    </row>
    <row r="26" spans="3:19" x14ac:dyDescent="0.3">
      <c r="F26" s="26" t="s">
        <v>77</v>
      </c>
      <c r="G26" s="26">
        <v>2</v>
      </c>
      <c r="I26" s="19" t="s">
        <v>77</v>
      </c>
      <c r="J26" s="20">
        <v>2</v>
      </c>
    </row>
    <row r="27" spans="3:19" x14ac:dyDescent="0.3">
      <c r="F27" s="81" t="s">
        <v>84</v>
      </c>
      <c r="G27" s="26">
        <v>0</v>
      </c>
      <c r="I27" s="19" t="s">
        <v>82</v>
      </c>
      <c r="J27" s="20" t="s">
        <v>83</v>
      </c>
    </row>
    <row r="28" spans="3:19" x14ac:dyDescent="0.3">
      <c r="F28" s="81"/>
      <c r="G28" s="26">
        <v>1</v>
      </c>
      <c r="I28" s="72" t="s">
        <v>84</v>
      </c>
      <c r="J28" s="20">
        <v>0</v>
      </c>
    </row>
    <row r="29" spans="3:19" x14ac:dyDescent="0.3">
      <c r="I29" s="72"/>
      <c r="J29" s="15">
        <v>1</v>
      </c>
    </row>
    <row r="30" spans="3:19" x14ac:dyDescent="0.3">
      <c r="I30" s="19" t="s">
        <v>89</v>
      </c>
      <c r="J30" s="85" t="s">
        <v>95</v>
      </c>
    </row>
    <row r="31" spans="3:19" x14ac:dyDescent="0.3">
      <c r="I31" s="19" t="s">
        <v>90</v>
      </c>
      <c r="J31" s="86" t="s">
        <v>109</v>
      </c>
    </row>
    <row r="34" spans="3:12" x14ac:dyDescent="0.3">
      <c r="C34" s="43" t="s">
        <v>96</v>
      </c>
      <c r="E34" s="43" t="s">
        <v>101</v>
      </c>
    </row>
    <row r="36" spans="3:12" x14ac:dyDescent="0.3">
      <c r="C36" s="90" t="s">
        <v>140</v>
      </c>
      <c r="D36" t="s">
        <v>16</v>
      </c>
      <c r="E36" t="s">
        <v>102</v>
      </c>
      <c r="L36" s="112"/>
    </row>
    <row r="37" spans="3:12" x14ac:dyDescent="0.3">
      <c r="C37" s="90"/>
      <c r="D37" t="s">
        <v>11</v>
      </c>
    </row>
    <row r="38" spans="3:12" x14ac:dyDescent="0.3">
      <c r="C38" t="s">
        <v>97</v>
      </c>
      <c r="D38" t="s">
        <v>179</v>
      </c>
    </row>
    <row r="39" spans="3:12" x14ac:dyDescent="0.3">
      <c r="C39" t="s">
        <v>2</v>
      </c>
      <c r="D39" t="s">
        <v>98</v>
      </c>
    </row>
    <row r="40" spans="3:12" x14ac:dyDescent="0.3">
      <c r="C40" t="s">
        <v>3</v>
      </c>
      <c r="D40" t="s">
        <v>99</v>
      </c>
    </row>
    <row r="41" spans="3:12" x14ac:dyDescent="0.3">
      <c r="C41" t="s">
        <v>8</v>
      </c>
      <c r="D41" t="s">
        <v>100</v>
      </c>
    </row>
    <row r="44" spans="3:12" x14ac:dyDescent="0.3">
      <c r="C44" s="44" t="s">
        <v>177</v>
      </c>
      <c r="D44" s="44"/>
    </row>
    <row r="46" spans="3:12" x14ac:dyDescent="0.3">
      <c r="C46" s="84" t="s">
        <v>137</v>
      </c>
      <c r="D46" s="84" t="s">
        <v>176</v>
      </c>
    </row>
    <row r="47" spans="3:12" x14ac:dyDescent="0.3">
      <c r="C47" t="s">
        <v>167</v>
      </c>
      <c r="D47" t="s">
        <v>118</v>
      </c>
    </row>
    <row r="48" spans="3:12" x14ac:dyDescent="0.3">
      <c r="C48" t="s">
        <v>168</v>
      </c>
      <c r="D48" t="s">
        <v>174</v>
      </c>
    </row>
    <row r="49" spans="3:4" x14ac:dyDescent="0.3">
      <c r="C49" t="s">
        <v>169</v>
      </c>
      <c r="D49" t="s">
        <v>173</v>
      </c>
    </row>
    <row r="50" spans="3:4" x14ac:dyDescent="0.3">
      <c r="C50" t="s">
        <v>170</v>
      </c>
      <c r="D50" t="s">
        <v>114</v>
      </c>
    </row>
    <row r="51" spans="3:4" x14ac:dyDescent="0.3">
      <c r="C51" t="s">
        <v>171</v>
      </c>
      <c r="D51" t="s">
        <v>175</v>
      </c>
    </row>
    <row r="52" spans="3:4" x14ac:dyDescent="0.3">
      <c r="C52" t="s">
        <v>172</v>
      </c>
      <c r="D52" t="s">
        <v>119</v>
      </c>
    </row>
  </sheetData>
  <mergeCells count="17">
    <mergeCell ref="C36:C37"/>
    <mergeCell ref="L19:M19"/>
    <mergeCell ref="F6:I7"/>
    <mergeCell ref="I21:I22"/>
    <mergeCell ref="F27:F28"/>
    <mergeCell ref="I28:I29"/>
    <mergeCell ref="C21:C23"/>
    <mergeCell ref="F25:G25"/>
    <mergeCell ref="C19:D19"/>
    <mergeCell ref="I25:J25"/>
    <mergeCell ref="F19:G19"/>
    <mergeCell ref="I19:J19"/>
    <mergeCell ref="C13:C14"/>
    <mergeCell ref="I13:I14"/>
    <mergeCell ref="I10:J10"/>
    <mergeCell ref="F10:G10"/>
    <mergeCell ref="L13:L1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F3714-D90F-4DC9-9995-3307DFFB29CB}">
  <sheetPr>
    <tabColor theme="4" tint="0.59999389629810485"/>
  </sheetPr>
  <dimension ref="A1:J1001"/>
  <sheetViews>
    <sheetView topLeftCell="A4" workbookViewId="0">
      <selection activeCell="C18" sqref="C18"/>
    </sheetView>
  </sheetViews>
  <sheetFormatPr defaultRowHeight="14.4" x14ac:dyDescent="0.3"/>
  <cols>
    <col min="1" max="1" width="9.33203125" bestFit="1" customWidth="1"/>
    <col min="2" max="2" width="6.44140625" bestFit="1" customWidth="1"/>
    <col min="3" max="3" width="25.44140625" bestFit="1" customWidth="1"/>
    <col min="4" max="4" width="19" bestFit="1" customWidth="1"/>
    <col min="5" max="5" width="20.21875" bestFit="1" customWidth="1"/>
    <col min="6" max="6" width="17.88671875" bestFit="1" customWidth="1"/>
    <col min="7" max="7" width="11.77734375" bestFit="1" customWidth="1"/>
    <col min="8" max="8" width="12.5546875" bestFit="1" customWidth="1"/>
    <col min="9" max="9" width="9" bestFit="1" customWidth="1"/>
    <col min="10" max="10" width="11" bestFit="1" customWidth="1"/>
  </cols>
  <sheetData>
    <row r="1" spans="1:10" x14ac:dyDescent="0.3">
      <c r="A1" t="s">
        <v>0</v>
      </c>
      <c r="B1" t="s">
        <v>1</v>
      </c>
      <c r="C1" t="s">
        <v>74</v>
      </c>
      <c r="D1" t="s">
        <v>75</v>
      </c>
      <c r="E1" t="s">
        <v>76</v>
      </c>
      <c r="F1" t="s">
        <v>4</v>
      </c>
      <c r="G1" t="s">
        <v>5</v>
      </c>
      <c r="H1" t="s">
        <v>6</v>
      </c>
      <c r="I1" t="s">
        <v>7</v>
      </c>
      <c r="J1" t="s">
        <v>8</v>
      </c>
    </row>
    <row r="2" spans="1:10" x14ac:dyDescent="0.3">
      <c r="A2" t="s">
        <v>9</v>
      </c>
      <c r="B2">
        <v>45</v>
      </c>
      <c r="C2">
        <v>0</v>
      </c>
      <c r="D2">
        <v>0</v>
      </c>
      <c r="E2">
        <v>0</v>
      </c>
      <c r="F2" t="s">
        <v>10</v>
      </c>
      <c r="G2" t="s">
        <v>11</v>
      </c>
      <c r="H2" t="s">
        <v>12</v>
      </c>
      <c r="I2" t="s">
        <v>13</v>
      </c>
      <c r="J2">
        <v>0</v>
      </c>
    </row>
    <row r="3" spans="1:10" x14ac:dyDescent="0.3">
      <c r="A3" t="s">
        <v>14</v>
      </c>
      <c r="B3">
        <v>17</v>
      </c>
      <c r="C3">
        <v>0</v>
      </c>
      <c r="D3">
        <v>0</v>
      </c>
      <c r="E3">
        <v>1</v>
      </c>
      <c r="F3" t="s">
        <v>15</v>
      </c>
      <c r="G3" t="s">
        <v>16</v>
      </c>
      <c r="H3" t="s">
        <v>12</v>
      </c>
      <c r="I3" t="s">
        <v>13</v>
      </c>
      <c r="J3">
        <v>0</v>
      </c>
    </row>
    <row r="4" spans="1:10" x14ac:dyDescent="0.3">
      <c r="A4" t="s">
        <v>9</v>
      </c>
      <c r="B4">
        <v>29</v>
      </c>
      <c r="C4">
        <v>0</v>
      </c>
      <c r="D4">
        <v>0</v>
      </c>
      <c r="E4">
        <v>0</v>
      </c>
      <c r="F4" t="s">
        <v>17</v>
      </c>
      <c r="G4" t="s">
        <v>11</v>
      </c>
      <c r="H4" t="s">
        <v>18</v>
      </c>
      <c r="I4" t="s">
        <v>13</v>
      </c>
      <c r="J4">
        <v>0</v>
      </c>
    </row>
    <row r="5" spans="1:10" x14ac:dyDescent="0.3">
      <c r="A5" t="s">
        <v>9</v>
      </c>
      <c r="B5">
        <v>63</v>
      </c>
      <c r="C5">
        <v>1</v>
      </c>
      <c r="D5">
        <v>1</v>
      </c>
      <c r="E5">
        <v>0</v>
      </c>
      <c r="F5" t="s">
        <v>19</v>
      </c>
      <c r="G5" t="s">
        <v>16</v>
      </c>
      <c r="H5" t="s">
        <v>18</v>
      </c>
      <c r="I5" t="s">
        <v>13</v>
      </c>
      <c r="J5">
        <v>1</v>
      </c>
    </row>
    <row r="6" spans="1:10" x14ac:dyDescent="0.3">
      <c r="A6" t="s">
        <v>14</v>
      </c>
      <c r="B6">
        <v>22</v>
      </c>
      <c r="C6">
        <v>0</v>
      </c>
      <c r="D6">
        <v>0</v>
      </c>
      <c r="E6">
        <v>0</v>
      </c>
      <c r="F6" t="s">
        <v>20</v>
      </c>
      <c r="G6" t="s">
        <v>11</v>
      </c>
      <c r="H6" t="s">
        <v>12</v>
      </c>
      <c r="I6" t="s">
        <v>13</v>
      </c>
      <c r="J6">
        <v>0</v>
      </c>
    </row>
    <row r="7" spans="1:10" x14ac:dyDescent="0.3">
      <c r="A7" t="s">
        <v>9</v>
      </c>
      <c r="B7">
        <v>36</v>
      </c>
      <c r="C7">
        <v>0</v>
      </c>
      <c r="D7">
        <v>0</v>
      </c>
      <c r="E7">
        <v>1</v>
      </c>
      <c r="F7" t="s">
        <v>21</v>
      </c>
      <c r="G7" t="s">
        <v>16</v>
      </c>
      <c r="H7" t="s">
        <v>18</v>
      </c>
      <c r="I7" t="s">
        <v>13</v>
      </c>
      <c r="J7">
        <v>0</v>
      </c>
    </row>
    <row r="8" spans="1:10" x14ac:dyDescent="0.3">
      <c r="A8" t="s">
        <v>9</v>
      </c>
      <c r="B8">
        <v>15</v>
      </c>
      <c r="C8">
        <v>0</v>
      </c>
      <c r="D8">
        <v>0</v>
      </c>
      <c r="E8">
        <v>1</v>
      </c>
      <c r="F8" t="s">
        <v>22</v>
      </c>
      <c r="G8" t="s">
        <v>11</v>
      </c>
      <c r="H8" t="s">
        <v>12</v>
      </c>
      <c r="I8" t="s">
        <v>13</v>
      </c>
      <c r="J8">
        <v>0</v>
      </c>
    </row>
    <row r="9" spans="1:10" x14ac:dyDescent="0.3">
      <c r="A9" t="s">
        <v>14</v>
      </c>
      <c r="B9">
        <v>26</v>
      </c>
      <c r="C9">
        <v>0</v>
      </c>
      <c r="D9">
        <v>0</v>
      </c>
      <c r="E9">
        <v>0</v>
      </c>
      <c r="F9" t="s">
        <v>22</v>
      </c>
      <c r="G9" t="s">
        <v>16</v>
      </c>
      <c r="H9" t="s">
        <v>18</v>
      </c>
      <c r="I9" t="s">
        <v>13</v>
      </c>
      <c r="J9">
        <v>0</v>
      </c>
    </row>
    <row r="10" spans="1:10" x14ac:dyDescent="0.3">
      <c r="A10" t="s">
        <v>9</v>
      </c>
      <c r="B10">
        <v>31</v>
      </c>
      <c r="C10">
        <v>0</v>
      </c>
      <c r="D10">
        <v>0</v>
      </c>
      <c r="E10">
        <v>1</v>
      </c>
      <c r="F10" t="s">
        <v>21</v>
      </c>
      <c r="G10" t="s">
        <v>11</v>
      </c>
      <c r="H10" t="s">
        <v>23</v>
      </c>
      <c r="I10" t="s">
        <v>13</v>
      </c>
      <c r="J10">
        <v>0</v>
      </c>
    </row>
    <row r="11" spans="1:10" x14ac:dyDescent="0.3">
      <c r="A11" t="s">
        <v>9</v>
      </c>
      <c r="B11">
        <v>10</v>
      </c>
      <c r="C11">
        <v>0</v>
      </c>
      <c r="D11">
        <v>0</v>
      </c>
      <c r="E11">
        <v>1</v>
      </c>
      <c r="F11" t="s">
        <v>24</v>
      </c>
      <c r="G11" t="s">
        <v>16</v>
      </c>
      <c r="H11" t="s">
        <v>23</v>
      </c>
      <c r="I11" t="s">
        <v>13</v>
      </c>
      <c r="J11">
        <v>0</v>
      </c>
    </row>
    <row r="12" spans="1:10" x14ac:dyDescent="0.3">
      <c r="A12" t="s">
        <v>9</v>
      </c>
      <c r="B12">
        <v>31</v>
      </c>
      <c r="C12">
        <v>1</v>
      </c>
      <c r="D12">
        <v>1</v>
      </c>
      <c r="E12">
        <v>0</v>
      </c>
      <c r="F12" t="s">
        <v>25</v>
      </c>
      <c r="G12" t="s">
        <v>11</v>
      </c>
      <c r="H12" t="s">
        <v>12</v>
      </c>
      <c r="I12" t="s">
        <v>13</v>
      </c>
      <c r="J12">
        <v>1</v>
      </c>
    </row>
    <row r="13" spans="1:10" x14ac:dyDescent="0.3">
      <c r="A13" t="s">
        <v>14</v>
      </c>
      <c r="B13">
        <v>10</v>
      </c>
      <c r="C13">
        <v>0</v>
      </c>
      <c r="D13">
        <v>0</v>
      </c>
      <c r="E13">
        <v>0</v>
      </c>
      <c r="F13" t="s">
        <v>21</v>
      </c>
      <c r="G13" t="s">
        <v>16</v>
      </c>
      <c r="H13" t="s">
        <v>23</v>
      </c>
      <c r="I13" t="s">
        <v>13</v>
      </c>
      <c r="J13">
        <v>0</v>
      </c>
    </row>
    <row r="14" spans="1:10" x14ac:dyDescent="0.3">
      <c r="A14" t="s">
        <v>9</v>
      </c>
      <c r="B14">
        <v>13</v>
      </c>
      <c r="C14">
        <v>1</v>
      </c>
      <c r="D14">
        <v>1</v>
      </c>
      <c r="E14">
        <v>0</v>
      </c>
      <c r="F14" t="s">
        <v>26</v>
      </c>
      <c r="G14" t="s">
        <v>11</v>
      </c>
      <c r="H14" t="s">
        <v>12</v>
      </c>
      <c r="I14" t="s">
        <v>13</v>
      </c>
      <c r="J14">
        <v>1</v>
      </c>
    </row>
    <row r="15" spans="1:10" x14ac:dyDescent="0.3">
      <c r="A15" t="s">
        <v>9</v>
      </c>
      <c r="B15">
        <v>43</v>
      </c>
      <c r="C15">
        <v>1</v>
      </c>
      <c r="D15">
        <v>1</v>
      </c>
      <c r="E15">
        <v>0</v>
      </c>
      <c r="F15" t="s">
        <v>27</v>
      </c>
      <c r="G15" t="s">
        <v>16</v>
      </c>
      <c r="H15" t="s">
        <v>12</v>
      </c>
      <c r="I15" t="s">
        <v>13</v>
      </c>
      <c r="J15">
        <v>1</v>
      </c>
    </row>
    <row r="16" spans="1:10" x14ac:dyDescent="0.3">
      <c r="A16" t="s">
        <v>14</v>
      </c>
      <c r="B16">
        <v>52</v>
      </c>
      <c r="C16">
        <v>0</v>
      </c>
      <c r="D16">
        <v>0</v>
      </c>
      <c r="E16">
        <v>0</v>
      </c>
      <c r="F16" t="s">
        <v>28</v>
      </c>
      <c r="G16" t="s">
        <v>11</v>
      </c>
      <c r="H16" t="s">
        <v>18</v>
      </c>
      <c r="I16" t="s">
        <v>13</v>
      </c>
      <c r="J16">
        <v>0</v>
      </c>
    </row>
    <row r="17" spans="1:10" x14ac:dyDescent="0.3">
      <c r="A17" t="s">
        <v>9</v>
      </c>
      <c r="B17">
        <v>12</v>
      </c>
      <c r="C17">
        <v>1</v>
      </c>
      <c r="D17">
        <v>1</v>
      </c>
      <c r="E17">
        <v>1</v>
      </c>
      <c r="F17" t="s">
        <v>29</v>
      </c>
      <c r="G17" t="s">
        <v>16</v>
      </c>
      <c r="H17" t="s">
        <v>23</v>
      </c>
      <c r="I17" t="s">
        <v>13</v>
      </c>
      <c r="J17">
        <v>1</v>
      </c>
    </row>
    <row r="18" spans="1:10" x14ac:dyDescent="0.3">
      <c r="A18" t="s">
        <v>14</v>
      </c>
      <c r="B18">
        <v>18</v>
      </c>
      <c r="C18">
        <v>0</v>
      </c>
      <c r="D18">
        <v>0</v>
      </c>
      <c r="E18">
        <v>1</v>
      </c>
      <c r="F18" t="s">
        <v>30</v>
      </c>
      <c r="G18" t="s">
        <v>11</v>
      </c>
      <c r="H18" t="s">
        <v>23</v>
      </c>
      <c r="I18" t="s">
        <v>13</v>
      </c>
      <c r="J18">
        <v>0</v>
      </c>
    </row>
    <row r="19" spans="1:10" x14ac:dyDescent="0.3">
      <c r="A19" t="s">
        <v>14</v>
      </c>
      <c r="B19">
        <v>56</v>
      </c>
      <c r="C19">
        <v>0</v>
      </c>
      <c r="D19">
        <v>0</v>
      </c>
      <c r="E19">
        <v>1</v>
      </c>
      <c r="F19" t="s">
        <v>31</v>
      </c>
      <c r="G19" t="s">
        <v>16</v>
      </c>
      <c r="H19" t="s">
        <v>12</v>
      </c>
      <c r="I19" t="s">
        <v>13</v>
      </c>
      <c r="J19">
        <v>0</v>
      </c>
    </row>
    <row r="20" spans="1:10" x14ac:dyDescent="0.3">
      <c r="A20" t="s">
        <v>14</v>
      </c>
      <c r="B20">
        <v>9</v>
      </c>
      <c r="C20">
        <v>1</v>
      </c>
      <c r="D20">
        <v>1</v>
      </c>
      <c r="E20">
        <v>1</v>
      </c>
      <c r="F20" t="s">
        <v>10</v>
      </c>
      <c r="G20" t="s">
        <v>11</v>
      </c>
      <c r="H20" t="s">
        <v>23</v>
      </c>
      <c r="I20" t="s">
        <v>13</v>
      </c>
      <c r="J20">
        <v>1</v>
      </c>
    </row>
    <row r="21" spans="1:10" x14ac:dyDescent="0.3">
      <c r="A21" t="s">
        <v>14</v>
      </c>
      <c r="B21">
        <v>27</v>
      </c>
      <c r="C21">
        <v>1</v>
      </c>
      <c r="D21">
        <v>1</v>
      </c>
      <c r="E21">
        <v>0</v>
      </c>
      <c r="F21" t="s">
        <v>10</v>
      </c>
      <c r="G21" t="s">
        <v>16</v>
      </c>
      <c r="H21" t="s">
        <v>23</v>
      </c>
      <c r="I21" t="s">
        <v>13</v>
      </c>
      <c r="J21">
        <v>1</v>
      </c>
    </row>
    <row r="22" spans="1:10" x14ac:dyDescent="0.3">
      <c r="A22" t="s">
        <v>9</v>
      </c>
      <c r="B22">
        <v>31</v>
      </c>
      <c r="C22">
        <v>0</v>
      </c>
      <c r="D22">
        <v>1</v>
      </c>
      <c r="E22">
        <v>0</v>
      </c>
      <c r="F22" t="s">
        <v>32</v>
      </c>
      <c r="G22" t="s">
        <v>11</v>
      </c>
      <c r="H22" t="s">
        <v>23</v>
      </c>
      <c r="I22" t="s">
        <v>13</v>
      </c>
      <c r="J22">
        <v>1</v>
      </c>
    </row>
    <row r="23" spans="1:10" x14ac:dyDescent="0.3">
      <c r="A23" t="s">
        <v>9</v>
      </c>
      <c r="B23">
        <v>23</v>
      </c>
      <c r="C23">
        <v>0</v>
      </c>
      <c r="D23">
        <v>0</v>
      </c>
      <c r="E23">
        <v>0</v>
      </c>
      <c r="F23" t="s">
        <v>33</v>
      </c>
      <c r="G23" t="s">
        <v>16</v>
      </c>
      <c r="H23" t="s">
        <v>18</v>
      </c>
      <c r="I23" t="s">
        <v>13</v>
      </c>
      <c r="J23">
        <v>0</v>
      </c>
    </row>
    <row r="24" spans="1:10" x14ac:dyDescent="0.3">
      <c r="A24" t="s">
        <v>9</v>
      </c>
      <c r="B24">
        <v>37</v>
      </c>
      <c r="C24">
        <v>0</v>
      </c>
      <c r="D24">
        <v>0</v>
      </c>
      <c r="E24">
        <v>1</v>
      </c>
      <c r="F24" t="s">
        <v>34</v>
      </c>
      <c r="G24" t="s">
        <v>11</v>
      </c>
      <c r="H24" t="s">
        <v>23</v>
      </c>
      <c r="I24" t="s">
        <v>13</v>
      </c>
      <c r="J24">
        <v>0</v>
      </c>
    </row>
    <row r="25" spans="1:10" x14ac:dyDescent="0.3">
      <c r="A25" t="s">
        <v>14</v>
      </c>
      <c r="B25">
        <v>44</v>
      </c>
      <c r="C25">
        <v>0</v>
      </c>
      <c r="D25">
        <v>0</v>
      </c>
      <c r="E25">
        <v>1</v>
      </c>
      <c r="F25" t="s">
        <v>35</v>
      </c>
      <c r="G25" t="s">
        <v>16</v>
      </c>
      <c r="H25" t="s">
        <v>18</v>
      </c>
      <c r="I25" t="s">
        <v>13</v>
      </c>
      <c r="J25">
        <v>0</v>
      </c>
    </row>
    <row r="26" spans="1:10" x14ac:dyDescent="0.3">
      <c r="A26" t="s">
        <v>9</v>
      </c>
      <c r="B26">
        <v>17</v>
      </c>
      <c r="C26">
        <v>1</v>
      </c>
      <c r="D26">
        <v>1</v>
      </c>
      <c r="E26">
        <v>0</v>
      </c>
      <c r="F26" t="s">
        <v>26</v>
      </c>
      <c r="G26" t="s">
        <v>11</v>
      </c>
      <c r="H26" t="s">
        <v>12</v>
      </c>
      <c r="I26" t="s">
        <v>13</v>
      </c>
      <c r="J26">
        <v>1</v>
      </c>
    </row>
    <row r="27" spans="1:10" x14ac:dyDescent="0.3">
      <c r="A27" t="s">
        <v>9</v>
      </c>
      <c r="B27">
        <v>64</v>
      </c>
      <c r="C27">
        <v>1</v>
      </c>
      <c r="D27">
        <v>1</v>
      </c>
      <c r="E27">
        <v>1</v>
      </c>
      <c r="F27" t="s">
        <v>32</v>
      </c>
      <c r="G27" t="s">
        <v>16</v>
      </c>
      <c r="H27" t="s">
        <v>18</v>
      </c>
      <c r="I27" t="s">
        <v>13</v>
      </c>
      <c r="J27">
        <v>1</v>
      </c>
    </row>
    <row r="28" spans="1:10" x14ac:dyDescent="0.3">
      <c r="A28" t="s">
        <v>9</v>
      </c>
      <c r="B28">
        <v>65</v>
      </c>
      <c r="C28">
        <v>0</v>
      </c>
      <c r="D28">
        <v>0</v>
      </c>
      <c r="E28">
        <v>0</v>
      </c>
      <c r="F28" t="s">
        <v>20</v>
      </c>
      <c r="G28" t="s">
        <v>11</v>
      </c>
      <c r="H28" t="s">
        <v>23</v>
      </c>
      <c r="I28" t="s">
        <v>13</v>
      </c>
      <c r="J28">
        <v>0</v>
      </c>
    </row>
    <row r="29" spans="1:10" x14ac:dyDescent="0.3">
      <c r="A29" t="s">
        <v>9</v>
      </c>
      <c r="B29">
        <v>60</v>
      </c>
      <c r="C29">
        <v>0</v>
      </c>
      <c r="D29">
        <v>0</v>
      </c>
      <c r="E29">
        <v>0</v>
      </c>
      <c r="F29" t="s">
        <v>26</v>
      </c>
      <c r="G29" t="s">
        <v>16</v>
      </c>
      <c r="H29" t="s">
        <v>18</v>
      </c>
      <c r="I29" t="s">
        <v>13</v>
      </c>
      <c r="J29">
        <v>0</v>
      </c>
    </row>
    <row r="30" spans="1:10" x14ac:dyDescent="0.3">
      <c r="A30" t="s">
        <v>9</v>
      </c>
      <c r="B30">
        <v>44</v>
      </c>
      <c r="C30">
        <v>1</v>
      </c>
      <c r="D30">
        <v>1</v>
      </c>
      <c r="E30">
        <v>1</v>
      </c>
      <c r="F30" t="s">
        <v>25</v>
      </c>
      <c r="G30" t="s">
        <v>11</v>
      </c>
      <c r="H30" t="s">
        <v>23</v>
      </c>
      <c r="I30" t="s">
        <v>13</v>
      </c>
      <c r="J30">
        <v>1</v>
      </c>
    </row>
    <row r="31" spans="1:10" x14ac:dyDescent="0.3">
      <c r="A31" t="s">
        <v>9</v>
      </c>
      <c r="B31">
        <v>13</v>
      </c>
      <c r="C31">
        <v>0</v>
      </c>
      <c r="D31">
        <v>1</v>
      </c>
      <c r="E31">
        <v>0</v>
      </c>
      <c r="F31" t="s">
        <v>27</v>
      </c>
      <c r="G31" t="s">
        <v>16</v>
      </c>
      <c r="H31" t="s">
        <v>12</v>
      </c>
      <c r="I31" t="s">
        <v>13</v>
      </c>
      <c r="J31">
        <v>1</v>
      </c>
    </row>
    <row r="32" spans="1:10" x14ac:dyDescent="0.3">
      <c r="A32" t="s">
        <v>9</v>
      </c>
      <c r="B32">
        <v>35</v>
      </c>
      <c r="C32">
        <v>0</v>
      </c>
      <c r="D32">
        <v>0</v>
      </c>
      <c r="E32">
        <v>0</v>
      </c>
      <c r="F32" t="s">
        <v>36</v>
      </c>
      <c r="G32" t="s">
        <v>11</v>
      </c>
      <c r="H32" t="s">
        <v>12</v>
      </c>
      <c r="I32" t="s">
        <v>13</v>
      </c>
      <c r="J32">
        <v>0</v>
      </c>
    </row>
    <row r="33" spans="1:10" x14ac:dyDescent="0.3">
      <c r="A33" t="s">
        <v>14</v>
      </c>
      <c r="B33">
        <v>13</v>
      </c>
      <c r="C33">
        <v>1</v>
      </c>
      <c r="D33">
        <v>1</v>
      </c>
      <c r="E33">
        <v>1</v>
      </c>
      <c r="F33" t="s">
        <v>32</v>
      </c>
      <c r="G33" t="s">
        <v>16</v>
      </c>
      <c r="H33" t="s">
        <v>23</v>
      </c>
      <c r="I33" t="s">
        <v>13</v>
      </c>
      <c r="J33">
        <v>1</v>
      </c>
    </row>
    <row r="34" spans="1:10" x14ac:dyDescent="0.3">
      <c r="A34" t="s">
        <v>9</v>
      </c>
      <c r="B34">
        <v>39</v>
      </c>
      <c r="C34">
        <v>0</v>
      </c>
      <c r="D34">
        <v>0</v>
      </c>
      <c r="E34">
        <v>1</v>
      </c>
      <c r="F34" t="s">
        <v>37</v>
      </c>
      <c r="G34" t="s">
        <v>11</v>
      </c>
      <c r="H34" t="s">
        <v>12</v>
      </c>
      <c r="I34" t="s">
        <v>13</v>
      </c>
      <c r="J34">
        <v>0</v>
      </c>
    </row>
    <row r="35" spans="1:10" x14ac:dyDescent="0.3">
      <c r="A35" t="s">
        <v>9</v>
      </c>
      <c r="B35">
        <v>27</v>
      </c>
      <c r="C35">
        <v>0</v>
      </c>
      <c r="D35">
        <v>0</v>
      </c>
      <c r="E35">
        <v>1</v>
      </c>
      <c r="F35" t="s">
        <v>38</v>
      </c>
      <c r="G35" t="s">
        <v>16</v>
      </c>
      <c r="H35" t="s">
        <v>18</v>
      </c>
      <c r="I35" t="s">
        <v>13</v>
      </c>
      <c r="J35">
        <v>0</v>
      </c>
    </row>
    <row r="36" spans="1:10" x14ac:dyDescent="0.3">
      <c r="A36" t="s">
        <v>14</v>
      </c>
      <c r="B36">
        <v>11</v>
      </c>
      <c r="C36">
        <v>1</v>
      </c>
      <c r="D36">
        <v>1</v>
      </c>
      <c r="E36">
        <v>1</v>
      </c>
      <c r="F36" t="s">
        <v>39</v>
      </c>
      <c r="G36" t="s">
        <v>11</v>
      </c>
      <c r="H36" t="s">
        <v>23</v>
      </c>
      <c r="I36" t="s">
        <v>13</v>
      </c>
      <c r="J36">
        <v>1</v>
      </c>
    </row>
    <row r="37" spans="1:10" x14ac:dyDescent="0.3">
      <c r="A37" t="s">
        <v>9</v>
      </c>
      <c r="B37">
        <v>46</v>
      </c>
      <c r="C37">
        <v>1</v>
      </c>
      <c r="D37">
        <v>1</v>
      </c>
      <c r="E37">
        <v>1</v>
      </c>
      <c r="F37" t="s">
        <v>36</v>
      </c>
      <c r="G37" t="s">
        <v>16</v>
      </c>
      <c r="H37" t="s">
        <v>18</v>
      </c>
      <c r="I37" t="s">
        <v>13</v>
      </c>
      <c r="J37">
        <v>1</v>
      </c>
    </row>
    <row r="38" spans="1:10" x14ac:dyDescent="0.3">
      <c r="A38" t="s">
        <v>14</v>
      </c>
      <c r="B38">
        <v>10</v>
      </c>
      <c r="C38">
        <v>1</v>
      </c>
      <c r="D38">
        <v>1</v>
      </c>
      <c r="E38">
        <v>0</v>
      </c>
      <c r="F38" t="s">
        <v>40</v>
      </c>
      <c r="G38" t="s">
        <v>11</v>
      </c>
      <c r="H38" t="s">
        <v>23</v>
      </c>
      <c r="I38" t="s">
        <v>13</v>
      </c>
      <c r="J38">
        <v>1</v>
      </c>
    </row>
    <row r="39" spans="1:10" x14ac:dyDescent="0.3">
      <c r="A39" t="s">
        <v>9</v>
      </c>
      <c r="B39">
        <v>13</v>
      </c>
      <c r="C39">
        <v>0</v>
      </c>
      <c r="D39">
        <v>0</v>
      </c>
      <c r="E39">
        <v>1</v>
      </c>
      <c r="F39" t="s">
        <v>41</v>
      </c>
      <c r="G39" t="s">
        <v>16</v>
      </c>
      <c r="H39" t="s">
        <v>12</v>
      </c>
      <c r="I39" t="s">
        <v>13</v>
      </c>
      <c r="J39">
        <v>0</v>
      </c>
    </row>
    <row r="40" spans="1:10" x14ac:dyDescent="0.3">
      <c r="A40" t="s">
        <v>14</v>
      </c>
      <c r="B40">
        <v>50</v>
      </c>
      <c r="C40">
        <v>0</v>
      </c>
      <c r="D40">
        <v>1</v>
      </c>
      <c r="E40">
        <v>0</v>
      </c>
      <c r="F40" t="s">
        <v>39</v>
      </c>
      <c r="G40" t="s">
        <v>11</v>
      </c>
      <c r="H40" t="s">
        <v>18</v>
      </c>
      <c r="I40" t="s">
        <v>13</v>
      </c>
      <c r="J40">
        <v>1</v>
      </c>
    </row>
    <row r="41" spans="1:10" x14ac:dyDescent="0.3">
      <c r="A41" t="s">
        <v>14</v>
      </c>
      <c r="B41">
        <v>34</v>
      </c>
      <c r="C41">
        <v>1</v>
      </c>
      <c r="D41">
        <v>1</v>
      </c>
      <c r="E41">
        <v>0</v>
      </c>
      <c r="F41" t="s">
        <v>10</v>
      </c>
      <c r="G41" t="s">
        <v>16</v>
      </c>
      <c r="H41" t="s">
        <v>18</v>
      </c>
      <c r="I41" t="s">
        <v>13</v>
      </c>
      <c r="J41">
        <v>1</v>
      </c>
    </row>
    <row r="42" spans="1:10" x14ac:dyDescent="0.3">
      <c r="A42" t="s">
        <v>9</v>
      </c>
      <c r="B42">
        <v>54</v>
      </c>
      <c r="C42">
        <v>0</v>
      </c>
      <c r="D42">
        <v>0</v>
      </c>
      <c r="E42">
        <v>1</v>
      </c>
      <c r="F42" t="s">
        <v>30</v>
      </c>
      <c r="G42" t="s">
        <v>11</v>
      </c>
      <c r="H42" t="s">
        <v>23</v>
      </c>
      <c r="I42" t="s">
        <v>13</v>
      </c>
      <c r="J42">
        <v>0</v>
      </c>
    </row>
    <row r="43" spans="1:10" x14ac:dyDescent="0.3">
      <c r="A43" t="s">
        <v>9</v>
      </c>
      <c r="B43">
        <v>16</v>
      </c>
      <c r="C43">
        <v>0</v>
      </c>
      <c r="D43">
        <v>0</v>
      </c>
      <c r="E43">
        <v>1</v>
      </c>
      <c r="F43" t="s">
        <v>36</v>
      </c>
      <c r="G43" t="s">
        <v>16</v>
      </c>
      <c r="H43" t="s">
        <v>18</v>
      </c>
      <c r="I43" t="s">
        <v>13</v>
      </c>
      <c r="J43">
        <v>0</v>
      </c>
    </row>
    <row r="44" spans="1:10" x14ac:dyDescent="0.3">
      <c r="A44" t="s">
        <v>14</v>
      </c>
      <c r="B44">
        <v>51</v>
      </c>
      <c r="C44">
        <v>1</v>
      </c>
      <c r="D44">
        <v>1</v>
      </c>
      <c r="E44">
        <v>0</v>
      </c>
      <c r="F44" t="s">
        <v>38</v>
      </c>
      <c r="G44" t="s">
        <v>11</v>
      </c>
      <c r="H44" t="s">
        <v>23</v>
      </c>
      <c r="I44" t="s">
        <v>13</v>
      </c>
      <c r="J44">
        <v>1</v>
      </c>
    </row>
    <row r="45" spans="1:10" x14ac:dyDescent="0.3">
      <c r="A45" t="s">
        <v>9</v>
      </c>
      <c r="B45">
        <v>9</v>
      </c>
      <c r="C45">
        <v>1</v>
      </c>
      <c r="D45">
        <v>1</v>
      </c>
      <c r="E45">
        <v>1</v>
      </c>
      <c r="F45" t="s">
        <v>42</v>
      </c>
      <c r="G45" t="s">
        <v>16</v>
      </c>
      <c r="H45" t="s">
        <v>23</v>
      </c>
      <c r="I45" t="s">
        <v>13</v>
      </c>
      <c r="J45">
        <v>1</v>
      </c>
    </row>
    <row r="46" spans="1:10" x14ac:dyDescent="0.3">
      <c r="A46" t="s">
        <v>9</v>
      </c>
      <c r="B46">
        <v>37</v>
      </c>
      <c r="C46">
        <v>0</v>
      </c>
      <c r="D46">
        <v>0</v>
      </c>
      <c r="E46">
        <v>0</v>
      </c>
      <c r="F46" t="s">
        <v>43</v>
      </c>
      <c r="G46" t="s">
        <v>11</v>
      </c>
      <c r="H46" t="s">
        <v>12</v>
      </c>
      <c r="I46" t="s">
        <v>13</v>
      </c>
      <c r="J46">
        <v>0</v>
      </c>
    </row>
    <row r="47" spans="1:10" x14ac:dyDescent="0.3">
      <c r="A47" t="s">
        <v>9</v>
      </c>
      <c r="B47">
        <v>13</v>
      </c>
      <c r="C47">
        <v>0</v>
      </c>
      <c r="D47">
        <v>0</v>
      </c>
      <c r="E47">
        <v>0</v>
      </c>
      <c r="F47" t="s">
        <v>44</v>
      </c>
      <c r="G47" t="s">
        <v>16</v>
      </c>
      <c r="H47" t="s">
        <v>23</v>
      </c>
      <c r="I47" t="s">
        <v>13</v>
      </c>
      <c r="J47">
        <v>0</v>
      </c>
    </row>
    <row r="48" spans="1:10" x14ac:dyDescent="0.3">
      <c r="A48" t="s">
        <v>14</v>
      </c>
      <c r="B48">
        <v>62</v>
      </c>
      <c r="C48">
        <v>0</v>
      </c>
      <c r="D48">
        <v>1</v>
      </c>
      <c r="E48">
        <v>0</v>
      </c>
      <c r="F48" t="s">
        <v>39</v>
      </c>
      <c r="G48" t="s">
        <v>11</v>
      </c>
      <c r="H48" t="s">
        <v>23</v>
      </c>
      <c r="I48" t="s">
        <v>13</v>
      </c>
      <c r="J48">
        <v>1</v>
      </c>
    </row>
    <row r="49" spans="1:10" x14ac:dyDescent="0.3">
      <c r="A49" t="s">
        <v>14</v>
      </c>
      <c r="B49">
        <v>17</v>
      </c>
      <c r="C49">
        <v>0</v>
      </c>
      <c r="D49">
        <v>0</v>
      </c>
      <c r="E49">
        <v>1</v>
      </c>
      <c r="F49" t="s">
        <v>36</v>
      </c>
      <c r="G49" t="s">
        <v>16</v>
      </c>
      <c r="H49" t="s">
        <v>12</v>
      </c>
      <c r="I49" t="s">
        <v>13</v>
      </c>
      <c r="J49">
        <v>0</v>
      </c>
    </row>
    <row r="50" spans="1:10" x14ac:dyDescent="0.3">
      <c r="A50" t="s">
        <v>9</v>
      </c>
      <c r="B50">
        <v>35</v>
      </c>
      <c r="C50">
        <v>0</v>
      </c>
      <c r="D50">
        <v>0</v>
      </c>
      <c r="E50">
        <v>1</v>
      </c>
      <c r="F50" t="s">
        <v>31</v>
      </c>
      <c r="G50" t="s">
        <v>11</v>
      </c>
      <c r="H50" t="s">
        <v>23</v>
      </c>
      <c r="I50" t="s">
        <v>13</v>
      </c>
      <c r="J50">
        <v>0</v>
      </c>
    </row>
    <row r="51" spans="1:10" x14ac:dyDescent="0.3">
      <c r="A51" t="s">
        <v>14</v>
      </c>
      <c r="B51">
        <v>9</v>
      </c>
      <c r="C51">
        <v>1</v>
      </c>
      <c r="D51">
        <v>1</v>
      </c>
      <c r="E51">
        <v>0</v>
      </c>
      <c r="F51" t="s">
        <v>45</v>
      </c>
      <c r="G51" t="s">
        <v>16</v>
      </c>
      <c r="H51" t="s">
        <v>23</v>
      </c>
      <c r="I51" t="s">
        <v>13</v>
      </c>
      <c r="J51">
        <v>1</v>
      </c>
    </row>
    <row r="52" spans="1:10" x14ac:dyDescent="0.3">
      <c r="A52" t="s">
        <v>14</v>
      </c>
      <c r="B52">
        <v>14</v>
      </c>
      <c r="C52">
        <v>1</v>
      </c>
      <c r="D52">
        <v>1</v>
      </c>
      <c r="E52">
        <v>0</v>
      </c>
      <c r="F52" t="s">
        <v>32</v>
      </c>
      <c r="G52" t="s">
        <v>11</v>
      </c>
      <c r="H52" t="s">
        <v>23</v>
      </c>
      <c r="I52" t="s">
        <v>13</v>
      </c>
      <c r="J52">
        <v>1</v>
      </c>
    </row>
    <row r="53" spans="1:10" x14ac:dyDescent="0.3">
      <c r="A53" t="s">
        <v>14</v>
      </c>
      <c r="B53">
        <v>37</v>
      </c>
      <c r="C53">
        <v>0</v>
      </c>
      <c r="D53">
        <v>0</v>
      </c>
      <c r="E53">
        <v>0</v>
      </c>
      <c r="F53" t="s">
        <v>30</v>
      </c>
      <c r="G53" t="s">
        <v>16</v>
      </c>
      <c r="H53" t="s">
        <v>23</v>
      </c>
      <c r="I53" t="s">
        <v>13</v>
      </c>
      <c r="J53">
        <v>0</v>
      </c>
    </row>
    <row r="54" spans="1:10" x14ac:dyDescent="0.3">
      <c r="A54" t="s">
        <v>14</v>
      </c>
      <c r="B54">
        <v>13</v>
      </c>
      <c r="C54">
        <v>0</v>
      </c>
      <c r="D54">
        <v>0</v>
      </c>
      <c r="E54">
        <v>0</v>
      </c>
      <c r="F54" t="s">
        <v>46</v>
      </c>
      <c r="G54" t="s">
        <v>11</v>
      </c>
      <c r="H54" t="s">
        <v>18</v>
      </c>
      <c r="I54" t="s">
        <v>13</v>
      </c>
      <c r="J54">
        <v>0</v>
      </c>
    </row>
    <row r="55" spans="1:10" x14ac:dyDescent="0.3">
      <c r="A55" t="s">
        <v>14</v>
      </c>
      <c r="B55">
        <v>57</v>
      </c>
      <c r="C55">
        <v>0</v>
      </c>
      <c r="D55">
        <v>0</v>
      </c>
      <c r="E55">
        <v>0</v>
      </c>
      <c r="F55" t="s">
        <v>29</v>
      </c>
      <c r="G55" t="s">
        <v>16</v>
      </c>
      <c r="H55" t="s">
        <v>12</v>
      </c>
      <c r="I55" t="s">
        <v>13</v>
      </c>
      <c r="J55">
        <v>0</v>
      </c>
    </row>
    <row r="56" spans="1:10" x14ac:dyDescent="0.3">
      <c r="A56" t="s">
        <v>9</v>
      </c>
      <c r="B56">
        <v>41</v>
      </c>
      <c r="C56">
        <v>0</v>
      </c>
      <c r="D56">
        <v>0</v>
      </c>
      <c r="E56">
        <v>0</v>
      </c>
      <c r="F56" t="s">
        <v>19</v>
      </c>
      <c r="G56" t="s">
        <v>11</v>
      </c>
      <c r="H56" t="s">
        <v>12</v>
      </c>
      <c r="I56" t="s">
        <v>13</v>
      </c>
      <c r="J56">
        <v>0</v>
      </c>
    </row>
    <row r="57" spans="1:10" x14ac:dyDescent="0.3">
      <c r="A57" t="s">
        <v>14</v>
      </c>
      <c r="B57">
        <v>24</v>
      </c>
      <c r="C57">
        <v>1</v>
      </c>
      <c r="D57">
        <v>1</v>
      </c>
      <c r="E57">
        <v>1</v>
      </c>
      <c r="F57" t="s">
        <v>31</v>
      </c>
      <c r="G57" t="s">
        <v>16</v>
      </c>
      <c r="H57" t="s">
        <v>12</v>
      </c>
      <c r="I57" t="s">
        <v>13</v>
      </c>
      <c r="J57">
        <v>1</v>
      </c>
    </row>
    <row r="58" spans="1:10" x14ac:dyDescent="0.3">
      <c r="A58" t="s">
        <v>14</v>
      </c>
      <c r="B58">
        <v>28</v>
      </c>
      <c r="C58">
        <v>0</v>
      </c>
      <c r="D58">
        <v>0</v>
      </c>
      <c r="E58">
        <v>0</v>
      </c>
      <c r="F58" t="s">
        <v>20</v>
      </c>
      <c r="G58" t="s">
        <v>11</v>
      </c>
      <c r="H58" t="s">
        <v>18</v>
      </c>
      <c r="I58" t="s">
        <v>13</v>
      </c>
      <c r="J58">
        <v>0</v>
      </c>
    </row>
    <row r="59" spans="1:10" x14ac:dyDescent="0.3">
      <c r="A59" t="s">
        <v>14</v>
      </c>
      <c r="B59">
        <v>25</v>
      </c>
      <c r="C59">
        <v>0</v>
      </c>
      <c r="D59">
        <v>0</v>
      </c>
      <c r="E59">
        <v>1</v>
      </c>
      <c r="F59" t="s">
        <v>26</v>
      </c>
      <c r="G59" t="s">
        <v>16</v>
      </c>
      <c r="H59" t="s">
        <v>18</v>
      </c>
      <c r="I59" t="s">
        <v>13</v>
      </c>
      <c r="J59">
        <v>0</v>
      </c>
    </row>
    <row r="60" spans="1:10" x14ac:dyDescent="0.3">
      <c r="A60" t="s">
        <v>14</v>
      </c>
      <c r="B60">
        <v>44</v>
      </c>
      <c r="C60">
        <v>0</v>
      </c>
      <c r="D60">
        <v>0</v>
      </c>
      <c r="E60">
        <v>1</v>
      </c>
      <c r="F60" t="s">
        <v>41</v>
      </c>
      <c r="G60" t="s">
        <v>11</v>
      </c>
      <c r="H60" t="s">
        <v>23</v>
      </c>
      <c r="I60" t="s">
        <v>13</v>
      </c>
      <c r="J60">
        <v>0</v>
      </c>
    </row>
    <row r="61" spans="1:10" x14ac:dyDescent="0.3">
      <c r="A61" t="s">
        <v>14</v>
      </c>
      <c r="B61">
        <v>10</v>
      </c>
      <c r="C61">
        <v>1</v>
      </c>
      <c r="D61">
        <v>1</v>
      </c>
      <c r="E61">
        <v>1</v>
      </c>
      <c r="F61" t="s">
        <v>38</v>
      </c>
      <c r="G61" t="s">
        <v>16</v>
      </c>
      <c r="H61" t="s">
        <v>23</v>
      </c>
      <c r="I61" t="s">
        <v>13</v>
      </c>
      <c r="J61">
        <v>1</v>
      </c>
    </row>
    <row r="62" spans="1:10" x14ac:dyDescent="0.3">
      <c r="A62" t="s">
        <v>9</v>
      </c>
      <c r="B62">
        <v>13</v>
      </c>
      <c r="C62">
        <v>1</v>
      </c>
      <c r="D62">
        <v>1</v>
      </c>
      <c r="E62">
        <v>1</v>
      </c>
      <c r="F62" t="s">
        <v>21</v>
      </c>
      <c r="G62" t="s">
        <v>11</v>
      </c>
      <c r="H62" t="s">
        <v>18</v>
      </c>
      <c r="I62" t="s">
        <v>13</v>
      </c>
      <c r="J62">
        <v>1</v>
      </c>
    </row>
    <row r="63" spans="1:10" x14ac:dyDescent="0.3">
      <c r="A63" t="s">
        <v>9</v>
      </c>
      <c r="B63">
        <v>65</v>
      </c>
      <c r="C63">
        <v>1</v>
      </c>
      <c r="D63">
        <v>1</v>
      </c>
      <c r="E63">
        <v>0</v>
      </c>
      <c r="F63" t="s">
        <v>47</v>
      </c>
      <c r="G63" t="s">
        <v>16</v>
      </c>
      <c r="H63" t="s">
        <v>12</v>
      </c>
      <c r="I63" t="s">
        <v>13</v>
      </c>
      <c r="J63">
        <v>1</v>
      </c>
    </row>
    <row r="64" spans="1:10" x14ac:dyDescent="0.3">
      <c r="A64" t="s">
        <v>14</v>
      </c>
      <c r="B64">
        <v>53</v>
      </c>
      <c r="C64">
        <v>0</v>
      </c>
      <c r="D64">
        <v>0</v>
      </c>
      <c r="E64">
        <v>0</v>
      </c>
      <c r="F64" t="s">
        <v>37</v>
      </c>
      <c r="G64" t="s">
        <v>11</v>
      </c>
      <c r="H64" t="s">
        <v>18</v>
      </c>
      <c r="I64" t="s">
        <v>13</v>
      </c>
      <c r="J64">
        <v>0</v>
      </c>
    </row>
    <row r="65" spans="1:10" x14ac:dyDescent="0.3">
      <c r="A65" t="s">
        <v>14</v>
      </c>
      <c r="B65">
        <v>54</v>
      </c>
      <c r="C65">
        <v>0</v>
      </c>
      <c r="D65">
        <v>0</v>
      </c>
      <c r="E65">
        <v>1</v>
      </c>
      <c r="F65" t="s">
        <v>43</v>
      </c>
      <c r="G65" t="s">
        <v>16</v>
      </c>
      <c r="H65" t="s">
        <v>18</v>
      </c>
      <c r="I65" t="s">
        <v>13</v>
      </c>
      <c r="J65">
        <v>0</v>
      </c>
    </row>
    <row r="66" spans="1:10" x14ac:dyDescent="0.3">
      <c r="A66" t="s">
        <v>9</v>
      </c>
      <c r="B66">
        <v>59</v>
      </c>
      <c r="C66">
        <v>0</v>
      </c>
      <c r="D66">
        <v>0</v>
      </c>
      <c r="E66">
        <v>1</v>
      </c>
      <c r="F66" t="s">
        <v>48</v>
      </c>
      <c r="G66" t="s">
        <v>11</v>
      </c>
      <c r="H66" t="s">
        <v>12</v>
      </c>
      <c r="I66" t="s">
        <v>13</v>
      </c>
      <c r="J66">
        <v>0</v>
      </c>
    </row>
    <row r="67" spans="1:10" x14ac:dyDescent="0.3">
      <c r="A67" t="s">
        <v>14</v>
      </c>
      <c r="B67">
        <v>47</v>
      </c>
      <c r="C67">
        <v>1</v>
      </c>
      <c r="D67">
        <v>1</v>
      </c>
      <c r="E67">
        <v>1</v>
      </c>
      <c r="F67" t="s">
        <v>49</v>
      </c>
      <c r="G67" t="s">
        <v>16</v>
      </c>
      <c r="H67" t="s">
        <v>12</v>
      </c>
      <c r="I67" t="s">
        <v>13</v>
      </c>
      <c r="J67">
        <v>1</v>
      </c>
    </row>
    <row r="68" spans="1:10" x14ac:dyDescent="0.3">
      <c r="A68" t="s">
        <v>9</v>
      </c>
      <c r="B68">
        <v>28</v>
      </c>
      <c r="C68">
        <v>1</v>
      </c>
      <c r="D68">
        <v>1</v>
      </c>
      <c r="E68">
        <v>1</v>
      </c>
      <c r="F68" t="s">
        <v>38</v>
      </c>
      <c r="G68" t="s">
        <v>11</v>
      </c>
      <c r="H68" t="s">
        <v>18</v>
      </c>
      <c r="I68" t="s">
        <v>13</v>
      </c>
      <c r="J68">
        <v>1</v>
      </c>
    </row>
    <row r="69" spans="1:10" x14ac:dyDescent="0.3">
      <c r="A69" t="s">
        <v>9</v>
      </c>
      <c r="B69">
        <v>38</v>
      </c>
      <c r="C69">
        <v>1</v>
      </c>
      <c r="D69">
        <v>1</v>
      </c>
      <c r="E69">
        <v>0</v>
      </c>
      <c r="F69" t="s">
        <v>49</v>
      </c>
      <c r="G69" t="s">
        <v>16</v>
      </c>
      <c r="H69" t="s">
        <v>23</v>
      </c>
      <c r="I69" t="s">
        <v>13</v>
      </c>
      <c r="J69">
        <v>1</v>
      </c>
    </row>
    <row r="70" spans="1:10" x14ac:dyDescent="0.3">
      <c r="A70" t="s">
        <v>9</v>
      </c>
      <c r="B70">
        <v>11</v>
      </c>
      <c r="C70">
        <v>1</v>
      </c>
      <c r="D70">
        <v>1</v>
      </c>
      <c r="E70">
        <v>0</v>
      </c>
      <c r="F70" t="s">
        <v>25</v>
      </c>
      <c r="G70" t="s">
        <v>11</v>
      </c>
      <c r="H70" t="s">
        <v>23</v>
      </c>
      <c r="I70" t="s">
        <v>13</v>
      </c>
      <c r="J70">
        <v>1</v>
      </c>
    </row>
    <row r="71" spans="1:10" x14ac:dyDescent="0.3">
      <c r="A71" t="s">
        <v>9</v>
      </c>
      <c r="B71">
        <v>65</v>
      </c>
      <c r="C71">
        <v>0</v>
      </c>
      <c r="D71">
        <v>0</v>
      </c>
      <c r="E71">
        <v>0</v>
      </c>
      <c r="F71" t="s">
        <v>28</v>
      </c>
      <c r="G71" t="s">
        <v>16</v>
      </c>
      <c r="H71" t="s">
        <v>23</v>
      </c>
      <c r="I71" t="s">
        <v>13</v>
      </c>
      <c r="J71">
        <v>0</v>
      </c>
    </row>
    <row r="72" spans="1:10" x14ac:dyDescent="0.3">
      <c r="A72" t="s">
        <v>14</v>
      </c>
      <c r="B72">
        <v>17</v>
      </c>
      <c r="C72">
        <v>1</v>
      </c>
      <c r="D72">
        <v>1</v>
      </c>
      <c r="E72">
        <v>0</v>
      </c>
      <c r="F72" t="s">
        <v>19</v>
      </c>
      <c r="G72" t="s">
        <v>11</v>
      </c>
      <c r="H72" t="s">
        <v>18</v>
      </c>
      <c r="I72" t="s">
        <v>13</v>
      </c>
      <c r="J72">
        <v>1</v>
      </c>
    </row>
    <row r="73" spans="1:10" x14ac:dyDescent="0.3">
      <c r="A73" t="s">
        <v>14</v>
      </c>
      <c r="B73">
        <v>64</v>
      </c>
      <c r="C73">
        <v>0</v>
      </c>
      <c r="D73">
        <v>0</v>
      </c>
      <c r="E73">
        <v>0</v>
      </c>
      <c r="F73" t="s">
        <v>50</v>
      </c>
      <c r="G73" t="s">
        <v>16</v>
      </c>
      <c r="H73" t="s">
        <v>23</v>
      </c>
      <c r="I73" t="s">
        <v>13</v>
      </c>
      <c r="J73">
        <v>0</v>
      </c>
    </row>
    <row r="74" spans="1:10" x14ac:dyDescent="0.3">
      <c r="A74" t="s">
        <v>9</v>
      </c>
      <c r="B74">
        <v>45</v>
      </c>
      <c r="C74">
        <v>1</v>
      </c>
      <c r="D74">
        <v>1</v>
      </c>
      <c r="E74">
        <v>1</v>
      </c>
      <c r="F74" t="s">
        <v>34</v>
      </c>
      <c r="G74" t="s">
        <v>11</v>
      </c>
      <c r="H74" t="s">
        <v>23</v>
      </c>
      <c r="I74" t="s">
        <v>13</v>
      </c>
      <c r="J74">
        <v>1</v>
      </c>
    </row>
    <row r="75" spans="1:10" x14ac:dyDescent="0.3">
      <c r="A75" t="s">
        <v>9</v>
      </c>
      <c r="B75">
        <v>10</v>
      </c>
      <c r="C75">
        <v>1</v>
      </c>
      <c r="D75">
        <v>1</v>
      </c>
      <c r="E75">
        <v>0</v>
      </c>
      <c r="F75" t="s">
        <v>48</v>
      </c>
      <c r="G75" t="s">
        <v>16</v>
      </c>
      <c r="H75" t="s">
        <v>12</v>
      </c>
      <c r="I75" t="s">
        <v>13</v>
      </c>
      <c r="J75">
        <v>1</v>
      </c>
    </row>
    <row r="76" spans="1:10" x14ac:dyDescent="0.3">
      <c r="A76" t="s">
        <v>14</v>
      </c>
      <c r="B76">
        <v>49</v>
      </c>
      <c r="C76">
        <v>1</v>
      </c>
      <c r="D76">
        <v>1</v>
      </c>
      <c r="E76">
        <v>1</v>
      </c>
      <c r="F76" t="s">
        <v>43</v>
      </c>
      <c r="G76" t="s">
        <v>11</v>
      </c>
      <c r="H76" t="s">
        <v>18</v>
      </c>
      <c r="I76" t="s">
        <v>13</v>
      </c>
      <c r="J76">
        <v>1</v>
      </c>
    </row>
    <row r="77" spans="1:10" x14ac:dyDescent="0.3">
      <c r="A77" t="s">
        <v>14</v>
      </c>
      <c r="B77">
        <v>61</v>
      </c>
      <c r="C77">
        <v>0</v>
      </c>
      <c r="D77">
        <v>0</v>
      </c>
      <c r="E77">
        <v>1</v>
      </c>
      <c r="F77" t="s">
        <v>36</v>
      </c>
      <c r="G77" t="s">
        <v>16</v>
      </c>
      <c r="H77" t="s">
        <v>23</v>
      </c>
      <c r="I77" t="s">
        <v>13</v>
      </c>
      <c r="J77">
        <v>0</v>
      </c>
    </row>
    <row r="78" spans="1:10" x14ac:dyDescent="0.3">
      <c r="A78" t="s">
        <v>9</v>
      </c>
      <c r="B78">
        <v>61</v>
      </c>
      <c r="C78">
        <v>1</v>
      </c>
      <c r="D78">
        <v>1</v>
      </c>
      <c r="E78">
        <v>1</v>
      </c>
      <c r="F78" t="s">
        <v>38</v>
      </c>
      <c r="G78" t="s">
        <v>11</v>
      </c>
      <c r="H78" t="s">
        <v>18</v>
      </c>
      <c r="I78" t="s">
        <v>13</v>
      </c>
      <c r="J78">
        <v>1</v>
      </c>
    </row>
    <row r="79" spans="1:10" x14ac:dyDescent="0.3">
      <c r="A79" t="s">
        <v>14</v>
      </c>
      <c r="B79">
        <v>21</v>
      </c>
      <c r="C79">
        <v>0</v>
      </c>
      <c r="D79">
        <v>0</v>
      </c>
      <c r="E79">
        <v>1</v>
      </c>
      <c r="F79" t="s">
        <v>21</v>
      </c>
      <c r="G79" t="s">
        <v>16</v>
      </c>
      <c r="H79" t="s">
        <v>12</v>
      </c>
      <c r="I79" t="s">
        <v>13</v>
      </c>
      <c r="J79">
        <v>0</v>
      </c>
    </row>
    <row r="80" spans="1:10" x14ac:dyDescent="0.3">
      <c r="A80" t="s">
        <v>14</v>
      </c>
      <c r="B80">
        <v>64</v>
      </c>
      <c r="C80">
        <v>1</v>
      </c>
      <c r="D80">
        <v>1</v>
      </c>
      <c r="E80">
        <v>1</v>
      </c>
      <c r="F80" t="s">
        <v>32</v>
      </c>
      <c r="G80" t="s">
        <v>11</v>
      </c>
      <c r="H80" t="s">
        <v>18</v>
      </c>
      <c r="I80" t="s">
        <v>13</v>
      </c>
      <c r="J80">
        <v>1</v>
      </c>
    </row>
    <row r="81" spans="1:10" x14ac:dyDescent="0.3">
      <c r="A81" t="s">
        <v>9</v>
      </c>
      <c r="B81">
        <v>24</v>
      </c>
      <c r="C81">
        <v>0</v>
      </c>
      <c r="D81">
        <v>0</v>
      </c>
      <c r="E81">
        <v>0</v>
      </c>
      <c r="F81" t="s">
        <v>31</v>
      </c>
      <c r="G81" t="s">
        <v>16</v>
      </c>
      <c r="H81" t="s">
        <v>23</v>
      </c>
      <c r="I81" t="s">
        <v>13</v>
      </c>
      <c r="J81">
        <v>0</v>
      </c>
    </row>
    <row r="82" spans="1:10" x14ac:dyDescent="0.3">
      <c r="A82" t="s">
        <v>9</v>
      </c>
      <c r="B82">
        <v>62</v>
      </c>
      <c r="C82">
        <v>1</v>
      </c>
      <c r="D82">
        <v>1</v>
      </c>
      <c r="E82">
        <v>0</v>
      </c>
      <c r="F82" t="s">
        <v>31</v>
      </c>
      <c r="G82" t="s">
        <v>11</v>
      </c>
      <c r="H82" t="s">
        <v>12</v>
      </c>
      <c r="I82" t="s">
        <v>13</v>
      </c>
      <c r="J82">
        <v>1</v>
      </c>
    </row>
    <row r="83" spans="1:10" x14ac:dyDescent="0.3">
      <c r="A83" t="s">
        <v>14</v>
      </c>
      <c r="B83">
        <v>59</v>
      </c>
      <c r="C83">
        <v>1</v>
      </c>
      <c r="D83">
        <v>1</v>
      </c>
      <c r="E83">
        <v>1</v>
      </c>
      <c r="F83" t="s">
        <v>28</v>
      </c>
      <c r="G83" t="s">
        <v>16</v>
      </c>
      <c r="H83" t="s">
        <v>18</v>
      </c>
      <c r="I83" t="s">
        <v>13</v>
      </c>
      <c r="J83">
        <v>1</v>
      </c>
    </row>
    <row r="84" spans="1:10" x14ac:dyDescent="0.3">
      <c r="A84" t="s">
        <v>14</v>
      </c>
      <c r="B84">
        <v>44</v>
      </c>
      <c r="C84">
        <v>0</v>
      </c>
      <c r="D84">
        <v>0</v>
      </c>
      <c r="E84">
        <v>0</v>
      </c>
      <c r="F84" t="s">
        <v>22</v>
      </c>
      <c r="G84" t="s">
        <v>11</v>
      </c>
      <c r="H84" t="s">
        <v>23</v>
      </c>
      <c r="I84" t="s">
        <v>13</v>
      </c>
      <c r="J84">
        <v>0</v>
      </c>
    </row>
    <row r="85" spans="1:10" x14ac:dyDescent="0.3">
      <c r="A85" t="s">
        <v>9</v>
      </c>
      <c r="B85">
        <v>12</v>
      </c>
      <c r="C85">
        <v>1</v>
      </c>
      <c r="D85">
        <v>1</v>
      </c>
      <c r="E85">
        <v>0</v>
      </c>
      <c r="F85" t="s">
        <v>47</v>
      </c>
      <c r="G85" t="s">
        <v>16</v>
      </c>
      <c r="H85" t="s">
        <v>18</v>
      </c>
      <c r="I85" t="s">
        <v>13</v>
      </c>
      <c r="J85">
        <v>1</v>
      </c>
    </row>
    <row r="86" spans="1:10" x14ac:dyDescent="0.3">
      <c r="A86" t="s">
        <v>9</v>
      </c>
      <c r="B86">
        <v>29</v>
      </c>
      <c r="C86">
        <v>1</v>
      </c>
      <c r="D86">
        <v>1</v>
      </c>
      <c r="E86">
        <v>1</v>
      </c>
      <c r="F86" t="s">
        <v>30</v>
      </c>
      <c r="G86" t="s">
        <v>11</v>
      </c>
      <c r="H86" t="s">
        <v>23</v>
      </c>
      <c r="I86" t="s">
        <v>13</v>
      </c>
      <c r="J86">
        <v>1</v>
      </c>
    </row>
    <row r="87" spans="1:10" x14ac:dyDescent="0.3">
      <c r="A87" t="s">
        <v>14</v>
      </c>
      <c r="B87">
        <v>38</v>
      </c>
      <c r="C87">
        <v>0</v>
      </c>
      <c r="D87">
        <v>0</v>
      </c>
      <c r="E87">
        <v>0</v>
      </c>
      <c r="F87" t="s">
        <v>35</v>
      </c>
      <c r="G87" t="s">
        <v>16</v>
      </c>
      <c r="H87" t="s">
        <v>12</v>
      </c>
      <c r="I87" t="s">
        <v>13</v>
      </c>
      <c r="J87">
        <v>0</v>
      </c>
    </row>
    <row r="88" spans="1:10" x14ac:dyDescent="0.3">
      <c r="A88" t="s">
        <v>9</v>
      </c>
      <c r="B88">
        <v>45</v>
      </c>
      <c r="C88">
        <v>1</v>
      </c>
      <c r="D88">
        <v>1</v>
      </c>
      <c r="E88">
        <v>0</v>
      </c>
      <c r="F88" t="s">
        <v>44</v>
      </c>
      <c r="G88" t="s">
        <v>11</v>
      </c>
      <c r="H88" t="s">
        <v>12</v>
      </c>
      <c r="I88" t="s">
        <v>13</v>
      </c>
      <c r="J88">
        <v>1</v>
      </c>
    </row>
    <row r="89" spans="1:10" x14ac:dyDescent="0.3">
      <c r="A89" t="s">
        <v>9</v>
      </c>
      <c r="B89">
        <v>54</v>
      </c>
      <c r="C89">
        <v>1</v>
      </c>
      <c r="D89">
        <v>1</v>
      </c>
      <c r="E89">
        <v>1</v>
      </c>
      <c r="F89" t="s">
        <v>43</v>
      </c>
      <c r="G89" t="s">
        <v>16</v>
      </c>
      <c r="H89" t="s">
        <v>12</v>
      </c>
      <c r="I89" t="s">
        <v>13</v>
      </c>
      <c r="J89">
        <v>1</v>
      </c>
    </row>
    <row r="90" spans="1:10" x14ac:dyDescent="0.3">
      <c r="A90" t="s">
        <v>9</v>
      </c>
      <c r="B90">
        <v>50</v>
      </c>
      <c r="C90">
        <v>1</v>
      </c>
      <c r="D90">
        <v>1</v>
      </c>
      <c r="E90">
        <v>1</v>
      </c>
      <c r="F90" t="s">
        <v>46</v>
      </c>
      <c r="G90" t="s">
        <v>11</v>
      </c>
      <c r="H90" t="s">
        <v>23</v>
      </c>
      <c r="I90" t="s">
        <v>13</v>
      </c>
      <c r="J90">
        <v>1</v>
      </c>
    </row>
    <row r="91" spans="1:10" x14ac:dyDescent="0.3">
      <c r="A91" t="s">
        <v>9</v>
      </c>
      <c r="B91">
        <v>39</v>
      </c>
      <c r="C91">
        <v>1</v>
      </c>
      <c r="D91">
        <v>1</v>
      </c>
      <c r="E91">
        <v>0</v>
      </c>
      <c r="F91" t="s">
        <v>39</v>
      </c>
      <c r="G91" t="s">
        <v>16</v>
      </c>
      <c r="H91" t="s">
        <v>12</v>
      </c>
      <c r="I91" t="s">
        <v>13</v>
      </c>
      <c r="J91">
        <v>1</v>
      </c>
    </row>
    <row r="92" spans="1:10" x14ac:dyDescent="0.3">
      <c r="A92" t="s">
        <v>9</v>
      </c>
      <c r="B92">
        <v>53</v>
      </c>
      <c r="C92">
        <v>0</v>
      </c>
      <c r="D92">
        <v>0</v>
      </c>
      <c r="E92">
        <v>0</v>
      </c>
      <c r="F92" t="s">
        <v>46</v>
      </c>
      <c r="G92" t="s">
        <v>11</v>
      </c>
      <c r="H92" t="s">
        <v>18</v>
      </c>
      <c r="I92" t="s">
        <v>13</v>
      </c>
      <c r="J92">
        <v>0</v>
      </c>
    </row>
    <row r="93" spans="1:10" x14ac:dyDescent="0.3">
      <c r="A93" t="s">
        <v>14</v>
      </c>
      <c r="B93">
        <v>64</v>
      </c>
      <c r="C93">
        <v>1</v>
      </c>
      <c r="D93">
        <v>1</v>
      </c>
      <c r="E93">
        <v>1</v>
      </c>
      <c r="F93" t="s">
        <v>10</v>
      </c>
      <c r="G93" t="s">
        <v>16</v>
      </c>
      <c r="H93" t="s">
        <v>12</v>
      </c>
      <c r="I93" t="s">
        <v>13</v>
      </c>
      <c r="J93">
        <v>1</v>
      </c>
    </row>
    <row r="94" spans="1:10" x14ac:dyDescent="0.3">
      <c r="A94" t="s">
        <v>9</v>
      </c>
      <c r="B94">
        <v>60</v>
      </c>
      <c r="C94">
        <v>1</v>
      </c>
      <c r="D94">
        <v>1</v>
      </c>
      <c r="E94">
        <v>1</v>
      </c>
      <c r="F94" t="s">
        <v>50</v>
      </c>
      <c r="G94" t="s">
        <v>11</v>
      </c>
      <c r="H94" t="s">
        <v>18</v>
      </c>
      <c r="I94" t="s">
        <v>13</v>
      </c>
      <c r="J94">
        <v>1</v>
      </c>
    </row>
    <row r="95" spans="1:10" x14ac:dyDescent="0.3">
      <c r="A95" t="s">
        <v>9</v>
      </c>
      <c r="B95">
        <v>45</v>
      </c>
      <c r="C95">
        <v>0</v>
      </c>
      <c r="D95">
        <v>0</v>
      </c>
      <c r="E95">
        <v>1</v>
      </c>
      <c r="F95" t="s">
        <v>40</v>
      </c>
      <c r="G95" t="s">
        <v>16</v>
      </c>
      <c r="H95" t="s">
        <v>18</v>
      </c>
      <c r="I95" t="s">
        <v>13</v>
      </c>
      <c r="J95">
        <v>0</v>
      </c>
    </row>
    <row r="96" spans="1:10" x14ac:dyDescent="0.3">
      <c r="A96" t="s">
        <v>14</v>
      </c>
      <c r="B96">
        <v>32</v>
      </c>
      <c r="C96">
        <v>0</v>
      </c>
      <c r="D96">
        <v>0</v>
      </c>
      <c r="E96">
        <v>0</v>
      </c>
      <c r="F96" t="s">
        <v>44</v>
      </c>
      <c r="G96" t="s">
        <v>11</v>
      </c>
      <c r="H96" t="s">
        <v>18</v>
      </c>
      <c r="I96" t="s">
        <v>13</v>
      </c>
      <c r="J96">
        <v>0</v>
      </c>
    </row>
    <row r="97" spans="1:10" x14ac:dyDescent="0.3">
      <c r="A97" t="s">
        <v>9</v>
      </c>
      <c r="B97">
        <v>26</v>
      </c>
      <c r="C97">
        <v>0</v>
      </c>
      <c r="D97">
        <v>0</v>
      </c>
      <c r="E97">
        <v>0</v>
      </c>
      <c r="F97" t="s">
        <v>39</v>
      </c>
      <c r="G97" t="s">
        <v>16</v>
      </c>
      <c r="H97" t="s">
        <v>12</v>
      </c>
      <c r="I97" t="s">
        <v>13</v>
      </c>
      <c r="J97">
        <v>0</v>
      </c>
    </row>
    <row r="98" spans="1:10" x14ac:dyDescent="0.3">
      <c r="A98" t="s">
        <v>9</v>
      </c>
      <c r="B98">
        <v>58</v>
      </c>
      <c r="C98">
        <v>1</v>
      </c>
      <c r="D98">
        <v>1</v>
      </c>
      <c r="E98">
        <v>1</v>
      </c>
      <c r="F98" t="s">
        <v>51</v>
      </c>
      <c r="G98" t="s">
        <v>11</v>
      </c>
      <c r="H98" t="s">
        <v>12</v>
      </c>
      <c r="I98" t="s">
        <v>13</v>
      </c>
      <c r="J98">
        <v>1</v>
      </c>
    </row>
    <row r="99" spans="1:10" x14ac:dyDescent="0.3">
      <c r="A99" t="s">
        <v>9</v>
      </c>
      <c r="B99">
        <v>23</v>
      </c>
      <c r="C99">
        <v>1</v>
      </c>
      <c r="D99">
        <v>1</v>
      </c>
      <c r="E99">
        <v>0</v>
      </c>
      <c r="F99" t="s">
        <v>37</v>
      </c>
      <c r="G99" t="s">
        <v>16</v>
      </c>
      <c r="H99" t="s">
        <v>23</v>
      </c>
      <c r="I99" t="s">
        <v>13</v>
      </c>
      <c r="J99">
        <v>1</v>
      </c>
    </row>
    <row r="100" spans="1:10" x14ac:dyDescent="0.3">
      <c r="A100" t="s">
        <v>14</v>
      </c>
      <c r="B100">
        <v>30</v>
      </c>
      <c r="C100">
        <v>0</v>
      </c>
      <c r="D100">
        <v>0</v>
      </c>
      <c r="E100">
        <v>1</v>
      </c>
      <c r="F100" t="s">
        <v>28</v>
      </c>
      <c r="G100" t="s">
        <v>11</v>
      </c>
      <c r="H100" t="s">
        <v>23</v>
      </c>
      <c r="I100" t="s">
        <v>13</v>
      </c>
      <c r="J100">
        <v>0</v>
      </c>
    </row>
    <row r="101" spans="1:10" x14ac:dyDescent="0.3">
      <c r="A101" t="s">
        <v>9</v>
      </c>
      <c r="B101">
        <v>62</v>
      </c>
      <c r="C101">
        <v>0</v>
      </c>
      <c r="D101">
        <v>0</v>
      </c>
      <c r="E101">
        <v>0</v>
      </c>
      <c r="F101" t="s">
        <v>51</v>
      </c>
      <c r="G101" t="s">
        <v>16</v>
      </c>
      <c r="H101" t="s">
        <v>23</v>
      </c>
      <c r="I101" t="s">
        <v>13</v>
      </c>
      <c r="J101">
        <v>0</v>
      </c>
    </row>
    <row r="102" spans="1:10" x14ac:dyDescent="0.3">
      <c r="A102" t="s">
        <v>9</v>
      </c>
      <c r="B102">
        <v>34</v>
      </c>
      <c r="C102">
        <v>0</v>
      </c>
      <c r="D102">
        <v>0</v>
      </c>
      <c r="E102">
        <v>0</v>
      </c>
      <c r="F102" t="s">
        <v>41</v>
      </c>
      <c r="G102" t="s">
        <v>11</v>
      </c>
      <c r="H102" t="s">
        <v>18</v>
      </c>
      <c r="I102" t="s">
        <v>13</v>
      </c>
      <c r="J102">
        <v>0</v>
      </c>
    </row>
    <row r="103" spans="1:10" x14ac:dyDescent="0.3">
      <c r="A103" t="s">
        <v>9</v>
      </c>
      <c r="B103">
        <v>58</v>
      </c>
      <c r="C103">
        <v>0</v>
      </c>
      <c r="D103">
        <v>0</v>
      </c>
      <c r="E103">
        <v>0</v>
      </c>
      <c r="F103" t="s">
        <v>21</v>
      </c>
      <c r="G103" t="s">
        <v>16</v>
      </c>
      <c r="H103" t="s">
        <v>18</v>
      </c>
      <c r="I103" t="s">
        <v>13</v>
      </c>
      <c r="J103">
        <v>0</v>
      </c>
    </row>
    <row r="104" spans="1:10" x14ac:dyDescent="0.3">
      <c r="A104" t="s">
        <v>9</v>
      </c>
      <c r="B104">
        <v>51</v>
      </c>
      <c r="C104">
        <v>0</v>
      </c>
      <c r="D104">
        <v>0</v>
      </c>
      <c r="E104">
        <v>1</v>
      </c>
      <c r="F104" t="s">
        <v>29</v>
      </c>
      <c r="G104" t="s">
        <v>11</v>
      </c>
      <c r="H104" t="s">
        <v>12</v>
      </c>
      <c r="I104" t="s">
        <v>13</v>
      </c>
      <c r="J104">
        <v>0</v>
      </c>
    </row>
    <row r="105" spans="1:10" x14ac:dyDescent="0.3">
      <c r="A105" t="s">
        <v>9</v>
      </c>
      <c r="B105">
        <v>50</v>
      </c>
      <c r="C105">
        <v>1</v>
      </c>
      <c r="D105">
        <v>1</v>
      </c>
      <c r="E105">
        <v>0</v>
      </c>
      <c r="F105" t="s">
        <v>38</v>
      </c>
      <c r="G105" t="s">
        <v>16</v>
      </c>
      <c r="H105" t="s">
        <v>23</v>
      </c>
      <c r="I105" t="s">
        <v>13</v>
      </c>
      <c r="J105">
        <v>1</v>
      </c>
    </row>
    <row r="106" spans="1:10" x14ac:dyDescent="0.3">
      <c r="A106" t="s">
        <v>9</v>
      </c>
      <c r="B106">
        <v>9</v>
      </c>
      <c r="C106">
        <v>0</v>
      </c>
      <c r="D106">
        <v>0</v>
      </c>
      <c r="E106">
        <v>0</v>
      </c>
      <c r="F106" t="s">
        <v>15</v>
      </c>
      <c r="G106" t="s">
        <v>11</v>
      </c>
      <c r="H106" t="s">
        <v>23</v>
      </c>
      <c r="I106" t="s">
        <v>13</v>
      </c>
      <c r="J106">
        <v>0</v>
      </c>
    </row>
    <row r="107" spans="1:10" x14ac:dyDescent="0.3">
      <c r="A107" t="s">
        <v>9</v>
      </c>
      <c r="B107">
        <v>8</v>
      </c>
      <c r="C107">
        <v>0</v>
      </c>
      <c r="D107">
        <v>0</v>
      </c>
      <c r="E107">
        <v>1</v>
      </c>
      <c r="F107" t="s">
        <v>48</v>
      </c>
      <c r="G107" t="s">
        <v>16</v>
      </c>
      <c r="H107" t="s">
        <v>18</v>
      </c>
      <c r="I107" t="s">
        <v>13</v>
      </c>
      <c r="J107">
        <v>0</v>
      </c>
    </row>
    <row r="108" spans="1:10" x14ac:dyDescent="0.3">
      <c r="A108" t="s">
        <v>14</v>
      </c>
      <c r="B108">
        <v>45</v>
      </c>
      <c r="C108">
        <v>1</v>
      </c>
      <c r="D108">
        <v>1</v>
      </c>
      <c r="E108">
        <v>1</v>
      </c>
      <c r="F108" t="s">
        <v>32</v>
      </c>
      <c r="G108" t="s">
        <v>11</v>
      </c>
      <c r="H108" t="s">
        <v>12</v>
      </c>
      <c r="I108" t="s">
        <v>13</v>
      </c>
      <c r="J108">
        <v>1</v>
      </c>
    </row>
    <row r="109" spans="1:10" x14ac:dyDescent="0.3">
      <c r="A109" t="s">
        <v>14</v>
      </c>
      <c r="B109">
        <v>27</v>
      </c>
      <c r="C109">
        <v>1</v>
      </c>
      <c r="D109">
        <v>1</v>
      </c>
      <c r="E109">
        <v>1</v>
      </c>
      <c r="F109" t="s">
        <v>25</v>
      </c>
      <c r="G109" t="s">
        <v>16</v>
      </c>
      <c r="H109" t="s">
        <v>18</v>
      </c>
      <c r="I109" t="s">
        <v>13</v>
      </c>
      <c r="J109">
        <v>1</v>
      </c>
    </row>
    <row r="110" spans="1:10" x14ac:dyDescent="0.3">
      <c r="A110" t="s">
        <v>9</v>
      </c>
      <c r="B110">
        <v>31</v>
      </c>
      <c r="C110">
        <v>1</v>
      </c>
      <c r="D110">
        <v>1</v>
      </c>
      <c r="E110">
        <v>1</v>
      </c>
      <c r="F110" t="s">
        <v>43</v>
      </c>
      <c r="G110" t="s">
        <v>11</v>
      </c>
      <c r="H110" t="s">
        <v>12</v>
      </c>
      <c r="I110" t="s">
        <v>13</v>
      </c>
      <c r="J110">
        <v>1</v>
      </c>
    </row>
    <row r="111" spans="1:10" x14ac:dyDescent="0.3">
      <c r="A111" t="s">
        <v>9</v>
      </c>
      <c r="B111">
        <v>44</v>
      </c>
      <c r="C111">
        <v>0</v>
      </c>
      <c r="D111">
        <v>0</v>
      </c>
      <c r="E111">
        <v>0</v>
      </c>
      <c r="F111" t="s">
        <v>20</v>
      </c>
      <c r="G111" t="s">
        <v>16</v>
      </c>
      <c r="H111" t="s">
        <v>18</v>
      </c>
      <c r="I111" t="s">
        <v>13</v>
      </c>
      <c r="J111">
        <v>0</v>
      </c>
    </row>
    <row r="112" spans="1:10" x14ac:dyDescent="0.3">
      <c r="A112" t="s">
        <v>9</v>
      </c>
      <c r="B112">
        <v>39</v>
      </c>
      <c r="C112">
        <v>1</v>
      </c>
      <c r="D112">
        <v>1</v>
      </c>
      <c r="E112">
        <v>0</v>
      </c>
      <c r="F112" t="s">
        <v>47</v>
      </c>
      <c r="G112" t="s">
        <v>11</v>
      </c>
      <c r="H112" t="s">
        <v>23</v>
      </c>
      <c r="I112" t="s">
        <v>13</v>
      </c>
      <c r="J112">
        <v>1</v>
      </c>
    </row>
    <row r="113" spans="1:10" x14ac:dyDescent="0.3">
      <c r="A113" t="s">
        <v>9</v>
      </c>
      <c r="B113">
        <v>9</v>
      </c>
      <c r="C113">
        <v>1</v>
      </c>
      <c r="D113">
        <v>1</v>
      </c>
      <c r="E113">
        <v>0</v>
      </c>
      <c r="F113" t="s">
        <v>52</v>
      </c>
      <c r="G113" t="s">
        <v>16</v>
      </c>
      <c r="H113" t="s">
        <v>23</v>
      </c>
      <c r="I113" t="s">
        <v>13</v>
      </c>
      <c r="J113">
        <v>1</v>
      </c>
    </row>
    <row r="114" spans="1:10" x14ac:dyDescent="0.3">
      <c r="A114" t="s">
        <v>14</v>
      </c>
      <c r="B114">
        <v>51</v>
      </c>
      <c r="C114">
        <v>1</v>
      </c>
      <c r="D114">
        <v>1</v>
      </c>
      <c r="E114">
        <v>0</v>
      </c>
      <c r="F114" t="s">
        <v>37</v>
      </c>
      <c r="G114" t="s">
        <v>11</v>
      </c>
      <c r="H114" t="s">
        <v>18</v>
      </c>
      <c r="I114" t="s">
        <v>13</v>
      </c>
      <c r="J114">
        <v>1</v>
      </c>
    </row>
    <row r="115" spans="1:10" x14ac:dyDescent="0.3">
      <c r="A115" t="s">
        <v>14</v>
      </c>
      <c r="B115">
        <v>24</v>
      </c>
      <c r="C115">
        <v>0</v>
      </c>
      <c r="D115">
        <v>0</v>
      </c>
      <c r="E115">
        <v>0</v>
      </c>
      <c r="F115" t="s">
        <v>20</v>
      </c>
      <c r="G115" t="s">
        <v>16</v>
      </c>
      <c r="H115" t="s">
        <v>18</v>
      </c>
      <c r="I115" t="s">
        <v>13</v>
      </c>
      <c r="J115">
        <v>0</v>
      </c>
    </row>
    <row r="116" spans="1:10" x14ac:dyDescent="0.3">
      <c r="A116" t="s">
        <v>14</v>
      </c>
      <c r="B116">
        <v>46</v>
      </c>
      <c r="C116">
        <v>1</v>
      </c>
      <c r="D116">
        <v>1</v>
      </c>
      <c r="E116">
        <v>0</v>
      </c>
      <c r="F116" t="s">
        <v>38</v>
      </c>
      <c r="G116" t="s">
        <v>11</v>
      </c>
      <c r="H116" t="s">
        <v>23</v>
      </c>
      <c r="I116" t="s">
        <v>13</v>
      </c>
      <c r="J116">
        <v>1</v>
      </c>
    </row>
    <row r="117" spans="1:10" x14ac:dyDescent="0.3">
      <c r="A117" t="s">
        <v>14</v>
      </c>
      <c r="B117">
        <v>39</v>
      </c>
      <c r="C117">
        <v>1</v>
      </c>
      <c r="D117">
        <v>1</v>
      </c>
      <c r="E117">
        <v>0</v>
      </c>
      <c r="F117" t="s">
        <v>17</v>
      </c>
      <c r="G117" t="s">
        <v>16</v>
      </c>
      <c r="H117" t="s">
        <v>12</v>
      </c>
      <c r="I117" t="s">
        <v>13</v>
      </c>
      <c r="J117">
        <v>1</v>
      </c>
    </row>
    <row r="118" spans="1:10" x14ac:dyDescent="0.3">
      <c r="A118" t="s">
        <v>9</v>
      </c>
      <c r="B118">
        <v>14</v>
      </c>
      <c r="C118">
        <v>1</v>
      </c>
      <c r="D118">
        <v>1</v>
      </c>
      <c r="E118">
        <v>0</v>
      </c>
      <c r="F118" t="s">
        <v>34</v>
      </c>
      <c r="G118" t="s">
        <v>11</v>
      </c>
      <c r="H118" t="s">
        <v>12</v>
      </c>
      <c r="I118" t="s">
        <v>13</v>
      </c>
      <c r="J118">
        <v>1</v>
      </c>
    </row>
    <row r="119" spans="1:10" x14ac:dyDescent="0.3">
      <c r="A119" t="s">
        <v>14</v>
      </c>
      <c r="B119">
        <v>42</v>
      </c>
      <c r="C119">
        <v>1</v>
      </c>
      <c r="D119">
        <v>1</v>
      </c>
      <c r="E119">
        <v>0</v>
      </c>
      <c r="F119" t="s">
        <v>52</v>
      </c>
      <c r="G119" t="s">
        <v>16</v>
      </c>
      <c r="H119" t="s">
        <v>18</v>
      </c>
      <c r="I119" t="s">
        <v>13</v>
      </c>
      <c r="J119">
        <v>1</v>
      </c>
    </row>
    <row r="120" spans="1:10" x14ac:dyDescent="0.3">
      <c r="A120" t="s">
        <v>14</v>
      </c>
      <c r="B120">
        <v>37</v>
      </c>
      <c r="C120">
        <v>1</v>
      </c>
      <c r="D120">
        <v>1</v>
      </c>
      <c r="E120">
        <v>0</v>
      </c>
      <c r="F120" t="s">
        <v>32</v>
      </c>
      <c r="G120" t="s">
        <v>11</v>
      </c>
      <c r="H120" t="s">
        <v>23</v>
      </c>
      <c r="I120" t="s">
        <v>13</v>
      </c>
      <c r="J120">
        <v>1</v>
      </c>
    </row>
    <row r="121" spans="1:10" x14ac:dyDescent="0.3">
      <c r="A121" t="s">
        <v>14</v>
      </c>
      <c r="B121">
        <v>31</v>
      </c>
      <c r="C121">
        <v>1</v>
      </c>
      <c r="D121">
        <v>1</v>
      </c>
      <c r="E121">
        <v>0</v>
      </c>
      <c r="F121" t="s">
        <v>33</v>
      </c>
      <c r="G121" t="s">
        <v>16</v>
      </c>
      <c r="H121" t="s">
        <v>12</v>
      </c>
      <c r="I121" t="s">
        <v>13</v>
      </c>
      <c r="J121">
        <v>1</v>
      </c>
    </row>
    <row r="122" spans="1:10" x14ac:dyDescent="0.3">
      <c r="A122" t="s">
        <v>14</v>
      </c>
      <c r="B122">
        <v>57</v>
      </c>
      <c r="C122">
        <v>0</v>
      </c>
      <c r="D122">
        <v>0</v>
      </c>
      <c r="E122">
        <v>0</v>
      </c>
      <c r="F122" t="s">
        <v>31</v>
      </c>
      <c r="G122" t="s">
        <v>11</v>
      </c>
      <c r="H122" t="s">
        <v>23</v>
      </c>
      <c r="I122" t="s">
        <v>13</v>
      </c>
      <c r="J122">
        <v>0</v>
      </c>
    </row>
    <row r="123" spans="1:10" x14ac:dyDescent="0.3">
      <c r="A123" t="s">
        <v>9</v>
      </c>
      <c r="B123">
        <v>30</v>
      </c>
      <c r="C123">
        <v>0</v>
      </c>
      <c r="D123">
        <v>0</v>
      </c>
      <c r="E123">
        <v>1</v>
      </c>
      <c r="F123" t="s">
        <v>45</v>
      </c>
      <c r="G123" t="s">
        <v>16</v>
      </c>
      <c r="H123" t="s">
        <v>12</v>
      </c>
      <c r="I123" t="s">
        <v>13</v>
      </c>
      <c r="J123">
        <v>0</v>
      </c>
    </row>
    <row r="124" spans="1:10" x14ac:dyDescent="0.3">
      <c r="A124" t="s">
        <v>9</v>
      </c>
      <c r="B124">
        <v>57</v>
      </c>
      <c r="C124">
        <v>1</v>
      </c>
      <c r="D124">
        <v>1</v>
      </c>
      <c r="E124">
        <v>1</v>
      </c>
      <c r="F124" t="s">
        <v>19</v>
      </c>
      <c r="G124" t="s">
        <v>11</v>
      </c>
      <c r="H124" t="s">
        <v>23</v>
      </c>
      <c r="I124" t="s">
        <v>13</v>
      </c>
      <c r="J124">
        <v>1</v>
      </c>
    </row>
    <row r="125" spans="1:10" x14ac:dyDescent="0.3">
      <c r="A125" t="s">
        <v>14</v>
      </c>
      <c r="B125">
        <v>17</v>
      </c>
      <c r="C125">
        <v>0</v>
      </c>
      <c r="D125">
        <v>0</v>
      </c>
      <c r="E125">
        <v>0</v>
      </c>
      <c r="F125" t="s">
        <v>27</v>
      </c>
      <c r="G125" t="s">
        <v>16</v>
      </c>
      <c r="H125" t="s">
        <v>18</v>
      </c>
      <c r="I125" t="s">
        <v>13</v>
      </c>
      <c r="J125">
        <v>0</v>
      </c>
    </row>
    <row r="126" spans="1:10" x14ac:dyDescent="0.3">
      <c r="A126" t="s">
        <v>9</v>
      </c>
      <c r="B126">
        <v>56</v>
      </c>
      <c r="C126">
        <v>0</v>
      </c>
      <c r="D126">
        <v>0</v>
      </c>
      <c r="E126">
        <v>0</v>
      </c>
      <c r="F126" t="s">
        <v>49</v>
      </c>
      <c r="G126" t="s">
        <v>11</v>
      </c>
      <c r="H126" t="s">
        <v>23</v>
      </c>
      <c r="I126" t="s">
        <v>13</v>
      </c>
      <c r="J126">
        <v>0</v>
      </c>
    </row>
    <row r="127" spans="1:10" x14ac:dyDescent="0.3">
      <c r="A127" t="s">
        <v>14</v>
      </c>
      <c r="B127">
        <v>54</v>
      </c>
      <c r="C127">
        <v>0</v>
      </c>
      <c r="D127">
        <v>0</v>
      </c>
      <c r="E127">
        <v>0</v>
      </c>
      <c r="F127" t="s">
        <v>36</v>
      </c>
      <c r="G127" t="s">
        <v>16</v>
      </c>
      <c r="H127" t="s">
        <v>18</v>
      </c>
      <c r="I127" t="s">
        <v>13</v>
      </c>
      <c r="J127">
        <v>0</v>
      </c>
    </row>
    <row r="128" spans="1:10" x14ac:dyDescent="0.3">
      <c r="A128" t="s">
        <v>9</v>
      </c>
      <c r="B128">
        <v>22</v>
      </c>
      <c r="C128">
        <v>0</v>
      </c>
      <c r="D128">
        <v>0</v>
      </c>
      <c r="E128">
        <v>1</v>
      </c>
      <c r="F128" t="s">
        <v>41</v>
      </c>
      <c r="G128" t="s">
        <v>11</v>
      </c>
      <c r="H128" t="s">
        <v>18</v>
      </c>
      <c r="I128" t="s">
        <v>13</v>
      </c>
      <c r="J128">
        <v>0</v>
      </c>
    </row>
    <row r="129" spans="1:10" x14ac:dyDescent="0.3">
      <c r="A129" t="s">
        <v>9</v>
      </c>
      <c r="B129">
        <v>63</v>
      </c>
      <c r="C129">
        <v>1</v>
      </c>
      <c r="D129">
        <v>1</v>
      </c>
      <c r="E129">
        <v>1</v>
      </c>
      <c r="F129" t="s">
        <v>43</v>
      </c>
      <c r="G129" t="s">
        <v>16</v>
      </c>
      <c r="H129" t="s">
        <v>18</v>
      </c>
      <c r="I129" t="s">
        <v>13</v>
      </c>
      <c r="J129">
        <v>1</v>
      </c>
    </row>
    <row r="130" spans="1:10" x14ac:dyDescent="0.3">
      <c r="A130" t="s">
        <v>14</v>
      </c>
      <c r="B130">
        <v>54</v>
      </c>
      <c r="C130">
        <v>0</v>
      </c>
      <c r="D130">
        <v>0</v>
      </c>
      <c r="E130">
        <v>1</v>
      </c>
      <c r="F130" t="s">
        <v>10</v>
      </c>
      <c r="G130" t="s">
        <v>11</v>
      </c>
      <c r="H130" t="s">
        <v>23</v>
      </c>
      <c r="I130" t="s">
        <v>13</v>
      </c>
      <c r="J130">
        <v>0</v>
      </c>
    </row>
    <row r="131" spans="1:10" x14ac:dyDescent="0.3">
      <c r="A131" t="s">
        <v>14</v>
      </c>
      <c r="B131">
        <v>61</v>
      </c>
      <c r="C131">
        <v>1</v>
      </c>
      <c r="D131">
        <v>1</v>
      </c>
      <c r="E131">
        <v>1</v>
      </c>
      <c r="F131" t="s">
        <v>35</v>
      </c>
      <c r="G131" t="s">
        <v>16</v>
      </c>
      <c r="H131" t="s">
        <v>23</v>
      </c>
      <c r="I131" t="s">
        <v>13</v>
      </c>
      <c r="J131">
        <v>1</v>
      </c>
    </row>
    <row r="132" spans="1:10" x14ac:dyDescent="0.3">
      <c r="A132" t="s">
        <v>9</v>
      </c>
      <c r="B132">
        <v>47</v>
      </c>
      <c r="C132">
        <v>1</v>
      </c>
      <c r="D132">
        <v>1</v>
      </c>
      <c r="E132">
        <v>1</v>
      </c>
      <c r="F132" t="s">
        <v>32</v>
      </c>
      <c r="G132" t="s">
        <v>11</v>
      </c>
      <c r="H132" t="s">
        <v>23</v>
      </c>
      <c r="I132" t="s">
        <v>13</v>
      </c>
      <c r="J132">
        <v>1</v>
      </c>
    </row>
    <row r="133" spans="1:10" x14ac:dyDescent="0.3">
      <c r="A133" t="s">
        <v>14</v>
      </c>
      <c r="B133">
        <v>18</v>
      </c>
      <c r="C133">
        <v>0</v>
      </c>
      <c r="D133">
        <v>0</v>
      </c>
      <c r="E133">
        <v>1</v>
      </c>
      <c r="F133" t="s">
        <v>19</v>
      </c>
      <c r="G133" t="s">
        <v>16</v>
      </c>
      <c r="H133" t="s">
        <v>18</v>
      </c>
      <c r="I133" t="s">
        <v>13</v>
      </c>
      <c r="J133">
        <v>0</v>
      </c>
    </row>
    <row r="134" spans="1:10" x14ac:dyDescent="0.3">
      <c r="A134" t="s">
        <v>9</v>
      </c>
      <c r="B134">
        <v>24</v>
      </c>
      <c r="C134">
        <v>1</v>
      </c>
      <c r="D134">
        <v>1</v>
      </c>
      <c r="E134">
        <v>0</v>
      </c>
      <c r="F134" t="s">
        <v>38</v>
      </c>
      <c r="G134" t="s">
        <v>11</v>
      </c>
      <c r="H134" t="s">
        <v>18</v>
      </c>
      <c r="I134" t="s">
        <v>13</v>
      </c>
      <c r="J134">
        <v>1</v>
      </c>
    </row>
    <row r="135" spans="1:10" x14ac:dyDescent="0.3">
      <c r="A135" t="s">
        <v>9</v>
      </c>
      <c r="B135">
        <v>60</v>
      </c>
      <c r="C135">
        <v>0</v>
      </c>
      <c r="D135">
        <v>0</v>
      </c>
      <c r="E135">
        <v>1</v>
      </c>
      <c r="F135" t="s">
        <v>39</v>
      </c>
      <c r="G135" t="s">
        <v>16</v>
      </c>
      <c r="H135" t="s">
        <v>18</v>
      </c>
      <c r="I135" t="s">
        <v>13</v>
      </c>
      <c r="J135">
        <v>0</v>
      </c>
    </row>
    <row r="136" spans="1:10" x14ac:dyDescent="0.3">
      <c r="A136" t="s">
        <v>9</v>
      </c>
      <c r="B136">
        <v>47</v>
      </c>
      <c r="C136">
        <v>1</v>
      </c>
      <c r="D136">
        <v>1</v>
      </c>
      <c r="E136">
        <v>1</v>
      </c>
      <c r="F136" t="s">
        <v>30</v>
      </c>
      <c r="G136" t="s">
        <v>11</v>
      </c>
      <c r="H136" t="s">
        <v>18</v>
      </c>
      <c r="I136" t="s">
        <v>13</v>
      </c>
      <c r="J136">
        <v>1</v>
      </c>
    </row>
    <row r="137" spans="1:10" x14ac:dyDescent="0.3">
      <c r="A137" t="s">
        <v>9</v>
      </c>
      <c r="B137">
        <v>19</v>
      </c>
      <c r="C137">
        <v>1</v>
      </c>
      <c r="D137">
        <v>1</v>
      </c>
      <c r="E137">
        <v>0</v>
      </c>
      <c r="F137" t="s">
        <v>17</v>
      </c>
      <c r="G137" t="s">
        <v>16</v>
      </c>
      <c r="H137" t="s">
        <v>12</v>
      </c>
      <c r="I137" t="s">
        <v>13</v>
      </c>
      <c r="J137">
        <v>1</v>
      </c>
    </row>
    <row r="138" spans="1:10" x14ac:dyDescent="0.3">
      <c r="A138" t="s">
        <v>14</v>
      </c>
      <c r="B138">
        <v>55</v>
      </c>
      <c r="C138">
        <v>1</v>
      </c>
      <c r="D138">
        <v>1</v>
      </c>
      <c r="E138">
        <v>0</v>
      </c>
      <c r="F138" t="s">
        <v>33</v>
      </c>
      <c r="G138" t="s">
        <v>11</v>
      </c>
      <c r="H138" t="s">
        <v>23</v>
      </c>
      <c r="I138" t="s">
        <v>13</v>
      </c>
      <c r="J138">
        <v>1</v>
      </c>
    </row>
    <row r="139" spans="1:10" x14ac:dyDescent="0.3">
      <c r="A139" t="s">
        <v>9</v>
      </c>
      <c r="B139">
        <v>49</v>
      </c>
      <c r="C139">
        <v>1</v>
      </c>
      <c r="D139">
        <v>1</v>
      </c>
      <c r="E139">
        <v>0</v>
      </c>
      <c r="F139" t="s">
        <v>17</v>
      </c>
      <c r="G139" t="s">
        <v>16</v>
      </c>
      <c r="H139" t="s">
        <v>12</v>
      </c>
      <c r="I139" t="s">
        <v>13</v>
      </c>
      <c r="J139">
        <v>1</v>
      </c>
    </row>
    <row r="140" spans="1:10" x14ac:dyDescent="0.3">
      <c r="A140" t="s">
        <v>14</v>
      </c>
      <c r="B140">
        <v>32</v>
      </c>
      <c r="C140">
        <v>0</v>
      </c>
      <c r="D140">
        <v>1</v>
      </c>
      <c r="E140">
        <v>0</v>
      </c>
      <c r="F140" t="s">
        <v>52</v>
      </c>
      <c r="G140" t="s">
        <v>11</v>
      </c>
      <c r="H140" t="s">
        <v>23</v>
      </c>
      <c r="I140" t="s">
        <v>13</v>
      </c>
      <c r="J140">
        <v>1</v>
      </c>
    </row>
    <row r="141" spans="1:10" x14ac:dyDescent="0.3">
      <c r="A141" t="s">
        <v>9</v>
      </c>
      <c r="B141">
        <v>8</v>
      </c>
      <c r="C141">
        <v>1</v>
      </c>
      <c r="D141">
        <v>1</v>
      </c>
      <c r="E141">
        <v>0</v>
      </c>
      <c r="F141" t="s">
        <v>43</v>
      </c>
      <c r="G141" t="s">
        <v>16</v>
      </c>
      <c r="H141" t="s">
        <v>23</v>
      </c>
      <c r="I141" t="s">
        <v>13</v>
      </c>
      <c r="J141">
        <v>1</v>
      </c>
    </row>
    <row r="142" spans="1:10" x14ac:dyDescent="0.3">
      <c r="A142" t="s">
        <v>9</v>
      </c>
      <c r="B142">
        <v>14</v>
      </c>
      <c r="C142">
        <v>0</v>
      </c>
      <c r="D142">
        <v>0</v>
      </c>
      <c r="E142">
        <v>0</v>
      </c>
      <c r="F142" t="s">
        <v>46</v>
      </c>
      <c r="G142" t="s">
        <v>11</v>
      </c>
      <c r="H142" t="s">
        <v>23</v>
      </c>
      <c r="I142" t="s">
        <v>13</v>
      </c>
      <c r="J142">
        <v>0</v>
      </c>
    </row>
    <row r="143" spans="1:10" x14ac:dyDescent="0.3">
      <c r="A143" t="s">
        <v>14</v>
      </c>
      <c r="B143">
        <v>28</v>
      </c>
      <c r="C143">
        <v>0</v>
      </c>
      <c r="D143">
        <v>0</v>
      </c>
      <c r="E143">
        <v>1</v>
      </c>
      <c r="F143" t="s">
        <v>45</v>
      </c>
      <c r="G143" t="s">
        <v>16</v>
      </c>
      <c r="H143" t="s">
        <v>18</v>
      </c>
      <c r="I143" t="s">
        <v>13</v>
      </c>
      <c r="J143">
        <v>0</v>
      </c>
    </row>
    <row r="144" spans="1:10" x14ac:dyDescent="0.3">
      <c r="A144" t="s">
        <v>9</v>
      </c>
      <c r="B144">
        <v>11</v>
      </c>
      <c r="C144">
        <v>1</v>
      </c>
      <c r="D144">
        <v>1</v>
      </c>
      <c r="E144">
        <v>1</v>
      </c>
      <c r="F144" t="s">
        <v>37</v>
      </c>
      <c r="G144" t="s">
        <v>11</v>
      </c>
      <c r="H144" t="s">
        <v>18</v>
      </c>
      <c r="I144" t="s">
        <v>13</v>
      </c>
      <c r="J144">
        <v>1</v>
      </c>
    </row>
    <row r="145" spans="1:10" x14ac:dyDescent="0.3">
      <c r="A145" t="s">
        <v>14</v>
      </c>
      <c r="B145">
        <v>29</v>
      </c>
      <c r="C145">
        <v>0</v>
      </c>
      <c r="D145">
        <v>0</v>
      </c>
      <c r="E145">
        <v>0</v>
      </c>
      <c r="F145" t="s">
        <v>52</v>
      </c>
      <c r="G145" t="s">
        <v>16</v>
      </c>
      <c r="H145" t="s">
        <v>12</v>
      </c>
      <c r="I145" t="s">
        <v>13</v>
      </c>
      <c r="J145">
        <v>0</v>
      </c>
    </row>
    <row r="146" spans="1:10" x14ac:dyDescent="0.3">
      <c r="A146" t="s">
        <v>9</v>
      </c>
      <c r="B146">
        <v>62</v>
      </c>
      <c r="C146">
        <v>0</v>
      </c>
      <c r="D146">
        <v>0</v>
      </c>
      <c r="E146">
        <v>1</v>
      </c>
      <c r="F146" t="s">
        <v>28</v>
      </c>
      <c r="G146" t="s">
        <v>11</v>
      </c>
      <c r="H146" t="s">
        <v>18</v>
      </c>
      <c r="I146" t="s">
        <v>13</v>
      </c>
      <c r="J146">
        <v>0</v>
      </c>
    </row>
    <row r="147" spans="1:10" x14ac:dyDescent="0.3">
      <c r="A147" t="s">
        <v>9</v>
      </c>
      <c r="B147">
        <v>65</v>
      </c>
      <c r="C147">
        <v>1</v>
      </c>
      <c r="D147">
        <v>1</v>
      </c>
      <c r="E147">
        <v>1</v>
      </c>
      <c r="F147" t="s">
        <v>17</v>
      </c>
      <c r="G147" t="s">
        <v>16</v>
      </c>
      <c r="H147" t="s">
        <v>18</v>
      </c>
      <c r="I147" t="s">
        <v>13</v>
      </c>
      <c r="J147">
        <v>1</v>
      </c>
    </row>
    <row r="148" spans="1:10" x14ac:dyDescent="0.3">
      <c r="A148" t="s">
        <v>9</v>
      </c>
      <c r="B148">
        <v>43</v>
      </c>
      <c r="C148">
        <v>1</v>
      </c>
      <c r="D148">
        <v>1</v>
      </c>
      <c r="E148">
        <v>1</v>
      </c>
      <c r="F148" t="s">
        <v>36</v>
      </c>
      <c r="G148" t="s">
        <v>11</v>
      </c>
      <c r="H148" t="s">
        <v>18</v>
      </c>
      <c r="I148" t="s">
        <v>13</v>
      </c>
      <c r="J148">
        <v>1</v>
      </c>
    </row>
    <row r="149" spans="1:10" x14ac:dyDescent="0.3">
      <c r="A149" t="s">
        <v>9</v>
      </c>
      <c r="B149">
        <v>59</v>
      </c>
      <c r="C149">
        <v>1</v>
      </c>
      <c r="D149">
        <v>1</v>
      </c>
      <c r="E149">
        <v>0</v>
      </c>
      <c r="F149" t="s">
        <v>42</v>
      </c>
      <c r="G149" t="s">
        <v>16</v>
      </c>
      <c r="H149" t="s">
        <v>23</v>
      </c>
      <c r="I149" t="s">
        <v>13</v>
      </c>
      <c r="J149">
        <v>1</v>
      </c>
    </row>
    <row r="150" spans="1:10" x14ac:dyDescent="0.3">
      <c r="A150" t="s">
        <v>9</v>
      </c>
      <c r="B150">
        <v>29</v>
      </c>
      <c r="C150">
        <v>1</v>
      </c>
      <c r="D150">
        <v>1</v>
      </c>
      <c r="E150">
        <v>1</v>
      </c>
      <c r="F150" t="s">
        <v>15</v>
      </c>
      <c r="G150" t="s">
        <v>11</v>
      </c>
      <c r="H150" t="s">
        <v>23</v>
      </c>
      <c r="I150" t="s">
        <v>13</v>
      </c>
      <c r="J150">
        <v>1</v>
      </c>
    </row>
    <row r="151" spans="1:10" x14ac:dyDescent="0.3">
      <c r="A151" t="s">
        <v>14</v>
      </c>
      <c r="B151">
        <v>17</v>
      </c>
      <c r="C151">
        <v>0</v>
      </c>
      <c r="D151">
        <v>0</v>
      </c>
      <c r="E151">
        <v>0</v>
      </c>
      <c r="F151" t="s">
        <v>48</v>
      </c>
      <c r="G151" t="s">
        <v>16</v>
      </c>
      <c r="H151" t="s">
        <v>12</v>
      </c>
      <c r="I151" t="s">
        <v>13</v>
      </c>
      <c r="J151">
        <v>0</v>
      </c>
    </row>
    <row r="152" spans="1:10" x14ac:dyDescent="0.3">
      <c r="A152" t="s">
        <v>9</v>
      </c>
      <c r="B152">
        <v>41</v>
      </c>
      <c r="C152">
        <v>1</v>
      </c>
      <c r="D152">
        <v>1</v>
      </c>
      <c r="E152">
        <v>1</v>
      </c>
      <c r="F152" t="s">
        <v>28</v>
      </c>
      <c r="G152" t="s">
        <v>11</v>
      </c>
      <c r="H152" t="s">
        <v>18</v>
      </c>
      <c r="I152" t="s">
        <v>13</v>
      </c>
      <c r="J152">
        <v>1</v>
      </c>
    </row>
    <row r="153" spans="1:10" x14ac:dyDescent="0.3">
      <c r="A153" t="s">
        <v>9</v>
      </c>
      <c r="B153">
        <v>8</v>
      </c>
      <c r="C153">
        <v>1</v>
      </c>
      <c r="D153">
        <v>1</v>
      </c>
      <c r="E153">
        <v>1</v>
      </c>
      <c r="F153" t="s">
        <v>46</v>
      </c>
      <c r="G153" t="s">
        <v>16</v>
      </c>
      <c r="H153" t="s">
        <v>12</v>
      </c>
      <c r="I153" t="s">
        <v>13</v>
      </c>
      <c r="J153">
        <v>1</v>
      </c>
    </row>
    <row r="154" spans="1:10" x14ac:dyDescent="0.3">
      <c r="A154" t="s">
        <v>9</v>
      </c>
      <c r="B154">
        <v>29</v>
      </c>
      <c r="C154">
        <v>1</v>
      </c>
      <c r="D154">
        <v>1</v>
      </c>
      <c r="E154">
        <v>0</v>
      </c>
      <c r="F154" t="s">
        <v>30</v>
      </c>
      <c r="G154" t="s">
        <v>11</v>
      </c>
      <c r="H154" t="s">
        <v>23</v>
      </c>
      <c r="I154" t="s">
        <v>13</v>
      </c>
      <c r="J154">
        <v>1</v>
      </c>
    </row>
    <row r="155" spans="1:10" x14ac:dyDescent="0.3">
      <c r="A155" t="s">
        <v>9</v>
      </c>
      <c r="B155">
        <v>54</v>
      </c>
      <c r="C155">
        <v>1</v>
      </c>
      <c r="D155">
        <v>1</v>
      </c>
      <c r="E155">
        <v>0</v>
      </c>
      <c r="F155" t="s">
        <v>49</v>
      </c>
      <c r="G155" t="s">
        <v>16</v>
      </c>
      <c r="H155" t="s">
        <v>23</v>
      </c>
      <c r="I155" t="s">
        <v>13</v>
      </c>
      <c r="J155">
        <v>1</v>
      </c>
    </row>
    <row r="156" spans="1:10" x14ac:dyDescent="0.3">
      <c r="A156" t="s">
        <v>9</v>
      </c>
      <c r="B156">
        <v>53</v>
      </c>
      <c r="C156">
        <v>0</v>
      </c>
      <c r="D156">
        <v>0</v>
      </c>
      <c r="E156">
        <v>1</v>
      </c>
      <c r="F156" t="s">
        <v>15</v>
      </c>
      <c r="G156" t="s">
        <v>11</v>
      </c>
      <c r="H156" t="s">
        <v>12</v>
      </c>
      <c r="I156" t="s">
        <v>13</v>
      </c>
      <c r="J156">
        <v>0</v>
      </c>
    </row>
    <row r="157" spans="1:10" x14ac:dyDescent="0.3">
      <c r="A157" t="s">
        <v>14</v>
      </c>
      <c r="B157">
        <v>16</v>
      </c>
      <c r="C157">
        <v>1</v>
      </c>
      <c r="D157">
        <v>1</v>
      </c>
      <c r="E157">
        <v>1</v>
      </c>
      <c r="F157" t="s">
        <v>44</v>
      </c>
      <c r="G157" t="s">
        <v>16</v>
      </c>
      <c r="H157" t="s">
        <v>12</v>
      </c>
      <c r="I157" t="s">
        <v>13</v>
      </c>
      <c r="J157">
        <v>1</v>
      </c>
    </row>
    <row r="158" spans="1:10" x14ac:dyDescent="0.3">
      <c r="A158" t="s">
        <v>14</v>
      </c>
      <c r="B158">
        <v>43</v>
      </c>
      <c r="C158">
        <v>0</v>
      </c>
      <c r="D158">
        <v>0</v>
      </c>
      <c r="E158">
        <v>1</v>
      </c>
      <c r="F158" t="s">
        <v>30</v>
      </c>
      <c r="G158" t="s">
        <v>11</v>
      </c>
      <c r="H158" t="s">
        <v>12</v>
      </c>
      <c r="I158" t="s">
        <v>13</v>
      </c>
      <c r="J158">
        <v>0</v>
      </c>
    </row>
    <row r="159" spans="1:10" x14ac:dyDescent="0.3">
      <c r="A159" t="s">
        <v>14</v>
      </c>
      <c r="B159">
        <v>54</v>
      </c>
      <c r="C159">
        <v>0</v>
      </c>
      <c r="D159">
        <v>0</v>
      </c>
      <c r="E159">
        <v>0</v>
      </c>
      <c r="F159" t="s">
        <v>35</v>
      </c>
      <c r="G159" t="s">
        <v>16</v>
      </c>
      <c r="H159" t="s">
        <v>18</v>
      </c>
      <c r="I159" t="s">
        <v>13</v>
      </c>
      <c r="J159">
        <v>0</v>
      </c>
    </row>
    <row r="160" spans="1:10" x14ac:dyDescent="0.3">
      <c r="A160" t="s">
        <v>14</v>
      </c>
      <c r="B160">
        <v>41</v>
      </c>
      <c r="C160">
        <v>0</v>
      </c>
      <c r="D160">
        <v>0</v>
      </c>
      <c r="E160">
        <v>0</v>
      </c>
      <c r="F160" t="s">
        <v>38</v>
      </c>
      <c r="G160" t="s">
        <v>11</v>
      </c>
      <c r="H160" t="s">
        <v>23</v>
      </c>
      <c r="I160" t="s">
        <v>13</v>
      </c>
      <c r="J160">
        <v>0</v>
      </c>
    </row>
    <row r="161" spans="1:10" x14ac:dyDescent="0.3">
      <c r="A161" t="s">
        <v>14</v>
      </c>
      <c r="B161">
        <v>42</v>
      </c>
      <c r="C161">
        <v>0</v>
      </c>
      <c r="D161">
        <v>0</v>
      </c>
      <c r="E161">
        <v>0</v>
      </c>
      <c r="F161" t="s">
        <v>50</v>
      </c>
      <c r="G161" t="s">
        <v>16</v>
      </c>
      <c r="H161" t="s">
        <v>18</v>
      </c>
      <c r="I161" t="s">
        <v>13</v>
      </c>
      <c r="J161">
        <v>0</v>
      </c>
    </row>
    <row r="162" spans="1:10" x14ac:dyDescent="0.3">
      <c r="A162" t="s">
        <v>9</v>
      </c>
      <c r="B162">
        <v>45</v>
      </c>
      <c r="C162">
        <v>1</v>
      </c>
      <c r="D162">
        <v>1</v>
      </c>
      <c r="E162">
        <v>1</v>
      </c>
      <c r="F162" t="s">
        <v>24</v>
      </c>
      <c r="G162" t="s">
        <v>11</v>
      </c>
      <c r="H162" t="s">
        <v>18</v>
      </c>
      <c r="I162" t="s">
        <v>13</v>
      </c>
      <c r="J162">
        <v>1</v>
      </c>
    </row>
    <row r="163" spans="1:10" x14ac:dyDescent="0.3">
      <c r="A163" t="s">
        <v>14</v>
      </c>
      <c r="B163">
        <v>13</v>
      </c>
      <c r="C163">
        <v>1</v>
      </c>
      <c r="D163">
        <v>1</v>
      </c>
      <c r="E163">
        <v>1</v>
      </c>
      <c r="F163" t="s">
        <v>49</v>
      </c>
      <c r="G163" t="s">
        <v>16</v>
      </c>
      <c r="H163" t="s">
        <v>18</v>
      </c>
      <c r="I163" t="s">
        <v>13</v>
      </c>
      <c r="J163">
        <v>1</v>
      </c>
    </row>
    <row r="164" spans="1:10" x14ac:dyDescent="0.3">
      <c r="A164" t="s">
        <v>9</v>
      </c>
      <c r="B164">
        <v>10</v>
      </c>
      <c r="C164">
        <v>1</v>
      </c>
      <c r="D164">
        <v>1</v>
      </c>
      <c r="E164">
        <v>0</v>
      </c>
      <c r="F164" t="s">
        <v>44</v>
      </c>
      <c r="G164" t="s">
        <v>11</v>
      </c>
      <c r="H164" t="s">
        <v>12</v>
      </c>
      <c r="I164" t="s">
        <v>13</v>
      </c>
      <c r="J164">
        <v>1</v>
      </c>
    </row>
    <row r="165" spans="1:10" x14ac:dyDescent="0.3">
      <c r="A165" t="s">
        <v>14</v>
      </c>
      <c r="B165">
        <v>18</v>
      </c>
      <c r="C165">
        <v>1</v>
      </c>
      <c r="D165">
        <v>1</v>
      </c>
      <c r="E165">
        <v>0</v>
      </c>
      <c r="F165" t="s">
        <v>30</v>
      </c>
      <c r="G165" t="s">
        <v>16</v>
      </c>
      <c r="H165" t="s">
        <v>12</v>
      </c>
      <c r="I165" t="s">
        <v>13</v>
      </c>
      <c r="J165">
        <v>1</v>
      </c>
    </row>
    <row r="166" spans="1:10" x14ac:dyDescent="0.3">
      <c r="A166" t="s">
        <v>9</v>
      </c>
      <c r="B166">
        <v>9</v>
      </c>
      <c r="C166">
        <v>1</v>
      </c>
      <c r="D166">
        <v>1</v>
      </c>
      <c r="E166">
        <v>0</v>
      </c>
      <c r="F166" t="s">
        <v>31</v>
      </c>
      <c r="G166" t="s">
        <v>11</v>
      </c>
      <c r="H166" t="s">
        <v>23</v>
      </c>
      <c r="I166" t="s">
        <v>13</v>
      </c>
      <c r="J166">
        <v>1</v>
      </c>
    </row>
    <row r="167" spans="1:10" x14ac:dyDescent="0.3">
      <c r="A167" t="s">
        <v>9</v>
      </c>
      <c r="B167">
        <v>63</v>
      </c>
      <c r="C167">
        <v>0</v>
      </c>
      <c r="D167">
        <v>0</v>
      </c>
      <c r="E167">
        <v>1</v>
      </c>
      <c r="F167" t="s">
        <v>42</v>
      </c>
      <c r="G167" t="s">
        <v>16</v>
      </c>
      <c r="H167" t="s">
        <v>23</v>
      </c>
      <c r="I167" t="s">
        <v>13</v>
      </c>
      <c r="J167">
        <v>0</v>
      </c>
    </row>
    <row r="168" spans="1:10" x14ac:dyDescent="0.3">
      <c r="A168" t="s">
        <v>14</v>
      </c>
      <c r="B168">
        <v>36</v>
      </c>
      <c r="C168">
        <v>1</v>
      </c>
      <c r="D168">
        <v>1</v>
      </c>
      <c r="E168">
        <v>0</v>
      </c>
      <c r="F168" t="s">
        <v>21</v>
      </c>
      <c r="G168" t="s">
        <v>11</v>
      </c>
      <c r="H168" t="s">
        <v>12</v>
      </c>
      <c r="I168" t="s">
        <v>13</v>
      </c>
      <c r="J168">
        <v>1</v>
      </c>
    </row>
    <row r="169" spans="1:10" x14ac:dyDescent="0.3">
      <c r="A169" t="s">
        <v>14</v>
      </c>
      <c r="B169">
        <v>15</v>
      </c>
      <c r="C169">
        <v>0</v>
      </c>
      <c r="D169">
        <v>0</v>
      </c>
      <c r="E169">
        <v>1</v>
      </c>
      <c r="F169" t="s">
        <v>31</v>
      </c>
      <c r="G169" t="s">
        <v>16</v>
      </c>
      <c r="H169" t="s">
        <v>12</v>
      </c>
      <c r="I169" t="s">
        <v>13</v>
      </c>
      <c r="J169">
        <v>0</v>
      </c>
    </row>
    <row r="170" spans="1:10" x14ac:dyDescent="0.3">
      <c r="A170" t="s">
        <v>14</v>
      </c>
      <c r="B170">
        <v>30</v>
      </c>
      <c r="C170">
        <v>0</v>
      </c>
      <c r="D170">
        <v>0</v>
      </c>
      <c r="E170">
        <v>0</v>
      </c>
      <c r="F170" t="s">
        <v>17</v>
      </c>
      <c r="G170" t="s">
        <v>11</v>
      </c>
      <c r="H170" t="s">
        <v>18</v>
      </c>
      <c r="I170" t="s">
        <v>13</v>
      </c>
      <c r="J170">
        <v>0</v>
      </c>
    </row>
    <row r="171" spans="1:10" x14ac:dyDescent="0.3">
      <c r="A171" t="s">
        <v>9</v>
      </c>
      <c r="B171">
        <v>40</v>
      </c>
      <c r="C171">
        <v>1</v>
      </c>
      <c r="D171">
        <v>1</v>
      </c>
      <c r="E171">
        <v>0</v>
      </c>
      <c r="F171" t="s">
        <v>33</v>
      </c>
      <c r="G171" t="s">
        <v>16</v>
      </c>
      <c r="H171" t="s">
        <v>12</v>
      </c>
      <c r="I171" t="s">
        <v>13</v>
      </c>
      <c r="J171">
        <v>1</v>
      </c>
    </row>
    <row r="172" spans="1:10" x14ac:dyDescent="0.3">
      <c r="A172" t="s">
        <v>14</v>
      </c>
      <c r="B172">
        <v>45</v>
      </c>
      <c r="C172">
        <v>1</v>
      </c>
      <c r="D172">
        <v>1</v>
      </c>
      <c r="E172">
        <v>0</v>
      </c>
      <c r="F172" t="s">
        <v>17</v>
      </c>
      <c r="G172" t="s">
        <v>11</v>
      </c>
      <c r="H172" t="s">
        <v>23</v>
      </c>
      <c r="I172" t="s">
        <v>13</v>
      </c>
      <c r="J172">
        <v>1</v>
      </c>
    </row>
    <row r="173" spans="1:10" x14ac:dyDescent="0.3">
      <c r="A173" t="s">
        <v>9</v>
      </c>
      <c r="B173">
        <v>14</v>
      </c>
      <c r="C173">
        <v>0</v>
      </c>
      <c r="D173">
        <v>0</v>
      </c>
      <c r="E173">
        <v>1</v>
      </c>
      <c r="F173" t="s">
        <v>30</v>
      </c>
      <c r="G173" t="s">
        <v>16</v>
      </c>
      <c r="H173" t="s">
        <v>18</v>
      </c>
      <c r="I173" t="s">
        <v>13</v>
      </c>
      <c r="J173">
        <v>0</v>
      </c>
    </row>
    <row r="174" spans="1:10" x14ac:dyDescent="0.3">
      <c r="A174" t="s">
        <v>9</v>
      </c>
      <c r="B174">
        <v>9</v>
      </c>
      <c r="C174">
        <v>1</v>
      </c>
      <c r="D174">
        <v>1</v>
      </c>
      <c r="E174">
        <v>0</v>
      </c>
      <c r="F174" t="s">
        <v>21</v>
      </c>
      <c r="G174" t="s">
        <v>11</v>
      </c>
      <c r="H174" t="s">
        <v>23</v>
      </c>
      <c r="I174" t="s">
        <v>13</v>
      </c>
      <c r="J174">
        <v>1</v>
      </c>
    </row>
    <row r="175" spans="1:10" x14ac:dyDescent="0.3">
      <c r="A175" t="s">
        <v>9</v>
      </c>
      <c r="B175">
        <v>42</v>
      </c>
      <c r="C175">
        <v>0</v>
      </c>
      <c r="D175">
        <v>0</v>
      </c>
      <c r="E175">
        <v>1</v>
      </c>
      <c r="F175" t="s">
        <v>50</v>
      </c>
      <c r="G175" t="s">
        <v>16</v>
      </c>
      <c r="H175" t="s">
        <v>18</v>
      </c>
      <c r="I175" t="s">
        <v>13</v>
      </c>
      <c r="J175">
        <v>0</v>
      </c>
    </row>
    <row r="176" spans="1:10" x14ac:dyDescent="0.3">
      <c r="A176" t="s">
        <v>9</v>
      </c>
      <c r="B176">
        <v>17</v>
      </c>
      <c r="C176">
        <v>0</v>
      </c>
      <c r="D176">
        <v>0</v>
      </c>
      <c r="E176">
        <v>0</v>
      </c>
      <c r="F176" t="s">
        <v>24</v>
      </c>
      <c r="G176" t="s">
        <v>11</v>
      </c>
      <c r="H176" t="s">
        <v>12</v>
      </c>
      <c r="I176" t="s">
        <v>13</v>
      </c>
      <c r="J176">
        <v>0</v>
      </c>
    </row>
    <row r="177" spans="1:10" x14ac:dyDescent="0.3">
      <c r="A177" t="s">
        <v>9</v>
      </c>
      <c r="B177">
        <v>49</v>
      </c>
      <c r="C177">
        <v>0</v>
      </c>
      <c r="D177">
        <v>0</v>
      </c>
      <c r="E177">
        <v>0</v>
      </c>
      <c r="F177" t="s">
        <v>36</v>
      </c>
      <c r="G177" t="s">
        <v>16</v>
      </c>
      <c r="H177" t="s">
        <v>12</v>
      </c>
      <c r="I177" t="s">
        <v>13</v>
      </c>
      <c r="J177">
        <v>0</v>
      </c>
    </row>
    <row r="178" spans="1:10" x14ac:dyDescent="0.3">
      <c r="A178" t="s">
        <v>14</v>
      </c>
      <c r="B178">
        <v>14</v>
      </c>
      <c r="C178">
        <v>0</v>
      </c>
      <c r="D178">
        <v>0</v>
      </c>
      <c r="E178">
        <v>0</v>
      </c>
      <c r="F178" t="s">
        <v>49</v>
      </c>
      <c r="G178" t="s">
        <v>11</v>
      </c>
      <c r="H178" t="s">
        <v>18</v>
      </c>
      <c r="I178" t="s">
        <v>13</v>
      </c>
      <c r="J178">
        <v>0</v>
      </c>
    </row>
    <row r="179" spans="1:10" x14ac:dyDescent="0.3">
      <c r="A179" t="s">
        <v>9</v>
      </c>
      <c r="B179">
        <v>41</v>
      </c>
      <c r="C179">
        <v>0</v>
      </c>
      <c r="D179">
        <v>0</v>
      </c>
      <c r="E179">
        <v>0</v>
      </c>
      <c r="F179" t="s">
        <v>34</v>
      </c>
      <c r="G179" t="s">
        <v>16</v>
      </c>
      <c r="H179" t="s">
        <v>12</v>
      </c>
      <c r="I179" t="s">
        <v>13</v>
      </c>
      <c r="J179">
        <v>0</v>
      </c>
    </row>
    <row r="180" spans="1:10" x14ac:dyDescent="0.3">
      <c r="A180" t="s">
        <v>9</v>
      </c>
      <c r="B180">
        <v>27</v>
      </c>
      <c r="C180">
        <v>1</v>
      </c>
      <c r="D180">
        <v>1</v>
      </c>
      <c r="E180">
        <v>1</v>
      </c>
      <c r="F180" t="s">
        <v>52</v>
      </c>
      <c r="G180" t="s">
        <v>11</v>
      </c>
      <c r="H180" t="s">
        <v>18</v>
      </c>
      <c r="I180" t="s">
        <v>13</v>
      </c>
      <c r="J180">
        <v>1</v>
      </c>
    </row>
    <row r="181" spans="1:10" x14ac:dyDescent="0.3">
      <c r="A181" t="s">
        <v>14</v>
      </c>
      <c r="B181">
        <v>38</v>
      </c>
      <c r="C181">
        <v>1</v>
      </c>
      <c r="D181">
        <v>1</v>
      </c>
      <c r="E181">
        <v>0</v>
      </c>
      <c r="F181" t="s">
        <v>49</v>
      </c>
      <c r="G181" t="s">
        <v>16</v>
      </c>
      <c r="H181" t="s">
        <v>12</v>
      </c>
      <c r="I181" t="s">
        <v>13</v>
      </c>
      <c r="J181">
        <v>1</v>
      </c>
    </row>
    <row r="182" spans="1:10" x14ac:dyDescent="0.3">
      <c r="A182" t="s">
        <v>9</v>
      </c>
      <c r="B182">
        <v>14</v>
      </c>
      <c r="C182">
        <v>1</v>
      </c>
      <c r="D182">
        <v>1</v>
      </c>
      <c r="E182">
        <v>0</v>
      </c>
      <c r="F182" t="s">
        <v>51</v>
      </c>
      <c r="G182" t="s">
        <v>11</v>
      </c>
      <c r="H182" t="s">
        <v>18</v>
      </c>
      <c r="I182" t="s">
        <v>13</v>
      </c>
      <c r="J182">
        <v>1</v>
      </c>
    </row>
    <row r="183" spans="1:10" x14ac:dyDescent="0.3">
      <c r="A183" t="s">
        <v>14</v>
      </c>
      <c r="B183">
        <v>28</v>
      </c>
      <c r="C183">
        <v>0</v>
      </c>
      <c r="D183">
        <v>0</v>
      </c>
      <c r="E183">
        <v>1</v>
      </c>
      <c r="F183" t="s">
        <v>49</v>
      </c>
      <c r="G183" t="s">
        <v>16</v>
      </c>
      <c r="H183" t="s">
        <v>23</v>
      </c>
      <c r="I183" t="s">
        <v>13</v>
      </c>
      <c r="J183">
        <v>0</v>
      </c>
    </row>
    <row r="184" spans="1:10" x14ac:dyDescent="0.3">
      <c r="A184" t="s">
        <v>14</v>
      </c>
      <c r="B184">
        <v>35</v>
      </c>
      <c r="C184">
        <v>1</v>
      </c>
      <c r="D184">
        <v>1</v>
      </c>
      <c r="E184">
        <v>1</v>
      </c>
      <c r="F184" t="s">
        <v>52</v>
      </c>
      <c r="G184" t="s">
        <v>11</v>
      </c>
      <c r="H184" t="s">
        <v>12</v>
      </c>
      <c r="I184" t="s">
        <v>13</v>
      </c>
      <c r="J184">
        <v>1</v>
      </c>
    </row>
    <row r="185" spans="1:10" x14ac:dyDescent="0.3">
      <c r="A185" t="s">
        <v>14</v>
      </c>
      <c r="B185">
        <v>59</v>
      </c>
      <c r="C185">
        <v>0</v>
      </c>
      <c r="D185">
        <v>0</v>
      </c>
      <c r="E185">
        <v>1</v>
      </c>
      <c r="F185" t="s">
        <v>52</v>
      </c>
      <c r="G185" t="s">
        <v>16</v>
      </c>
      <c r="H185" t="s">
        <v>12</v>
      </c>
      <c r="I185" t="s">
        <v>13</v>
      </c>
      <c r="J185">
        <v>0</v>
      </c>
    </row>
    <row r="186" spans="1:10" x14ac:dyDescent="0.3">
      <c r="A186" t="s">
        <v>9</v>
      </c>
      <c r="B186">
        <v>58</v>
      </c>
      <c r="C186">
        <v>1</v>
      </c>
      <c r="D186">
        <v>1</v>
      </c>
      <c r="E186">
        <v>1</v>
      </c>
      <c r="F186" t="s">
        <v>42</v>
      </c>
      <c r="G186" t="s">
        <v>11</v>
      </c>
      <c r="H186" t="s">
        <v>12</v>
      </c>
      <c r="I186" t="s">
        <v>13</v>
      </c>
      <c r="J186">
        <v>1</v>
      </c>
    </row>
    <row r="187" spans="1:10" x14ac:dyDescent="0.3">
      <c r="A187" t="s">
        <v>14</v>
      </c>
      <c r="B187">
        <v>40</v>
      </c>
      <c r="C187">
        <v>0</v>
      </c>
      <c r="D187">
        <v>0</v>
      </c>
      <c r="E187">
        <v>1</v>
      </c>
      <c r="F187" t="s">
        <v>47</v>
      </c>
      <c r="G187" t="s">
        <v>16</v>
      </c>
      <c r="H187" t="s">
        <v>12</v>
      </c>
      <c r="I187" t="s">
        <v>13</v>
      </c>
      <c r="J187">
        <v>0</v>
      </c>
    </row>
    <row r="188" spans="1:10" x14ac:dyDescent="0.3">
      <c r="A188" t="s">
        <v>14</v>
      </c>
      <c r="B188">
        <v>25</v>
      </c>
      <c r="C188">
        <v>0</v>
      </c>
      <c r="D188">
        <v>0</v>
      </c>
      <c r="E188">
        <v>1</v>
      </c>
      <c r="F188" t="s">
        <v>17</v>
      </c>
      <c r="G188" t="s">
        <v>11</v>
      </c>
      <c r="H188" t="s">
        <v>23</v>
      </c>
      <c r="I188" t="s">
        <v>13</v>
      </c>
      <c r="J188">
        <v>0</v>
      </c>
    </row>
    <row r="189" spans="1:10" x14ac:dyDescent="0.3">
      <c r="A189" t="s">
        <v>14</v>
      </c>
      <c r="B189">
        <v>63</v>
      </c>
      <c r="C189">
        <v>0</v>
      </c>
      <c r="D189">
        <v>0</v>
      </c>
      <c r="E189">
        <v>1</v>
      </c>
      <c r="F189" t="s">
        <v>39</v>
      </c>
      <c r="G189" t="s">
        <v>16</v>
      </c>
      <c r="H189" t="s">
        <v>18</v>
      </c>
      <c r="I189" t="s">
        <v>13</v>
      </c>
      <c r="J189">
        <v>0</v>
      </c>
    </row>
    <row r="190" spans="1:10" x14ac:dyDescent="0.3">
      <c r="A190" t="s">
        <v>9</v>
      </c>
      <c r="B190">
        <v>48</v>
      </c>
      <c r="C190">
        <v>1</v>
      </c>
      <c r="D190">
        <v>1</v>
      </c>
      <c r="E190">
        <v>0</v>
      </c>
      <c r="F190" t="s">
        <v>41</v>
      </c>
      <c r="G190" t="s">
        <v>11</v>
      </c>
      <c r="H190" t="s">
        <v>12</v>
      </c>
      <c r="I190" t="s">
        <v>13</v>
      </c>
      <c r="J190">
        <v>1</v>
      </c>
    </row>
    <row r="191" spans="1:10" x14ac:dyDescent="0.3">
      <c r="A191" t="s">
        <v>14</v>
      </c>
      <c r="B191">
        <v>15</v>
      </c>
      <c r="C191">
        <v>1</v>
      </c>
      <c r="D191">
        <v>1</v>
      </c>
      <c r="E191">
        <v>1</v>
      </c>
      <c r="F191" t="s">
        <v>26</v>
      </c>
      <c r="G191" t="s">
        <v>16</v>
      </c>
      <c r="H191" t="s">
        <v>23</v>
      </c>
      <c r="I191" t="s">
        <v>13</v>
      </c>
      <c r="J191">
        <v>1</v>
      </c>
    </row>
    <row r="192" spans="1:10" x14ac:dyDescent="0.3">
      <c r="A192" t="s">
        <v>14</v>
      </c>
      <c r="B192">
        <v>60</v>
      </c>
      <c r="C192">
        <v>0</v>
      </c>
      <c r="D192">
        <v>0</v>
      </c>
      <c r="E192">
        <v>1</v>
      </c>
      <c r="F192" t="s">
        <v>48</v>
      </c>
      <c r="G192" t="s">
        <v>11</v>
      </c>
      <c r="H192" t="s">
        <v>18</v>
      </c>
      <c r="I192" t="s">
        <v>13</v>
      </c>
      <c r="J192">
        <v>0</v>
      </c>
    </row>
    <row r="193" spans="1:10" x14ac:dyDescent="0.3">
      <c r="A193" t="s">
        <v>9</v>
      </c>
      <c r="B193">
        <v>13</v>
      </c>
      <c r="C193">
        <v>0</v>
      </c>
      <c r="D193">
        <v>0</v>
      </c>
      <c r="E193">
        <v>1</v>
      </c>
      <c r="F193" t="s">
        <v>43</v>
      </c>
      <c r="G193" t="s">
        <v>16</v>
      </c>
      <c r="H193" t="s">
        <v>23</v>
      </c>
      <c r="I193" t="s">
        <v>13</v>
      </c>
      <c r="J193">
        <v>0</v>
      </c>
    </row>
    <row r="194" spans="1:10" x14ac:dyDescent="0.3">
      <c r="A194" t="s">
        <v>9</v>
      </c>
      <c r="B194">
        <v>58</v>
      </c>
      <c r="C194">
        <v>0</v>
      </c>
      <c r="D194">
        <v>0</v>
      </c>
      <c r="E194">
        <v>1</v>
      </c>
      <c r="F194" t="s">
        <v>33</v>
      </c>
      <c r="G194" t="s">
        <v>11</v>
      </c>
      <c r="H194" t="s">
        <v>23</v>
      </c>
      <c r="I194" t="s">
        <v>13</v>
      </c>
      <c r="J194">
        <v>0</v>
      </c>
    </row>
    <row r="195" spans="1:10" x14ac:dyDescent="0.3">
      <c r="A195" t="s">
        <v>14</v>
      </c>
      <c r="B195">
        <v>53</v>
      </c>
      <c r="C195">
        <v>1</v>
      </c>
      <c r="D195">
        <v>1</v>
      </c>
      <c r="E195">
        <v>1</v>
      </c>
      <c r="F195" t="s">
        <v>21</v>
      </c>
      <c r="G195" t="s">
        <v>16</v>
      </c>
      <c r="H195" t="s">
        <v>18</v>
      </c>
      <c r="I195" t="s">
        <v>13</v>
      </c>
      <c r="J195">
        <v>1</v>
      </c>
    </row>
    <row r="196" spans="1:10" x14ac:dyDescent="0.3">
      <c r="A196" t="s">
        <v>14</v>
      </c>
      <c r="B196">
        <v>61</v>
      </c>
      <c r="C196">
        <v>1</v>
      </c>
      <c r="D196">
        <v>1</v>
      </c>
      <c r="E196">
        <v>1</v>
      </c>
      <c r="F196" t="s">
        <v>48</v>
      </c>
      <c r="G196" t="s">
        <v>11</v>
      </c>
      <c r="H196" t="s">
        <v>23</v>
      </c>
      <c r="I196" t="s">
        <v>13</v>
      </c>
      <c r="J196">
        <v>1</v>
      </c>
    </row>
    <row r="197" spans="1:10" x14ac:dyDescent="0.3">
      <c r="A197" t="s">
        <v>9</v>
      </c>
      <c r="B197">
        <v>44</v>
      </c>
      <c r="C197">
        <v>0</v>
      </c>
      <c r="D197">
        <v>0</v>
      </c>
      <c r="E197">
        <v>1</v>
      </c>
      <c r="F197" t="s">
        <v>48</v>
      </c>
      <c r="G197" t="s">
        <v>16</v>
      </c>
      <c r="H197" t="s">
        <v>18</v>
      </c>
      <c r="I197" t="s">
        <v>13</v>
      </c>
      <c r="J197">
        <v>0</v>
      </c>
    </row>
    <row r="198" spans="1:10" x14ac:dyDescent="0.3">
      <c r="A198" t="s">
        <v>9</v>
      </c>
      <c r="B198">
        <v>40</v>
      </c>
      <c r="C198">
        <v>0</v>
      </c>
      <c r="D198">
        <v>0</v>
      </c>
      <c r="E198">
        <v>0</v>
      </c>
      <c r="F198" t="s">
        <v>47</v>
      </c>
      <c r="G198" t="s">
        <v>11</v>
      </c>
      <c r="H198" t="s">
        <v>23</v>
      </c>
      <c r="I198" t="s">
        <v>13</v>
      </c>
      <c r="J198">
        <v>0</v>
      </c>
    </row>
    <row r="199" spans="1:10" x14ac:dyDescent="0.3">
      <c r="A199" t="s">
        <v>14</v>
      </c>
      <c r="B199">
        <v>49</v>
      </c>
      <c r="C199">
        <v>0</v>
      </c>
      <c r="D199">
        <v>0</v>
      </c>
      <c r="E199">
        <v>0</v>
      </c>
      <c r="F199" t="s">
        <v>21</v>
      </c>
      <c r="G199" t="s">
        <v>16</v>
      </c>
      <c r="H199" t="s">
        <v>23</v>
      </c>
      <c r="I199" t="s">
        <v>13</v>
      </c>
      <c r="J199">
        <v>0</v>
      </c>
    </row>
    <row r="200" spans="1:10" x14ac:dyDescent="0.3">
      <c r="A200" t="s">
        <v>14</v>
      </c>
      <c r="B200">
        <v>56</v>
      </c>
      <c r="C200">
        <v>1</v>
      </c>
      <c r="D200">
        <v>1</v>
      </c>
      <c r="E200">
        <v>0</v>
      </c>
      <c r="F200" t="s">
        <v>27</v>
      </c>
      <c r="G200" t="s">
        <v>11</v>
      </c>
      <c r="H200" t="s">
        <v>12</v>
      </c>
      <c r="I200" t="s">
        <v>13</v>
      </c>
      <c r="J200">
        <v>1</v>
      </c>
    </row>
    <row r="201" spans="1:10" x14ac:dyDescent="0.3">
      <c r="A201" t="s">
        <v>9</v>
      </c>
      <c r="B201">
        <v>28</v>
      </c>
      <c r="C201">
        <v>0</v>
      </c>
      <c r="D201">
        <v>0</v>
      </c>
      <c r="E201">
        <v>1</v>
      </c>
      <c r="F201" t="s">
        <v>49</v>
      </c>
      <c r="G201" t="s">
        <v>16</v>
      </c>
      <c r="H201" t="s">
        <v>12</v>
      </c>
      <c r="I201" t="s">
        <v>13</v>
      </c>
      <c r="J201">
        <v>0</v>
      </c>
    </row>
    <row r="202" spans="1:10" x14ac:dyDescent="0.3">
      <c r="A202" t="s">
        <v>14</v>
      </c>
      <c r="B202">
        <v>40</v>
      </c>
      <c r="C202">
        <v>0</v>
      </c>
      <c r="D202">
        <v>0</v>
      </c>
      <c r="E202">
        <v>0</v>
      </c>
      <c r="F202" t="s">
        <v>50</v>
      </c>
      <c r="G202" t="s">
        <v>11</v>
      </c>
      <c r="H202" t="s">
        <v>23</v>
      </c>
      <c r="I202" t="s">
        <v>13</v>
      </c>
      <c r="J202">
        <v>0</v>
      </c>
    </row>
    <row r="203" spans="1:10" x14ac:dyDescent="0.3">
      <c r="A203" t="s">
        <v>14</v>
      </c>
      <c r="B203">
        <v>25</v>
      </c>
      <c r="C203">
        <v>1</v>
      </c>
      <c r="D203">
        <v>1</v>
      </c>
      <c r="E203">
        <v>0</v>
      </c>
      <c r="F203" t="s">
        <v>52</v>
      </c>
      <c r="G203" t="s">
        <v>16</v>
      </c>
      <c r="H203" t="s">
        <v>23</v>
      </c>
      <c r="I203" t="s">
        <v>13</v>
      </c>
      <c r="J203">
        <v>1</v>
      </c>
    </row>
    <row r="204" spans="1:10" x14ac:dyDescent="0.3">
      <c r="A204" t="s">
        <v>9</v>
      </c>
      <c r="B204">
        <v>52</v>
      </c>
      <c r="C204">
        <v>0</v>
      </c>
      <c r="D204">
        <v>0</v>
      </c>
      <c r="E204">
        <v>0</v>
      </c>
      <c r="F204" t="s">
        <v>17</v>
      </c>
      <c r="G204" t="s">
        <v>11</v>
      </c>
      <c r="H204" t="s">
        <v>12</v>
      </c>
      <c r="I204" t="s">
        <v>13</v>
      </c>
      <c r="J204">
        <v>0</v>
      </c>
    </row>
    <row r="205" spans="1:10" x14ac:dyDescent="0.3">
      <c r="A205" t="s">
        <v>9</v>
      </c>
      <c r="B205">
        <v>60</v>
      </c>
      <c r="C205">
        <v>0</v>
      </c>
      <c r="D205">
        <v>0</v>
      </c>
      <c r="E205">
        <v>0</v>
      </c>
      <c r="F205" t="s">
        <v>43</v>
      </c>
      <c r="G205" t="s">
        <v>16</v>
      </c>
      <c r="H205" t="s">
        <v>18</v>
      </c>
      <c r="I205" t="s">
        <v>13</v>
      </c>
      <c r="J205">
        <v>0</v>
      </c>
    </row>
    <row r="206" spans="1:10" x14ac:dyDescent="0.3">
      <c r="A206" t="s">
        <v>9</v>
      </c>
      <c r="B206">
        <v>59</v>
      </c>
      <c r="C206">
        <v>0</v>
      </c>
      <c r="D206">
        <v>0</v>
      </c>
      <c r="E206">
        <v>1</v>
      </c>
      <c r="F206" t="s">
        <v>30</v>
      </c>
      <c r="G206" t="s">
        <v>11</v>
      </c>
      <c r="H206" t="s">
        <v>12</v>
      </c>
      <c r="I206" t="s">
        <v>13</v>
      </c>
      <c r="J206">
        <v>0</v>
      </c>
    </row>
    <row r="207" spans="1:10" x14ac:dyDescent="0.3">
      <c r="A207" t="s">
        <v>9</v>
      </c>
      <c r="B207">
        <v>35</v>
      </c>
      <c r="C207">
        <v>1</v>
      </c>
      <c r="D207">
        <v>1</v>
      </c>
      <c r="E207">
        <v>0</v>
      </c>
      <c r="F207" t="s">
        <v>35</v>
      </c>
      <c r="G207" t="s">
        <v>16</v>
      </c>
      <c r="H207" t="s">
        <v>12</v>
      </c>
      <c r="I207" t="s">
        <v>13</v>
      </c>
      <c r="J207">
        <v>1</v>
      </c>
    </row>
    <row r="208" spans="1:10" x14ac:dyDescent="0.3">
      <c r="A208" t="s">
        <v>9</v>
      </c>
      <c r="B208">
        <v>48</v>
      </c>
      <c r="C208">
        <v>1</v>
      </c>
      <c r="D208">
        <v>1</v>
      </c>
      <c r="E208">
        <v>1</v>
      </c>
      <c r="F208" t="s">
        <v>47</v>
      </c>
      <c r="G208" t="s">
        <v>11</v>
      </c>
      <c r="H208" t="s">
        <v>18</v>
      </c>
      <c r="I208" t="s">
        <v>13</v>
      </c>
      <c r="J208">
        <v>1</v>
      </c>
    </row>
    <row r="209" spans="1:10" x14ac:dyDescent="0.3">
      <c r="A209" t="s">
        <v>14</v>
      </c>
      <c r="B209">
        <v>31</v>
      </c>
      <c r="C209">
        <v>1</v>
      </c>
      <c r="D209">
        <v>1</v>
      </c>
      <c r="E209">
        <v>1</v>
      </c>
      <c r="F209" t="s">
        <v>17</v>
      </c>
      <c r="G209" t="s">
        <v>16</v>
      </c>
      <c r="H209" t="s">
        <v>18</v>
      </c>
      <c r="I209" t="s">
        <v>13</v>
      </c>
      <c r="J209">
        <v>1</v>
      </c>
    </row>
    <row r="210" spans="1:10" x14ac:dyDescent="0.3">
      <c r="A210" t="s">
        <v>14</v>
      </c>
      <c r="B210">
        <v>33</v>
      </c>
      <c r="C210">
        <v>1</v>
      </c>
      <c r="D210">
        <v>1</v>
      </c>
      <c r="E210">
        <v>0</v>
      </c>
      <c r="F210" t="s">
        <v>40</v>
      </c>
      <c r="G210" t="s">
        <v>11</v>
      </c>
      <c r="H210" t="s">
        <v>23</v>
      </c>
      <c r="I210" t="s">
        <v>13</v>
      </c>
      <c r="J210">
        <v>1</v>
      </c>
    </row>
    <row r="211" spans="1:10" x14ac:dyDescent="0.3">
      <c r="A211" t="s">
        <v>9</v>
      </c>
      <c r="B211">
        <v>39</v>
      </c>
      <c r="C211">
        <v>1</v>
      </c>
      <c r="D211">
        <v>1</v>
      </c>
      <c r="E211">
        <v>1</v>
      </c>
      <c r="F211" t="s">
        <v>22</v>
      </c>
      <c r="G211" t="s">
        <v>16</v>
      </c>
      <c r="H211" t="s">
        <v>12</v>
      </c>
      <c r="I211" t="s">
        <v>13</v>
      </c>
      <c r="J211">
        <v>1</v>
      </c>
    </row>
    <row r="212" spans="1:10" x14ac:dyDescent="0.3">
      <c r="A212" t="s">
        <v>14</v>
      </c>
      <c r="B212">
        <v>34</v>
      </c>
      <c r="C212">
        <v>0</v>
      </c>
      <c r="D212">
        <v>0</v>
      </c>
      <c r="E212">
        <v>0</v>
      </c>
      <c r="F212" t="s">
        <v>37</v>
      </c>
      <c r="G212" t="s">
        <v>11</v>
      </c>
      <c r="H212" t="s">
        <v>18</v>
      </c>
      <c r="I212" t="s">
        <v>13</v>
      </c>
      <c r="J212">
        <v>0</v>
      </c>
    </row>
    <row r="213" spans="1:10" x14ac:dyDescent="0.3">
      <c r="A213" t="s">
        <v>9</v>
      </c>
      <c r="B213">
        <v>33</v>
      </c>
      <c r="C213">
        <v>1</v>
      </c>
      <c r="D213">
        <v>1</v>
      </c>
      <c r="E213">
        <v>1</v>
      </c>
      <c r="F213" t="s">
        <v>49</v>
      </c>
      <c r="G213" t="s">
        <v>16</v>
      </c>
      <c r="H213" t="s">
        <v>18</v>
      </c>
      <c r="I213" t="s">
        <v>13</v>
      </c>
      <c r="J213">
        <v>1</v>
      </c>
    </row>
    <row r="214" spans="1:10" x14ac:dyDescent="0.3">
      <c r="A214" t="s">
        <v>9</v>
      </c>
      <c r="B214">
        <v>18</v>
      </c>
      <c r="C214">
        <v>0</v>
      </c>
      <c r="D214">
        <v>1</v>
      </c>
      <c r="E214">
        <v>1</v>
      </c>
      <c r="F214" t="s">
        <v>49</v>
      </c>
      <c r="G214" t="s">
        <v>11</v>
      </c>
      <c r="H214" t="s">
        <v>23</v>
      </c>
      <c r="I214" t="s">
        <v>13</v>
      </c>
      <c r="J214">
        <v>1</v>
      </c>
    </row>
    <row r="215" spans="1:10" x14ac:dyDescent="0.3">
      <c r="A215" t="s">
        <v>9</v>
      </c>
      <c r="B215">
        <v>43</v>
      </c>
      <c r="C215">
        <v>1</v>
      </c>
      <c r="D215">
        <v>1</v>
      </c>
      <c r="E215">
        <v>1</v>
      </c>
      <c r="F215" t="s">
        <v>32</v>
      </c>
      <c r="G215" t="s">
        <v>16</v>
      </c>
      <c r="H215" t="s">
        <v>18</v>
      </c>
      <c r="I215" t="s">
        <v>13</v>
      </c>
      <c r="J215">
        <v>1</v>
      </c>
    </row>
    <row r="216" spans="1:10" x14ac:dyDescent="0.3">
      <c r="A216" t="s">
        <v>14</v>
      </c>
      <c r="B216">
        <v>61</v>
      </c>
      <c r="C216">
        <v>0</v>
      </c>
      <c r="D216">
        <v>0</v>
      </c>
      <c r="E216">
        <v>1</v>
      </c>
      <c r="F216" t="s">
        <v>25</v>
      </c>
      <c r="G216" t="s">
        <v>11</v>
      </c>
      <c r="H216" t="s">
        <v>12</v>
      </c>
      <c r="I216" t="s">
        <v>13</v>
      </c>
      <c r="J216">
        <v>0</v>
      </c>
    </row>
    <row r="217" spans="1:10" x14ac:dyDescent="0.3">
      <c r="A217" t="s">
        <v>9</v>
      </c>
      <c r="B217">
        <v>46</v>
      </c>
      <c r="C217">
        <v>0</v>
      </c>
      <c r="D217">
        <v>0</v>
      </c>
      <c r="E217">
        <v>0</v>
      </c>
      <c r="F217" t="s">
        <v>20</v>
      </c>
      <c r="G217" t="s">
        <v>16</v>
      </c>
      <c r="H217" t="s">
        <v>18</v>
      </c>
      <c r="I217" t="s">
        <v>13</v>
      </c>
      <c r="J217">
        <v>0</v>
      </c>
    </row>
    <row r="218" spans="1:10" x14ac:dyDescent="0.3">
      <c r="A218" t="s">
        <v>14</v>
      </c>
      <c r="B218">
        <v>59</v>
      </c>
      <c r="C218">
        <v>1</v>
      </c>
      <c r="D218">
        <v>1</v>
      </c>
      <c r="E218">
        <v>1</v>
      </c>
      <c r="F218" t="s">
        <v>29</v>
      </c>
      <c r="G218" t="s">
        <v>11</v>
      </c>
      <c r="H218" t="s">
        <v>18</v>
      </c>
      <c r="I218" t="s">
        <v>13</v>
      </c>
      <c r="J218">
        <v>1</v>
      </c>
    </row>
    <row r="219" spans="1:10" x14ac:dyDescent="0.3">
      <c r="A219" t="s">
        <v>9</v>
      </c>
      <c r="B219">
        <v>55</v>
      </c>
      <c r="C219">
        <v>1</v>
      </c>
      <c r="D219">
        <v>1</v>
      </c>
      <c r="E219">
        <v>1</v>
      </c>
      <c r="F219" t="s">
        <v>28</v>
      </c>
      <c r="G219" t="s">
        <v>16</v>
      </c>
      <c r="H219" t="s">
        <v>12</v>
      </c>
      <c r="I219" t="s">
        <v>13</v>
      </c>
      <c r="J219">
        <v>1</v>
      </c>
    </row>
    <row r="220" spans="1:10" x14ac:dyDescent="0.3">
      <c r="A220" t="s">
        <v>14</v>
      </c>
      <c r="B220">
        <v>25</v>
      </c>
      <c r="C220">
        <v>0</v>
      </c>
      <c r="D220">
        <v>0</v>
      </c>
      <c r="E220">
        <v>1</v>
      </c>
      <c r="F220" t="s">
        <v>10</v>
      </c>
      <c r="G220" t="s">
        <v>11</v>
      </c>
      <c r="H220" t="s">
        <v>23</v>
      </c>
      <c r="I220" t="s">
        <v>13</v>
      </c>
      <c r="J220">
        <v>0</v>
      </c>
    </row>
    <row r="221" spans="1:10" x14ac:dyDescent="0.3">
      <c r="A221" t="s">
        <v>9</v>
      </c>
      <c r="B221">
        <v>53</v>
      </c>
      <c r="C221">
        <v>0</v>
      </c>
      <c r="D221">
        <v>0</v>
      </c>
      <c r="E221">
        <v>1</v>
      </c>
      <c r="F221" t="s">
        <v>32</v>
      </c>
      <c r="G221" t="s">
        <v>16</v>
      </c>
      <c r="H221" t="s">
        <v>23</v>
      </c>
      <c r="I221" t="s">
        <v>13</v>
      </c>
      <c r="J221">
        <v>0</v>
      </c>
    </row>
    <row r="222" spans="1:10" x14ac:dyDescent="0.3">
      <c r="A222" t="s">
        <v>9</v>
      </c>
      <c r="B222">
        <v>32</v>
      </c>
      <c r="C222">
        <v>1</v>
      </c>
      <c r="D222">
        <v>1</v>
      </c>
      <c r="E222">
        <v>0</v>
      </c>
      <c r="F222" t="s">
        <v>50</v>
      </c>
      <c r="G222" t="s">
        <v>11</v>
      </c>
      <c r="H222" t="s">
        <v>12</v>
      </c>
      <c r="I222" t="s">
        <v>13</v>
      </c>
      <c r="J222">
        <v>1</v>
      </c>
    </row>
    <row r="223" spans="1:10" x14ac:dyDescent="0.3">
      <c r="A223" t="s">
        <v>14</v>
      </c>
      <c r="B223">
        <v>40</v>
      </c>
      <c r="C223">
        <v>1</v>
      </c>
      <c r="D223">
        <v>1</v>
      </c>
      <c r="E223">
        <v>1</v>
      </c>
      <c r="F223" t="s">
        <v>43</v>
      </c>
      <c r="G223" t="s">
        <v>16</v>
      </c>
      <c r="H223" t="s">
        <v>18</v>
      </c>
      <c r="I223" t="s">
        <v>13</v>
      </c>
      <c r="J223">
        <v>1</v>
      </c>
    </row>
    <row r="224" spans="1:10" x14ac:dyDescent="0.3">
      <c r="A224" t="s">
        <v>14</v>
      </c>
      <c r="B224">
        <v>57</v>
      </c>
      <c r="C224">
        <v>1</v>
      </c>
      <c r="D224">
        <v>1</v>
      </c>
      <c r="E224">
        <v>1</v>
      </c>
      <c r="F224" t="s">
        <v>35</v>
      </c>
      <c r="G224" t="s">
        <v>11</v>
      </c>
      <c r="H224" t="s">
        <v>12</v>
      </c>
      <c r="I224" t="s">
        <v>13</v>
      </c>
      <c r="J224">
        <v>1</v>
      </c>
    </row>
    <row r="225" spans="1:10" x14ac:dyDescent="0.3">
      <c r="A225" t="s">
        <v>14</v>
      </c>
      <c r="B225">
        <v>43</v>
      </c>
      <c r="C225">
        <v>0</v>
      </c>
      <c r="D225">
        <v>0</v>
      </c>
      <c r="E225">
        <v>1</v>
      </c>
      <c r="F225" t="s">
        <v>29</v>
      </c>
      <c r="G225" t="s">
        <v>16</v>
      </c>
      <c r="H225" t="s">
        <v>18</v>
      </c>
      <c r="I225" t="s">
        <v>13</v>
      </c>
      <c r="J225">
        <v>0</v>
      </c>
    </row>
    <row r="226" spans="1:10" x14ac:dyDescent="0.3">
      <c r="A226" t="s">
        <v>14</v>
      </c>
      <c r="B226">
        <v>43</v>
      </c>
      <c r="C226">
        <v>0</v>
      </c>
      <c r="D226">
        <v>0</v>
      </c>
      <c r="E226">
        <v>1</v>
      </c>
      <c r="F226" t="s">
        <v>40</v>
      </c>
      <c r="G226" t="s">
        <v>11</v>
      </c>
      <c r="H226" t="s">
        <v>12</v>
      </c>
      <c r="I226" t="s">
        <v>13</v>
      </c>
      <c r="J226">
        <v>0</v>
      </c>
    </row>
    <row r="227" spans="1:10" x14ac:dyDescent="0.3">
      <c r="A227" t="s">
        <v>14</v>
      </c>
      <c r="B227">
        <v>57</v>
      </c>
      <c r="C227">
        <v>0</v>
      </c>
      <c r="D227">
        <v>0</v>
      </c>
      <c r="E227">
        <v>0</v>
      </c>
      <c r="F227" t="s">
        <v>44</v>
      </c>
      <c r="G227" t="s">
        <v>16</v>
      </c>
      <c r="H227" t="s">
        <v>12</v>
      </c>
      <c r="I227" t="s">
        <v>13</v>
      </c>
      <c r="J227">
        <v>0</v>
      </c>
    </row>
    <row r="228" spans="1:10" x14ac:dyDescent="0.3">
      <c r="A228" t="s">
        <v>9</v>
      </c>
      <c r="B228">
        <v>55</v>
      </c>
      <c r="C228">
        <v>1</v>
      </c>
      <c r="D228">
        <v>1</v>
      </c>
      <c r="E228">
        <v>1</v>
      </c>
      <c r="F228" t="s">
        <v>15</v>
      </c>
      <c r="G228" t="s">
        <v>11</v>
      </c>
      <c r="H228" t="s">
        <v>18</v>
      </c>
      <c r="I228" t="s">
        <v>13</v>
      </c>
      <c r="J228">
        <v>1</v>
      </c>
    </row>
    <row r="229" spans="1:10" x14ac:dyDescent="0.3">
      <c r="A229" t="s">
        <v>9</v>
      </c>
      <c r="B229">
        <v>16</v>
      </c>
      <c r="C229">
        <v>1</v>
      </c>
      <c r="D229">
        <v>1</v>
      </c>
      <c r="E229">
        <v>0</v>
      </c>
      <c r="F229" t="s">
        <v>52</v>
      </c>
      <c r="G229" t="s">
        <v>16</v>
      </c>
      <c r="H229" t="s">
        <v>12</v>
      </c>
      <c r="I229" t="s">
        <v>13</v>
      </c>
      <c r="J229">
        <v>1</v>
      </c>
    </row>
    <row r="230" spans="1:10" x14ac:dyDescent="0.3">
      <c r="A230" t="s">
        <v>14</v>
      </c>
      <c r="B230">
        <v>25</v>
      </c>
      <c r="C230">
        <v>0</v>
      </c>
      <c r="D230">
        <v>0</v>
      </c>
      <c r="E230">
        <v>1</v>
      </c>
      <c r="F230" t="s">
        <v>31</v>
      </c>
      <c r="G230" t="s">
        <v>11</v>
      </c>
      <c r="H230" t="s">
        <v>18</v>
      </c>
      <c r="I230" t="s">
        <v>13</v>
      </c>
      <c r="J230">
        <v>0</v>
      </c>
    </row>
    <row r="231" spans="1:10" x14ac:dyDescent="0.3">
      <c r="A231" t="s">
        <v>9</v>
      </c>
      <c r="B231">
        <v>28</v>
      </c>
      <c r="C231">
        <v>1</v>
      </c>
      <c r="D231">
        <v>1</v>
      </c>
      <c r="E231">
        <v>0</v>
      </c>
      <c r="F231" t="s">
        <v>52</v>
      </c>
      <c r="G231" t="s">
        <v>16</v>
      </c>
      <c r="H231" t="s">
        <v>18</v>
      </c>
      <c r="I231" t="s">
        <v>13</v>
      </c>
      <c r="J231">
        <v>1</v>
      </c>
    </row>
    <row r="232" spans="1:10" x14ac:dyDescent="0.3">
      <c r="A232" t="s">
        <v>9</v>
      </c>
      <c r="B232">
        <v>41</v>
      </c>
      <c r="C232">
        <v>0</v>
      </c>
      <c r="D232">
        <v>0</v>
      </c>
      <c r="E232">
        <v>0</v>
      </c>
      <c r="F232" t="s">
        <v>51</v>
      </c>
      <c r="G232" t="s">
        <v>11</v>
      </c>
      <c r="H232" t="s">
        <v>18</v>
      </c>
      <c r="I232" t="s">
        <v>13</v>
      </c>
      <c r="J232">
        <v>0</v>
      </c>
    </row>
    <row r="233" spans="1:10" x14ac:dyDescent="0.3">
      <c r="A233" t="s">
        <v>14</v>
      </c>
      <c r="B233">
        <v>52</v>
      </c>
      <c r="C233">
        <v>1</v>
      </c>
      <c r="D233">
        <v>1</v>
      </c>
      <c r="E233">
        <v>1</v>
      </c>
      <c r="F233" t="s">
        <v>38</v>
      </c>
      <c r="G233" t="s">
        <v>16</v>
      </c>
      <c r="H233" t="s">
        <v>18</v>
      </c>
      <c r="I233" t="s">
        <v>13</v>
      </c>
      <c r="J233">
        <v>1</v>
      </c>
    </row>
    <row r="234" spans="1:10" x14ac:dyDescent="0.3">
      <c r="A234" t="s">
        <v>14</v>
      </c>
      <c r="B234">
        <v>46</v>
      </c>
      <c r="C234">
        <v>1</v>
      </c>
      <c r="D234">
        <v>1</v>
      </c>
      <c r="E234">
        <v>0</v>
      </c>
      <c r="F234" t="s">
        <v>33</v>
      </c>
      <c r="G234" t="s">
        <v>11</v>
      </c>
      <c r="H234" t="s">
        <v>23</v>
      </c>
      <c r="I234" t="s">
        <v>13</v>
      </c>
      <c r="J234">
        <v>1</v>
      </c>
    </row>
    <row r="235" spans="1:10" x14ac:dyDescent="0.3">
      <c r="A235" t="s">
        <v>9</v>
      </c>
      <c r="B235">
        <v>55</v>
      </c>
      <c r="C235">
        <v>0</v>
      </c>
      <c r="D235">
        <v>0</v>
      </c>
      <c r="E235">
        <v>1</v>
      </c>
      <c r="F235" t="s">
        <v>36</v>
      </c>
      <c r="G235" t="s">
        <v>16</v>
      </c>
      <c r="H235" t="s">
        <v>12</v>
      </c>
      <c r="I235" t="s">
        <v>13</v>
      </c>
      <c r="J235">
        <v>0</v>
      </c>
    </row>
    <row r="236" spans="1:10" x14ac:dyDescent="0.3">
      <c r="A236" t="s">
        <v>9</v>
      </c>
      <c r="B236">
        <v>53</v>
      </c>
      <c r="C236">
        <v>1</v>
      </c>
      <c r="D236">
        <v>1</v>
      </c>
      <c r="E236">
        <v>1</v>
      </c>
      <c r="F236" t="s">
        <v>24</v>
      </c>
      <c r="G236" t="s">
        <v>11</v>
      </c>
      <c r="H236" t="s">
        <v>23</v>
      </c>
      <c r="I236" t="s">
        <v>13</v>
      </c>
      <c r="J236">
        <v>1</v>
      </c>
    </row>
    <row r="237" spans="1:10" x14ac:dyDescent="0.3">
      <c r="A237" t="s">
        <v>9</v>
      </c>
      <c r="B237">
        <v>42</v>
      </c>
      <c r="C237">
        <v>1</v>
      </c>
      <c r="D237">
        <v>1</v>
      </c>
      <c r="E237">
        <v>0</v>
      </c>
      <c r="F237" t="s">
        <v>48</v>
      </c>
      <c r="G237" t="s">
        <v>16</v>
      </c>
      <c r="H237" t="s">
        <v>18</v>
      </c>
      <c r="I237" t="s">
        <v>13</v>
      </c>
      <c r="J237">
        <v>1</v>
      </c>
    </row>
    <row r="238" spans="1:10" x14ac:dyDescent="0.3">
      <c r="A238" t="s">
        <v>9</v>
      </c>
      <c r="B238">
        <v>30</v>
      </c>
      <c r="C238">
        <v>0</v>
      </c>
      <c r="D238">
        <v>0</v>
      </c>
      <c r="E238">
        <v>0</v>
      </c>
      <c r="F238" t="s">
        <v>49</v>
      </c>
      <c r="G238" t="s">
        <v>11</v>
      </c>
      <c r="H238" t="s">
        <v>12</v>
      </c>
      <c r="I238" t="s">
        <v>13</v>
      </c>
      <c r="J238">
        <v>0</v>
      </c>
    </row>
    <row r="239" spans="1:10" x14ac:dyDescent="0.3">
      <c r="A239" t="s">
        <v>9</v>
      </c>
      <c r="B239">
        <v>18</v>
      </c>
      <c r="C239">
        <v>1</v>
      </c>
      <c r="D239">
        <v>1</v>
      </c>
      <c r="E239">
        <v>0</v>
      </c>
      <c r="F239" t="s">
        <v>49</v>
      </c>
      <c r="G239" t="s">
        <v>16</v>
      </c>
      <c r="H239" t="s">
        <v>23</v>
      </c>
      <c r="I239" t="s">
        <v>13</v>
      </c>
      <c r="J239">
        <v>1</v>
      </c>
    </row>
    <row r="240" spans="1:10" x14ac:dyDescent="0.3">
      <c r="A240" t="s">
        <v>9</v>
      </c>
      <c r="B240">
        <v>44</v>
      </c>
      <c r="C240">
        <v>0</v>
      </c>
      <c r="D240">
        <v>0</v>
      </c>
      <c r="E240">
        <v>1</v>
      </c>
      <c r="F240" t="s">
        <v>46</v>
      </c>
      <c r="G240" t="s">
        <v>11</v>
      </c>
      <c r="H240" t="s">
        <v>12</v>
      </c>
      <c r="I240" t="s">
        <v>13</v>
      </c>
      <c r="J240">
        <v>0</v>
      </c>
    </row>
    <row r="241" spans="1:10" x14ac:dyDescent="0.3">
      <c r="A241" t="s">
        <v>9</v>
      </c>
      <c r="B241">
        <v>21</v>
      </c>
      <c r="C241">
        <v>1</v>
      </c>
      <c r="D241">
        <v>1</v>
      </c>
      <c r="E241">
        <v>1</v>
      </c>
      <c r="F241" t="s">
        <v>50</v>
      </c>
      <c r="G241" t="s">
        <v>16</v>
      </c>
      <c r="H241" t="s">
        <v>23</v>
      </c>
      <c r="I241" t="s">
        <v>13</v>
      </c>
      <c r="J241">
        <v>1</v>
      </c>
    </row>
    <row r="242" spans="1:10" x14ac:dyDescent="0.3">
      <c r="A242" t="s">
        <v>14</v>
      </c>
      <c r="B242">
        <v>56</v>
      </c>
      <c r="C242">
        <v>0</v>
      </c>
      <c r="D242">
        <v>0</v>
      </c>
      <c r="E242">
        <v>0</v>
      </c>
      <c r="F242" t="s">
        <v>27</v>
      </c>
      <c r="G242" t="s">
        <v>11</v>
      </c>
      <c r="H242" t="s">
        <v>12</v>
      </c>
      <c r="I242" t="s">
        <v>13</v>
      </c>
      <c r="J242">
        <v>0</v>
      </c>
    </row>
    <row r="243" spans="1:10" x14ac:dyDescent="0.3">
      <c r="A243" t="s">
        <v>14</v>
      </c>
      <c r="B243">
        <v>50</v>
      </c>
      <c r="C243">
        <v>1</v>
      </c>
      <c r="D243">
        <v>1</v>
      </c>
      <c r="E243">
        <v>0</v>
      </c>
      <c r="F243" t="s">
        <v>47</v>
      </c>
      <c r="G243" t="s">
        <v>16</v>
      </c>
      <c r="H243" t="s">
        <v>12</v>
      </c>
      <c r="I243" t="s">
        <v>13</v>
      </c>
      <c r="J243">
        <v>1</v>
      </c>
    </row>
    <row r="244" spans="1:10" x14ac:dyDescent="0.3">
      <c r="A244" t="s">
        <v>9</v>
      </c>
      <c r="B244">
        <v>12</v>
      </c>
      <c r="C244">
        <v>1</v>
      </c>
      <c r="D244">
        <v>1</v>
      </c>
      <c r="E244">
        <v>0</v>
      </c>
      <c r="F244" t="s">
        <v>37</v>
      </c>
      <c r="G244" t="s">
        <v>11</v>
      </c>
      <c r="H244" t="s">
        <v>23</v>
      </c>
      <c r="I244" t="s">
        <v>13</v>
      </c>
      <c r="J244">
        <v>1</v>
      </c>
    </row>
    <row r="245" spans="1:10" x14ac:dyDescent="0.3">
      <c r="A245" t="s">
        <v>14</v>
      </c>
      <c r="B245">
        <v>43</v>
      </c>
      <c r="C245">
        <v>0</v>
      </c>
      <c r="D245">
        <v>0</v>
      </c>
      <c r="E245">
        <v>0</v>
      </c>
      <c r="F245" t="s">
        <v>21</v>
      </c>
      <c r="G245" t="s">
        <v>16</v>
      </c>
      <c r="H245" t="s">
        <v>18</v>
      </c>
      <c r="I245" t="s">
        <v>13</v>
      </c>
      <c r="J245">
        <v>0</v>
      </c>
    </row>
    <row r="246" spans="1:10" x14ac:dyDescent="0.3">
      <c r="A246" t="s">
        <v>9</v>
      </c>
      <c r="B246">
        <v>42</v>
      </c>
      <c r="C246">
        <v>1</v>
      </c>
      <c r="D246">
        <v>1</v>
      </c>
      <c r="E246">
        <v>0</v>
      </c>
      <c r="F246" t="s">
        <v>27</v>
      </c>
      <c r="G246" t="s">
        <v>11</v>
      </c>
      <c r="H246" t="s">
        <v>12</v>
      </c>
      <c r="I246" t="s">
        <v>13</v>
      </c>
      <c r="J246">
        <v>1</v>
      </c>
    </row>
    <row r="247" spans="1:10" x14ac:dyDescent="0.3">
      <c r="A247" t="s">
        <v>9</v>
      </c>
      <c r="B247">
        <v>38</v>
      </c>
      <c r="C247">
        <v>0</v>
      </c>
      <c r="D247">
        <v>1</v>
      </c>
      <c r="E247">
        <v>0</v>
      </c>
      <c r="F247" t="s">
        <v>32</v>
      </c>
      <c r="G247" t="s">
        <v>16</v>
      </c>
      <c r="H247" t="s">
        <v>18</v>
      </c>
      <c r="I247" t="s">
        <v>13</v>
      </c>
      <c r="J247">
        <v>1</v>
      </c>
    </row>
    <row r="248" spans="1:10" x14ac:dyDescent="0.3">
      <c r="A248" t="s">
        <v>14</v>
      </c>
      <c r="B248">
        <v>62</v>
      </c>
      <c r="C248">
        <v>1</v>
      </c>
      <c r="D248">
        <v>1</v>
      </c>
      <c r="E248">
        <v>0</v>
      </c>
      <c r="F248" t="s">
        <v>43</v>
      </c>
      <c r="G248" t="s">
        <v>11</v>
      </c>
      <c r="H248" t="s">
        <v>23</v>
      </c>
      <c r="I248" t="s">
        <v>13</v>
      </c>
      <c r="J248">
        <v>1</v>
      </c>
    </row>
    <row r="249" spans="1:10" x14ac:dyDescent="0.3">
      <c r="A249" t="s">
        <v>9</v>
      </c>
      <c r="B249">
        <v>32</v>
      </c>
      <c r="C249">
        <v>0</v>
      </c>
      <c r="D249">
        <v>0</v>
      </c>
      <c r="E249">
        <v>0</v>
      </c>
      <c r="F249" t="s">
        <v>48</v>
      </c>
      <c r="G249" t="s">
        <v>16</v>
      </c>
      <c r="H249" t="s">
        <v>23</v>
      </c>
      <c r="I249" t="s">
        <v>13</v>
      </c>
      <c r="J249">
        <v>0</v>
      </c>
    </row>
    <row r="250" spans="1:10" x14ac:dyDescent="0.3">
      <c r="A250" t="s">
        <v>14</v>
      </c>
      <c r="B250">
        <v>19</v>
      </c>
      <c r="C250">
        <v>1</v>
      </c>
      <c r="D250">
        <v>1</v>
      </c>
      <c r="E250">
        <v>0</v>
      </c>
      <c r="F250" t="s">
        <v>49</v>
      </c>
      <c r="G250" t="s">
        <v>11</v>
      </c>
      <c r="H250" t="s">
        <v>12</v>
      </c>
      <c r="I250" t="s">
        <v>13</v>
      </c>
      <c r="J250">
        <v>1</v>
      </c>
    </row>
    <row r="251" spans="1:10" x14ac:dyDescent="0.3">
      <c r="A251" t="s">
        <v>9</v>
      </c>
      <c r="B251">
        <v>19</v>
      </c>
      <c r="C251">
        <v>1</v>
      </c>
      <c r="D251">
        <v>1</v>
      </c>
      <c r="E251">
        <v>1</v>
      </c>
      <c r="F251" t="s">
        <v>25</v>
      </c>
      <c r="G251" t="s">
        <v>16</v>
      </c>
      <c r="H251" t="s">
        <v>18</v>
      </c>
      <c r="I251" t="s">
        <v>13</v>
      </c>
      <c r="J251">
        <v>1</v>
      </c>
    </row>
    <row r="252" spans="1:10" x14ac:dyDescent="0.3">
      <c r="A252" t="s">
        <v>14</v>
      </c>
      <c r="B252">
        <v>40</v>
      </c>
      <c r="C252">
        <v>1</v>
      </c>
      <c r="D252">
        <v>1</v>
      </c>
      <c r="E252">
        <v>1</v>
      </c>
      <c r="F252" t="s">
        <v>39</v>
      </c>
      <c r="G252" t="s">
        <v>11</v>
      </c>
      <c r="H252" t="s">
        <v>18</v>
      </c>
      <c r="I252" t="s">
        <v>13</v>
      </c>
      <c r="J252">
        <v>1</v>
      </c>
    </row>
    <row r="253" spans="1:10" x14ac:dyDescent="0.3">
      <c r="A253" t="s">
        <v>9</v>
      </c>
      <c r="B253">
        <v>10</v>
      </c>
      <c r="C253">
        <v>0</v>
      </c>
      <c r="D253">
        <v>0</v>
      </c>
      <c r="E253">
        <v>1</v>
      </c>
      <c r="F253" t="s">
        <v>27</v>
      </c>
      <c r="G253" t="s">
        <v>16</v>
      </c>
      <c r="H253" t="s">
        <v>23</v>
      </c>
      <c r="I253" t="s">
        <v>13</v>
      </c>
      <c r="J253">
        <v>0</v>
      </c>
    </row>
    <row r="254" spans="1:10" x14ac:dyDescent="0.3">
      <c r="A254" t="s">
        <v>9</v>
      </c>
      <c r="B254">
        <v>20</v>
      </c>
      <c r="C254">
        <v>0</v>
      </c>
      <c r="D254">
        <v>0</v>
      </c>
      <c r="E254">
        <v>0</v>
      </c>
      <c r="F254" t="s">
        <v>22</v>
      </c>
      <c r="G254" t="s">
        <v>11</v>
      </c>
      <c r="H254" t="s">
        <v>23</v>
      </c>
      <c r="I254" t="s">
        <v>13</v>
      </c>
      <c r="J254">
        <v>0</v>
      </c>
    </row>
    <row r="255" spans="1:10" x14ac:dyDescent="0.3">
      <c r="A255" t="s">
        <v>14</v>
      </c>
      <c r="B255">
        <v>26</v>
      </c>
      <c r="C255">
        <v>0</v>
      </c>
      <c r="D255">
        <v>0</v>
      </c>
      <c r="E255">
        <v>0</v>
      </c>
      <c r="F255" t="s">
        <v>24</v>
      </c>
      <c r="G255" t="s">
        <v>16</v>
      </c>
      <c r="H255" t="s">
        <v>18</v>
      </c>
      <c r="I255" t="s">
        <v>13</v>
      </c>
      <c r="J255">
        <v>0</v>
      </c>
    </row>
    <row r="256" spans="1:10" x14ac:dyDescent="0.3">
      <c r="A256" t="s">
        <v>14</v>
      </c>
      <c r="B256">
        <v>29</v>
      </c>
      <c r="C256">
        <v>0</v>
      </c>
      <c r="D256">
        <v>0</v>
      </c>
      <c r="E256">
        <v>0</v>
      </c>
      <c r="F256" t="s">
        <v>40</v>
      </c>
      <c r="G256" t="s">
        <v>11</v>
      </c>
      <c r="H256" t="s">
        <v>23</v>
      </c>
      <c r="I256" t="s">
        <v>13</v>
      </c>
      <c r="J256">
        <v>0</v>
      </c>
    </row>
    <row r="257" spans="1:10" x14ac:dyDescent="0.3">
      <c r="A257" t="s">
        <v>14</v>
      </c>
      <c r="B257">
        <v>39</v>
      </c>
      <c r="C257">
        <v>1</v>
      </c>
      <c r="D257">
        <v>1</v>
      </c>
      <c r="E257">
        <v>1</v>
      </c>
      <c r="F257" t="s">
        <v>28</v>
      </c>
      <c r="G257" t="s">
        <v>16</v>
      </c>
      <c r="H257" t="s">
        <v>18</v>
      </c>
      <c r="I257" t="s">
        <v>13</v>
      </c>
      <c r="J257">
        <v>1</v>
      </c>
    </row>
    <row r="258" spans="1:10" x14ac:dyDescent="0.3">
      <c r="A258" t="s">
        <v>9</v>
      </c>
      <c r="B258">
        <v>65</v>
      </c>
      <c r="C258">
        <v>1</v>
      </c>
      <c r="D258">
        <v>1</v>
      </c>
      <c r="E258">
        <v>1</v>
      </c>
      <c r="F258" t="s">
        <v>41</v>
      </c>
      <c r="G258" t="s">
        <v>11</v>
      </c>
      <c r="H258" t="s">
        <v>18</v>
      </c>
      <c r="I258" t="s">
        <v>13</v>
      </c>
      <c r="J258">
        <v>1</v>
      </c>
    </row>
    <row r="259" spans="1:10" x14ac:dyDescent="0.3">
      <c r="A259" t="s">
        <v>9</v>
      </c>
      <c r="B259">
        <v>38</v>
      </c>
      <c r="C259">
        <v>0</v>
      </c>
      <c r="D259">
        <v>0</v>
      </c>
      <c r="E259">
        <v>1</v>
      </c>
      <c r="F259" t="s">
        <v>48</v>
      </c>
      <c r="G259" t="s">
        <v>16</v>
      </c>
      <c r="H259" t="s">
        <v>18</v>
      </c>
      <c r="I259" t="s">
        <v>13</v>
      </c>
      <c r="J259">
        <v>0</v>
      </c>
    </row>
    <row r="260" spans="1:10" x14ac:dyDescent="0.3">
      <c r="A260" t="s">
        <v>14</v>
      </c>
      <c r="B260">
        <v>14</v>
      </c>
      <c r="C260">
        <v>0</v>
      </c>
      <c r="D260">
        <v>0</v>
      </c>
      <c r="E260">
        <v>0</v>
      </c>
      <c r="F260" t="s">
        <v>48</v>
      </c>
      <c r="G260" t="s">
        <v>11</v>
      </c>
      <c r="H260" t="s">
        <v>23</v>
      </c>
      <c r="I260" t="s">
        <v>13</v>
      </c>
      <c r="J260">
        <v>0</v>
      </c>
    </row>
    <row r="261" spans="1:10" x14ac:dyDescent="0.3">
      <c r="A261" t="s">
        <v>9</v>
      </c>
      <c r="B261">
        <v>62</v>
      </c>
      <c r="C261">
        <v>0</v>
      </c>
      <c r="D261">
        <v>0</v>
      </c>
      <c r="E261">
        <v>0</v>
      </c>
      <c r="F261" t="s">
        <v>25</v>
      </c>
      <c r="G261" t="s">
        <v>16</v>
      </c>
      <c r="H261" t="s">
        <v>23</v>
      </c>
      <c r="I261" t="s">
        <v>13</v>
      </c>
      <c r="J261">
        <v>0</v>
      </c>
    </row>
    <row r="262" spans="1:10" x14ac:dyDescent="0.3">
      <c r="A262" t="s">
        <v>9</v>
      </c>
      <c r="B262">
        <v>37</v>
      </c>
      <c r="C262">
        <v>0</v>
      </c>
      <c r="D262">
        <v>0</v>
      </c>
      <c r="E262">
        <v>1</v>
      </c>
      <c r="F262" t="s">
        <v>39</v>
      </c>
      <c r="G262" t="s">
        <v>11</v>
      </c>
      <c r="H262" t="s">
        <v>18</v>
      </c>
      <c r="I262" t="s">
        <v>13</v>
      </c>
      <c r="J262">
        <v>0</v>
      </c>
    </row>
    <row r="263" spans="1:10" x14ac:dyDescent="0.3">
      <c r="A263" t="s">
        <v>9</v>
      </c>
      <c r="B263">
        <v>25</v>
      </c>
      <c r="C263">
        <v>1</v>
      </c>
      <c r="D263">
        <v>1</v>
      </c>
      <c r="E263">
        <v>1</v>
      </c>
      <c r="F263" t="s">
        <v>44</v>
      </c>
      <c r="G263" t="s">
        <v>16</v>
      </c>
      <c r="H263" t="s">
        <v>23</v>
      </c>
      <c r="I263" t="s">
        <v>13</v>
      </c>
      <c r="J263">
        <v>1</v>
      </c>
    </row>
    <row r="264" spans="1:10" x14ac:dyDescent="0.3">
      <c r="A264" t="s">
        <v>9</v>
      </c>
      <c r="B264">
        <v>64</v>
      </c>
      <c r="C264">
        <v>1</v>
      </c>
      <c r="D264">
        <v>1</v>
      </c>
      <c r="E264">
        <v>0</v>
      </c>
      <c r="F264" t="s">
        <v>49</v>
      </c>
      <c r="G264" t="s">
        <v>11</v>
      </c>
      <c r="H264" t="s">
        <v>23</v>
      </c>
      <c r="I264" t="s">
        <v>13</v>
      </c>
      <c r="J264">
        <v>1</v>
      </c>
    </row>
    <row r="265" spans="1:10" x14ac:dyDescent="0.3">
      <c r="A265" t="s">
        <v>9</v>
      </c>
      <c r="B265">
        <v>51</v>
      </c>
      <c r="C265">
        <v>1</v>
      </c>
      <c r="D265">
        <v>1</v>
      </c>
      <c r="E265">
        <v>1</v>
      </c>
      <c r="F265" t="s">
        <v>32</v>
      </c>
      <c r="G265" t="s">
        <v>16</v>
      </c>
      <c r="H265" t="s">
        <v>18</v>
      </c>
      <c r="I265" t="s">
        <v>13</v>
      </c>
      <c r="J265">
        <v>1</v>
      </c>
    </row>
    <row r="266" spans="1:10" x14ac:dyDescent="0.3">
      <c r="A266" t="s">
        <v>9</v>
      </c>
      <c r="B266">
        <v>11</v>
      </c>
      <c r="C266">
        <v>0</v>
      </c>
      <c r="D266">
        <v>0</v>
      </c>
      <c r="E266">
        <v>1</v>
      </c>
      <c r="F266" t="s">
        <v>10</v>
      </c>
      <c r="G266" t="s">
        <v>11</v>
      </c>
      <c r="H266" t="s">
        <v>12</v>
      </c>
      <c r="I266" t="s">
        <v>13</v>
      </c>
      <c r="J266">
        <v>0</v>
      </c>
    </row>
    <row r="267" spans="1:10" x14ac:dyDescent="0.3">
      <c r="A267" t="s">
        <v>14</v>
      </c>
      <c r="B267">
        <v>20</v>
      </c>
      <c r="C267">
        <v>1</v>
      </c>
      <c r="D267">
        <v>1</v>
      </c>
      <c r="E267">
        <v>1</v>
      </c>
      <c r="F267" t="s">
        <v>40</v>
      </c>
      <c r="G267" t="s">
        <v>16</v>
      </c>
      <c r="H267" t="s">
        <v>12</v>
      </c>
      <c r="I267" t="s">
        <v>13</v>
      </c>
      <c r="J267">
        <v>1</v>
      </c>
    </row>
    <row r="268" spans="1:10" x14ac:dyDescent="0.3">
      <c r="A268" t="s">
        <v>14</v>
      </c>
      <c r="B268">
        <v>8</v>
      </c>
      <c r="C268">
        <v>0</v>
      </c>
      <c r="D268">
        <v>0</v>
      </c>
      <c r="E268">
        <v>0</v>
      </c>
      <c r="F268" t="s">
        <v>46</v>
      </c>
      <c r="G268" t="s">
        <v>11</v>
      </c>
      <c r="H268" t="s">
        <v>23</v>
      </c>
      <c r="I268" t="s">
        <v>13</v>
      </c>
      <c r="J268">
        <v>0</v>
      </c>
    </row>
    <row r="269" spans="1:10" x14ac:dyDescent="0.3">
      <c r="A269" t="s">
        <v>14</v>
      </c>
      <c r="B269">
        <v>27</v>
      </c>
      <c r="C269">
        <v>1</v>
      </c>
      <c r="D269">
        <v>1</v>
      </c>
      <c r="E269">
        <v>1</v>
      </c>
      <c r="F269" t="s">
        <v>43</v>
      </c>
      <c r="G269" t="s">
        <v>16</v>
      </c>
      <c r="H269" t="s">
        <v>23</v>
      </c>
      <c r="I269" t="s">
        <v>13</v>
      </c>
      <c r="J269">
        <v>1</v>
      </c>
    </row>
    <row r="270" spans="1:10" x14ac:dyDescent="0.3">
      <c r="A270" t="s">
        <v>9</v>
      </c>
      <c r="B270">
        <v>44</v>
      </c>
      <c r="C270">
        <v>1</v>
      </c>
      <c r="D270">
        <v>1</v>
      </c>
      <c r="E270">
        <v>1</v>
      </c>
      <c r="F270" t="s">
        <v>19</v>
      </c>
      <c r="G270" t="s">
        <v>11</v>
      </c>
      <c r="H270" t="s">
        <v>12</v>
      </c>
      <c r="I270" t="s">
        <v>13</v>
      </c>
      <c r="J270">
        <v>1</v>
      </c>
    </row>
    <row r="271" spans="1:10" x14ac:dyDescent="0.3">
      <c r="A271" t="s">
        <v>9</v>
      </c>
      <c r="B271">
        <v>28</v>
      </c>
      <c r="C271">
        <v>1</v>
      </c>
      <c r="D271">
        <v>1</v>
      </c>
      <c r="E271">
        <v>0</v>
      </c>
      <c r="F271" t="s">
        <v>21</v>
      </c>
      <c r="G271" t="s">
        <v>16</v>
      </c>
      <c r="H271" t="s">
        <v>23</v>
      </c>
      <c r="I271" t="s">
        <v>13</v>
      </c>
      <c r="J271">
        <v>1</v>
      </c>
    </row>
    <row r="272" spans="1:10" x14ac:dyDescent="0.3">
      <c r="A272" t="s">
        <v>14</v>
      </c>
      <c r="B272">
        <v>38</v>
      </c>
      <c r="C272">
        <v>0</v>
      </c>
      <c r="D272">
        <v>0</v>
      </c>
      <c r="E272">
        <v>0</v>
      </c>
      <c r="F272" t="s">
        <v>35</v>
      </c>
      <c r="G272" t="s">
        <v>11</v>
      </c>
      <c r="H272" t="s">
        <v>23</v>
      </c>
      <c r="I272" t="s">
        <v>13</v>
      </c>
      <c r="J272">
        <v>0</v>
      </c>
    </row>
    <row r="273" spans="1:10" x14ac:dyDescent="0.3">
      <c r="A273" t="s">
        <v>14</v>
      </c>
      <c r="B273">
        <v>27</v>
      </c>
      <c r="C273">
        <v>0</v>
      </c>
      <c r="D273">
        <v>0</v>
      </c>
      <c r="E273">
        <v>0</v>
      </c>
      <c r="F273" t="s">
        <v>49</v>
      </c>
      <c r="G273" t="s">
        <v>16</v>
      </c>
      <c r="H273" t="s">
        <v>23</v>
      </c>
      <c r="I273" t="s">
        <v>13</v>
      </c>
      <c r="J273">
        <v>0</v>
      </c>
    </row>
    <row r="274" spans="1:10" x14ac:dyDescent="0.3">
      <c r="A274" t="s">
        <v>14</v>
      </c>
      <c r="B274">
        <v>36</v>
      </c>
      <c r="C274">
        <v>1</v>
      </c>
      <c r="D274">
        <v>1</v>
      </c>
      <c r="E274">
        <v>0</v>
      </c>
      <c r="F274" t="s">
        <v>48</v>
      </c>
      <c r="G274" t="s">
        <v>11</v>
      </c>
      <c r="H274" t="s">
        <v>12</v>
      </c>
      <c r="I274" t="s">
        <v>13</v>
      </c>
      <c r="J274">
        <v>1</v>
      </c>
    </row>
    <row r="275" spans="1:10" x14ac:dyDescent="0.3">
      <c r="A275" t="s">
        <v>9</v>
      </c>
      <c r="B275">
        <v>65</v>
      </c>
      <c r="C275">
        <v>0</v>
      </c>
      <c r="D275">
        <v>0</v>
      </c>
      <c r="E275">
        <v>1</v>
      </c>
      <c r="F275" t="s">
        <v>17</v>
      </c>
      <c r="G275" t="s">
        <v>16</v>
      </c>
      <c r="H275" t="s">
        <v>12</v>
      </c>
      <c r="I275" t="s">
        <v>13</v>
      </c>
      <c r="J275">
        <v>0</v>
      </c>
    </row>
    <row r="276" spans="1:10" x14ac:dyDescent="0.3">
      <c r="A276" t="s">
        <v>9</v>
      </c>
      <c r="B276">
        <v>38</v>
      </c>
      <c r="C276">
        <v>1</v>
      </c>
      <c r="D276">
        <v>1</v>
      </c>
      <c r="E276">
        <v>0</v>
      </c>
      <c r="F276" t="s">
        <v>34</v>
      </c>
      <c r="G276" t="s">
        <v>11</v>
      </c>
      <c r="H276" t="s">
        <v>18</v>
      </c>
      <c r="I276" t="s">
        <v>13</v>
      </c>
      <c r="J276">
        <v>1</v>
      </c>
    </row>
    <row r="277" spans="1:10" x14ac:dyDescent="0.3">
      <c r="A277" t="s">
        <v>9</v>
      </c>
      <c r="B277">
        <v>42</v>
      </c>
      <c r="C277">
        <v>1</v>
      </c>
      <c r="D277">
        <v>1</v>
      </c>
      <c r="E277">
        <v>0</v>
      </c>
      <c r="F277" t="s">
        <v>24</v>
      </c>
      <c r="G277" t="s">
        <v>16</v>
      </c>
      <c r="H277" t="s">
        <v>12</v>
      </c>
      <c r="I277" t="s">
        <v>13</v>
      </c>
      <c r="J277">
        <v>1</v>
      </c>
    </row>
    <row r="278" spans="1:10" x14ac:dyDescent="0.3">
      <c r="A278" t="s">
        <v>14</v>
      </c>
      <c r="B278">
        <v>10</v>
      </c>
      <c r="C278">
        <v>1</v>
      </c>
      <c r="D278">
        <v>1</v>
      </c>
      <c r="E278">
        <v>1</v>
      </c>
      <c r="F278" t="s">
        <v>47</v>
      </c>
      <c r="G278" t="s">
        <v>11</v>
      </c>
      <c r="H278" t="s">
        <v>12</v>
      </c>
      <c r="I278" t="s">
        <v>13</v>
      </c>
      <c r="J278">
        <v>1</v>
      </c>
    </row>
    <row r="279" spans="1:10" x14ac:dyDescent="0.3">
      <c r="A279" t="s">
        <v>14</v>
      </c>
      <c r="B279">
        <v>44</v>
      </c>
      <c r="C279">
        <v>0</v>
      </c>
      <c r="D279">
        <v>0</v>
      </c>
      <c r="E279">
        <v>0</v>
      </c>
      <c r="F279" t="s">
        <v>41</v>
      </c>
      <c r="G279" t="s">
        <v>16</v>
      </c>
      <c r="H279" t="s">
        <v>23</v>
      </c>
      <c r="I279" t="s">
        <v>13</v>
      </c>
      <c r="J279">
        <v>0</v>
      </c>
    </row>
    <row r="280" spans="1:10" x14ac:dyDescent="0.3">
      <c r="A280" t="s">
        <v>14</v>
      </c>
      <c r="B280">
        <v>19</v>
      </c>
      <c r="C280">
        <v>1</v>
      </c>
      <c r="D280">
        <v>1</v>
      </c>
      <c r="E280">
        <v>1</v>
      </c>
      <c r="F280" t="s">
        <v>37</v>
      </c>
      <c r="G280" t="s">
        <v>11</v>
      </c>
      <c r="H280" t="s">
        <v>18</v>
      </c>
      <c r="I280" t="s">
        <v>13</v>
      </c>
      <c r="J280">
        <v>1</v>
      </c>
    </row>
    <row r="281" spans="1:10" x14ac:dyDescent="0.3">
      <c r="A281" t="s">
        <v>14</v>
      </c>
      <c r="B281">
        <v>18</v>
      </c>
      <c r="C281">
        <v>1</v>
      </c>
      <c r="D281">
        <v>1</v>
      </c>
      <c r="E281">
        <v>1</v>
      </c>
      <c r="F281" t="s">
        <v>35</v>
      </c>
      <c r="G281" t="s">
        <v>16</v>
      </c>
      <c r="H281" t="s">
        <v>18</v>
      </c>
      <c r="I281" t="s">
        <v>13</v>
      </c>
      <c r="J281">
        <v>1</v>
      </c>
    </row>
    <row r="282" spans="1:10" x14ac:dyDescent="0.3">
      <c r="A282" t="s">
        <v>14</v>
      </c>
      <c r="B282">
        <v>29</v>
      </c>
      <c r="C282">
        <v>0</v>
      </c>
      <c r="D282">
        <v>0</v>
      </c>
      <c r="E282">
        <v>1</v>
      </c>
      <c r="F282" t="s">
        <v>50</v>
      </c>
      <c r="G282" t="s">
        <v>11</v>
      </c>
      <c r="H282" t="s">
        <v>18</v>
      </c>
      <c r="I282" t="s">
        <v>13</v>
      </c>
      <c r="J282">
        <v>0</v>
      </c>
    </row>
    <row r="283" spans="1:10" x14ac:dyDescent="0.3">
      <c r="A283" t="s">
        <v>14</v>
      </c>
      <c r="B283">
        <v>58</v>
      </c>
      <c r="C283">
        <v>1</v>
      </c>
      <c r="D283">
        <v>1</v>
      </c>
      <c r="E283">
        <v>1</v>
      </c>
      <c r="F283" t="s">
        <v>48</v>
      </c>
      <c r="G283" t="s">
        <v>16</v>
      </c>
      <c r="H283" t="s">
        <v>18</v>
      </c>
      <c r="I283" t="s">
        <v>13</v>
      </c>
      <c r="J283">
        <v>1</v>
      </c>
    </row>
    <row r="284" spans="1:10" x14ac:dyDescent="0.3">
      <c r="A284" t="s">
        <v>9</v>
      </c>
      <c r="B284">
        <v>45</v>
      </c>
      <c r="C284">
        <v>1</v>
      </c>
      <c r="D284">
        <v>1</v>
      </c>
      <c r="E284">
        <v>1</v>
      </c>
      <c r="F284" t="s">
        <v>27</v>
      </c>
      <c r="G284" t="s">
        <v>11</v>
      </c>
      <c r="H284" t="s">
        <v>18</v>
      </c>
      <c r="I284" t="s">
        <v>13</v>
      </c>
      <c r="J284">
        <v>1</v>
      </c>
    </row>
    <row r="285" spans="1:10" x14ac:dyDescent="0.3">
      <c r="A285" t="s">
        <v>9</v>
      </c>
      <c r="B285">
        <v>40</v>
      </c>
      <c r="C285">
        <v>1</v>
      </c>
      <c r="D285">
        <v>1</v>
      </c>
      <c r="E285">
        <v>0</v>
      </c>
      <c r="F285" t="s">
        <v>50</v>
      </c>
      <c r="G285" t="s">
        <v>16</v>
      </c>
      <c r="H285" t="s">
        <v>18</v>
      </c>
      <c r="I285" t="s">
        <v>13</v>
      </c>
      <c r="J285">
        <v>1</v>
      </c>
    </row>
    <row r="286" spans="1:10" x14ac:dyDescent="0.3">
      <c r="A286" t="s">
        <v>9</v>
      </c>
      <c r="B286">
        <v>20</v>
      </c>
      <c r="C286">
        <v>0</v>
      </c>
      <c r="D286">
        <v>0</v>
      </c>
      <c r="E286">
        <v>0</v>
      </c>
      <c r="F286" t="s">
        <v>37</v>
      </c>
      <c r="G286" t="s">
        <v>11</v>
      </c>
      <c r="H286" t="s">
        <v>12</v>
      </c>
      <c r="I286" t="s">
        <v>13</v>
      </c>
      <c r="J286">
        <v>0</v>
      </c>
    </row>
    <row r="287" spans="1:10" x14ac:dyDescent="0.3">
      <c r="A287" t="s">
        <v>14</v>
      </c>
      <c r="B287">
        <v>41</v>
      </c>
      <c r="C287">
        <v>0</v>
      </c>
      <c r="D287">
        <v>0</v>
      </c>
      <c r="E287">
        <v>0</v>
      </c>
      <c r="F287" t="s">
        <v>33</v>
      </c>
      <c r="G287" t="s">
        <v>16</v>
      </c>
      <c r="H287" t="s">
        <v>12</v>
      </c>
      <c r="I287" t="s">
        <v>13</v>
      </c>
      <c r="J287">
        <v>0</v>
      </c>
    </row>
    <row r="288" spans="1:10" x14ac:dyDescent="0.3">
      <c r="A288" t="s">
        <v>14</v>
      </c>
      <c r="B288">
        <v>23</v>
      </c>
      <c r="C288">
        <v>1</v>
      </c>
      <c r="D288">
        <v>1</v>
      </c>
      <c r="E288">
        <v>0</v>
      </c>
      <c r="F288" t="s">
        <v>37</v>
      </c>
      <c r="G288" t="s">
        <v>11</v>
      </c>
      <c r="H288" t="s">
        <v>12</v>
      </c>
      <c r="I288" t="s">
        <v>13</v>
      </c>
      <c r="J288">
        <v>1</v>
      </c>
    </row>
    <row r="289" spans="1:10" x14ac:dyDescent="0.3">
      <c r="A289" t="s">
        <v>14</v>
      </c>
      <c r="B289">
        <v>29</v>
      </c>
      <c r="C289">
        <v>0</v>
      </c>
      <c r="D289">
        <v>0</v>
      </c>
      <c r="E289">
        <v>0</v>
      </c>
      <c r="F289" t="s">
        <v>51</v>
      </c>
      <c r="G289" t="s">
        <v>16</v>
      </c>
      <c r="H289" t="s">
        <v>12</v>
      </c>
      <c r="I289" t="s">
        <v>13</v>
      </c>
      <c r="J289">
        <v>0</v>
      </c>
    </row>
    <row r="290" spans="1:10" x14ac:dyDescent="0.3">
      <c r="A290" t="s">
        <v>14</v>
      </c>
      <c r="B290">
        <v>48</v>
      </c>
      <c r="C290">
        <v>1</v>
      </c>
      <c r="D290">
        <v>1</v>
      </c>
      <c r="E290">
        <v>1</v>
      </c>
      <c r="F290" t="s">
        <v>36</v>
      </c>
      <c r="G290" t="s">
        <v>11</v>
      </c>
      <c r="H290" t="s">
        <v>12</v>
      </c>
      <c r="I290" t="s">
        <v>13</v>
      </c>
      <c r="J290">
        <v>1</v>
      </c>
    </row>
    <row r="291" spans="1:10" x14ac:dyDescent="0.3">
      <c r="A291" t="s">
        <v>9</v>
      </c>
      <c r="B291">
        <v>17</v>
      </c>
      <c r="C291">
        <v>0</v>
      </c>
      <c r="D291">
        <v>0</v>
      </c>
      <c r="E291">
        <v>0</v>
      </c>
      <c r="F291" t="s">
        <v>49</v>
      </c>
      <c r="G291" t="s">
        <v>16</v>
      </c>
      <c r="H291" t="s">
        <v>12</v>
      </c>
      <c r="I291" t="s">
        <v>13</v>
      </c>
      <c r="J291">
        <v>0</v>
      </c>
    </row>
    <row r="292" spans="1:10" x14ac:dyDescent="0.3">
      <c r="A292" t="s">
        <v>9</v>
      </c>
      <c r="B292">
        <v>62</v>
      </c>
      <c r="C292">
        <v>0</v>
      </c>
      <c r="D292">
        <v>0</v>
      </c>
      <c r="E292">
        <v>0</v>
      </c>
      <c r="F292" t="s">
        <v>19</v>
      </c>
      <c r="G292" t="s">
        <v>11</v>
      </c>
      <c r="H292" t="s">
        <v>23</v>
      </c>
      <c r="I292" t="s">
        <v>13</v>
      </c>
      <c r="J292">
        <v>0</v>
      </c>
    </row>
    <row r="293" spans="1:10" x14ac:dyDescent="0.3">
      <c r="A293" t="s">
        <v>9</v>
      </c>
      <c r="B293">
        <v>34</v>
      </c>
      <c r="C293">
        <v>1</v>
      </c>
      <c r="D293">
        <v>1</v>
      </c>
      <c r="E293">
        <v>0</v>
      </c>
      <c r="F293" t="s">
        <v>19</v>
      </c>
      <c r="G293" t="s">
        <v>16</v>
      </c>
      <c r="H293" t="s">
        <v>23</v>
      </c>
      <c r="I293" t="s">
        <v>13</v>
      </c>
      <c r="J293">
        <v>1</v>
      </c>
    </row>
    <row r="294" spans="1:10" x14ac:dyDescent="0.3">
      <c r="A294" t="s">
        <v>9</v>
      </c>
      <c r="B294">
        <v>8</v>
      </c>
      <c r="C294">
        <v>1</v>
      </c>
      <c r="D294">
        <v>1</v>
      </c>
      <c r="E294">
        <v>0</v>
      </c>
      <c r="F294" t="s">
        <v>17</v>
      </c>
      <c r="G294" t="s">
        <v>11</v>
      </c>
      <c r="H294" t="s">
        <v>23</v>
      </c>
      <c r="I294" t="s">
        <v>13</v>
      </c>
      <c r="J294">
        <v>1</v>
      </c>
    </row>
    <row r="295" spans="1:10" x14ac:dyDescent="0.3">
      <c r="A295" t="s">
        <v>14</v>
      </c>
      <c r="B295">
        <v>22</v>
      </c>
      <c r="C295">
        <v>0</v>
      </c>
      <c r="D295">
        <v>0</v>
      </c>
      <c r="E295">
        <v>0</v>
      </c>
      <c r="F295" t="s">
        <v>20</v>
      </c>
      <c r="G295" t="s">
        <v>16</v>
      </c>
      <c r="H295" t="s">
        <v>12</v>
      </c>
      <c r="I295" t="s">
        <v>13</v>
      </c>
      <c r="J295">
        <v>0</v>
      </c>
    </row>
    <row r="296" spans="1:10" x14ac:dyDescent="0.3">
      <c r="A296" t="s">
        <v>14</v>
      </c>
      <c r="B296">
        <v>23</v>
      </c>
      <c r="C296">
        <v>0</v>
      </c>
      <c r="D296">
        <v>0</v>
      </c>
      <c r="E296">
        <v>1</v>
      </c>
      <c r="F296" t="s">
        <v>46</v>
      </c>
      <c r="G296" t="s">
        <v>11</v>
      </c>
      <c r="H296" t="s">
        <v>18</v>
      </c>
      <c r="I296" t="s">
        <v>13</v>
      </c>
      <c r="J296">
        <v>0</v>
      </c>
    </row>
    <row r="297" spans="1:10" x14ac:dyDescent="0.3">
      <c r="A297" t="s">
        <v>14</v>
      </c>
      <c r="B297">
        <v>47</v>
      </c>
      <c r="C297">
        <v>0</v>
      </c>
      <c r="D297">
        <v>0</v>
      </c>
      <c r="E297">
        <v>0</v>
      </c>
      <c r="F297" t="s">
        <v>29</v>
      </c>
      <c r="G297" t="s">
        <v>16</v>
      </c>
      <c r="H297" t="s">
        <v>23</v>
      </c>
      <c r="I297" t="s">
        <v>13</v>
      </c>
      <c r="J297">
        <v>0</v>
      </c>
    </row>
    <row r="298" spans="1:10" x14ac:dyDescent="0.3">
      <c r="A298" t="s">
        <v>14</v>
      </c>
      <c r="B298">
        <v>50</v>
      </c>
      <c r="C298">
        <v>0</v>
      </c>
      <c r="D298">
        <v>0</v>
      </c>
      <c r="E298">
        <v>1</v>
      </c>
      <c r="F298" t="s">
        <v>50</v>
      </c>
      <c r="G298" t="s">
        <v>11</v>
      </c>
      <c r="H298" t="s">
        <v>23</v>
      </c>
      <c r="I298" t="s">
        <v>13</v>
      </c>
      <c r="J298">
        <v>0</v>
      </c>
    </row>
    <row r="299" spans="1:10" x14ac:dyDescent="0.3">
      <c r="A299" t="s">
        <v>14</v>
      </c>
      <c r="B299">
        <v>15</v>
      </c>
      <c r="C299">
        <v>0</v>
      </c>
      <c r="D299">
        <v>0</v>
      </c>
      <c r="E299">
        <v>0</v>
      </c>
      <c r="F299" t="s">
        <v>43</v>
      </c>
      <c r="G299" t="s">
        <v>16</v>
      </c>
      <c r="H299" t="s">
        <v>12</v>
      </c>
      <c r="I299" t="s">
        <v>13</v>
      </c>
      <c r="J299">
        <v>0</v>
      </c>
    </row>
    <row r="300" spans="1:10" x14ac:dyDescent="0.3">
      <c r="A300" t="s">
        <v>14</v>
      </c>
      <c r="B300">
        <v>11</v>
      </c>
      <c r="C300">
        <v>1</v>
      </c>
      <c r="D300">
        <v>1</v>
      </c>
      <c r="E300">
        <v>0</v>
      </c>
      <c r="F300" t="s">
        <v>49</v>
      </c>
      <c r="G300" t="s">
        <v>11</v>
      </c>
      <c r="H300" t="s">
        <v>23</v>
      </c>
      <c r="I300" t="s">
        <v>13</v>
      </c>
      <c r="J300">
        <v>1</v>
      </c>
    </row>
    <row r="301" spans="1:10" x14ac:dyDescent="0.3">
      <c r="A301" t="s">
        <v>9</v>
      </c>
      <c r="B301">
        <v>46</v>
      </c>
      <c r="C301">
        <v>1</v>
      </c>
      <c r="D301">
        <v>1</v>
      </c>
      <c r="E301">
        <v>0</v>
      </c>
      <c r="F301" t="s">
        <v>31</v>
      </c>
      <c r="G301" t="s">
        <v>16</v>
      </c>
      <c r="H301" t="s">
        <v>12</v>
      </c>
      <c r="I301" t="s">
        <v>13</v>
      </c>
      <c r="J301">
        <v>1</v>
      </c>
    </row>
    <row r="302" spans="1:10" x14ac:dyDescent="0.3">
      <c r="A302" t="s">
        <v>9</v>
      </c>
      <c r="B302">
        <v>52</v>
      </c>
      <c r="C302">
        <v>1</v>
      </c>
      <c r="D302">
        <v>1</v>
      </c>
      <c r="E302">
        <v>0</v>
      </c>
      <c r="F302" t="s">
        <v>38</v>
      </c>
      <c r="G302" t="s">
        <v>11</v>
      </c>
      <c r="H302" t="s">
        <v>23</v>
      </c>
      <c r="I302" t="s">
        <v>13</v>
      </c>
      <c r="J302">
        <v>1</v>
      </c>
    </row>
    <row r="303" spans="1:10" x14ac:dyDescent="0.3">
      <c r="A303" t="s">
        <v>14</v>
      </c>
      <c r="B303">
        <v>44</v>
      </c>
      <c r="C303">
        <v>0</v>
      </c>
      <c r="D303">
        <v>0</v>
      </c>
      <c r="E303">
        <v>1</v>
      </c>
      <c r="F303" t="s">
        <v>41</v>
      </c>
      <c r="G303" t="s">
        <v>16</v>
      </c>
      <c r="H303" t="s">
        <v>23</v>
      </c>
      <c r="I303" t="s">
        <v>13</v>
      </c>
      <c r="J303">
        <v>0</v>
      </c>
    </row>
    <row r="304" spans="1:10" x14ac:dyDescent="0.3">
      <c r="A304" t="s">
        <v>14</v>
      </c>
      <c r="B304">
        <v>12</v>
      </c>
      <c r="C304">
        <v>0</v>
      </c>
      <c r="D304">
        <v>0</v>
      </c>
      <c r="E304">
        <v>1</v>
      </c>
      <c r="F304" t="s">
        <v>38</v>
      </c>
      <c r="G304" t="s">
        <v>11</v>
      </c>
      <c r="H304" t="s">
        <v>18</v>
      </c>
      <c r="I304" t="s">
        <v>13</v>
      </c>
      <c r="J304">
        <v>0</v>
      </c>
    </row>
    <row r="305" spans="1:10" x14ac:dyDescent="0.3">
      <c r="A305" t="s">
        <v>9</v>
      </c>
      <c r="B305">
        <v>30</v>
      </c>
      <c r="C305">
        <v>0</v>
      </c>
      <c r="D305">
        <v>0</v>
      </c>
      <c r="E305">
        <v>0</v>
      </c>
      <c r="F305" t="s">
        <v>21</v>
      </c>
      <c r="G305" t="s">
        <v>16</v>
      </c>
      <c r="H305" t="s">
        <v>12</v>
      </c>
      <c r="I305" t="s">
        <v>13</v>
      </c>
      <c r="J305">
        <v>0</v>
      </c>
    </row>
    <row r="306" spans="1:10" x14ac:dyDescent="0.3">
      <c r="A306" t="s">
        <v>14</v>
      </c>
      <c r="B306">
        <v>41</v>
      </c>
      <c r="C306">
        <v>0</v>
      </c>
      <c r="D306">
        <v>0</v>
      </c>
      <c r="E306">
        <v>0</v>
      </c>
      <c r="F306" t="s">
        <v>26</v>
      </c>
      <c r="G306" t="s">
        <v>11</v>
      </c>
      <c r="H306" t="s">
        <v>18</v>
      </c>
      <c r="I306" t="s">
        <v>13</v>
      </c>
      <c r="J306">
        <v>0</v>
      </c>
    </row>
    <row r="307" spans="1:10" x14ac:dyDescent="0.3">
      <c r="A307" t="s">
        <v>14</v>
      </c>
      <c r="B307">
        <v>62</v>
      </c>
      <c r="C307">
        <v>1</v>
      </c>
      <c r="D307">
        <v>1</v>
      </c>
      <c r="E307">
        <v>0</v>
      </c>
      <c r="F307" t="s">
        <v>21</v>
      </c>
      <c r="G307" t="s">
        <v>16</v>
      </c>
      <c r="H307" t="s">
        <v>23</v>
      </c>
      <c r="I307" t="s">
        <v>13</v>
      </c>
      <c r="J307">
        <v>1</v>
      </c>
    </row>
    <row r="308" spans="1:10" x14ac:dyDescent="0.3">
      <c r="A308" t="s">
        <v>14</v>
      </c>
      <c r="B308">
        <v>42</v>
      </c>
      <c r="C308">
        <v>1</v>
      </c>
      <c r="D308">
        <v>1</v>
      </c>
      <c r="E308">
        <v>0</v>
      </c>
      <c r="F308" t="s">
        <v>45</v>
      </c>
      <c r="G308" t="s">
        <v>11</v>
      </c>
      <c r="H308" t="s">
        <v>18</v>
      </c>
      <c r="I308" t="s">
        <v>13</v>
      </c>
      <c r="J308">
        <v>1</v>
      </c>
    </row>
    <row r="309" spans="1:10" x14ac:dyDescent="0.3">
      <c r="A309" t="s">
        <v>9</v>
      </c>
      <c r="B309">
        <v>38</v>
      </c>
      <c r="C309">
        <v>1</v>
      </c>
      <c r="D309">
        <v>1</v>
      </c>
      <c r="E309">
        <v>0</v>
      </c>
      <c r="F309" t="s">
        <v>21</v>
      </c>
      <c r="G309" t="s">
        <v>16</v>
      </c>
      <c r="H309" t="s">
        <v>12</v>
      </c>
      <c r="I309" t="s">
        <v>13</v>
      </c>
      <c r="J309">
        <v>1</v>
      </c>
    </row>
    <row r="310" spans="1:10" x14ac:dyDescent="0.3">
      <c r="A310" t="s">
        <v>14</v>
      </c>
      <c r="B310">
        <v>46</v>
      </c>
      <c r="C310">
        <v>0</v>
      </c>
      <c r="D310">
        <v>0</v>
      </c>
      <c r="E310">
        <v>0</v>
      </c>
      <c r="F310" t="s">
        <v>46</v>
      </c>
      <c r="G310" t="s">
        <v>11</v>
      </c>
      <c r="H310" t="s">
        <v>23</v>
      </c>
      <c r="I310" t="s">
        <v>13</v>
      </c>
      <c r="J310">
        <v>0</v>
      </c>
    </row>
    <row r="311" spans="1:10" x14ac:dyDescent="0.3">
      <c r="A311" t="s">
        <v>14</v>
      </c>
      <c r="B311">
        <v>44</v>
      </c>
      <c r="C311">
        <v>0</v>
      </c>
      <c r="D311">
        <v>0</v>
      </c>
      <c r="E311">
        <v>0</v>
      </c>
      <c r="F311" t="s">
        <v>43</v>
      </c>
      <c r="G311" t="s">
        <v>16</v>
      </c>
      <c r="H311" t="s">
        <v>18</v>
      </c>
      <c r="I311" t="s">
        <v>13</v>
      </c>
      <c r="J311">
        <v>0</v>
      </c>
    </row>
    <row r="312" spans="1:10" x14ac:dyDescent="0.3">
      <c r="A312" t="s">
        <v>9</v>
      </c>
      <c r="B312">
        <v>48</v>
      </c>
      <c r="C312">
        <v>1</v>
      </c>
      <c r="D312">
        <v>1</v>
      </c>
      <c r="E312">
        <v>0</v>
      </c>
      <c r="F312" t="s">
        <v>27</v>
      </c>
      <c r="G312" t="s">
        <v>11</v>
      </c>
      <c r="H312" t="s">
        <v>18</v>
      </c>
      <c r="I312" t="s">
        <v>13</v>
      </c>
      <c r="J312">
        <v>1</v>
      </c>
    </row>
    <row r="313" spans="1:10" x14ac:dyDescent="0.3">
      <c r="A313" t="s">
        <v>14</v>
      </c>
      <c r="B313">
        <v>42</v>
      </c>
      <c r="C313">
        <v>0</v>
      </c>
      <c r="D313">
        <v>0</v>
      </c>
      <c r="E313">
        <v>1</v>
      </c>
      <c r="F313" t="s">
        <v>32</v>
      </c>
      <c r="G313" t="s">
        <v>16</v>
      </c>
      <c r="H313" t="s">
        <v>12</v>
      </c>
      <c r="I313" t="s">
        <v>13</v>
      </c>
      <c r="J313">
        <v>0</v>
      </c>
    </row>
    <row r="314" spans="1:10" x14ac:dyDescent="0.3">
      <c r="A314" t="s">
        <v>14</v>
      </c>
      <c r="B314">
        <v>41</v>
      </c>
      <c r="C314">
        <v>1</v>
      </c>
      <c r="D314">
        <v>1</v>
      </c>
      <c r="E314">
        <v>0</v>
      </c>
      <c r="F314" t="s">
        <v>10</v>
      </c>
      <c r="G314" t="s">
        <v>11</v>
      </c>
      <c r="H314" t="s">
        <v>23</v>
      </c>
      <c r="I314" t="s">
        <v>13</v>
      </c>
      <c r="J314">
        <v>1</v>
      </c>
    </row>
    <row r="315" spans="1:10" x14ac:dyDescent="0.3">
      <c r="A315" t="s">
        <v>14</v>
      </c>
      <c r="B315">
        <v>15</v>
      </c>
      <c r="C315">
        <v>0</v>
      </c>
      <c r="D315">
        <v>0</v>
      </c>
      <c r="E315">
        <v>0</v>
      </c>
      <c r="F315" t="s">
        <v>44</v>
      </c>
      <c r="G315" t="s">
        <v>16</v>
      </c>
      <c r="H315" t="s">
        <v>23</v>
      </c>
      <c r="I315" t="s">
        <v>13</v>
      </c>
      <c r="J315">
        <v>0</v>
      </c>
    </row>
    <row r="316" spans="1:10" x14ac:dyDescent="0.3">
      <c r="A316" t="s">
        <v>14</v>
      </c>
      <c r="B316">
        <v>15</v>
      </c>
      <c r="C316">
        <v>1</v>
      </c>
      <c r="D316">
        <v>1</v>
      </c>
      <c r="E316">
        <v>1</v>
      </c>
      <c r="F316" t="s">
        <v>31</v>
      </c>
      <c r="G316" t="s">
        <v>11</v>
      </c>
      <c r="H316" t="s">
        <v>18</v>
      </c>
      <c r="I316" t="s">
        <v>13</v>
      </c>
      <c r="J316">
        <v>1</v>
      </c>
    </row>
    <row r="317" spans="1:10" x14ac:dyDescent="0.3">
      <c r="A317" t="s">
        <v>14</v>
      </c>
      <c r="B317">
        <v>64</v>
      </c>
      <c r="C317">
        <v>0</v>
      </c>
      <c r="D317">
        <v>0</v>
      </c>
      <c r="E317">
        <v>1</v>
      </c>
      <c r="F317" t="s">
        <v>31</v>
      </c>
      <c r="G317" t="s">
        <v>16</v>
      </c>
      <c r="H317" t="s">
        <v>12</v>
      </c>
      <c r="I317" t="s">
        <v>13</v>
      </c>
      <c r="J317">
        <v>0</v>
      </c>
    </row>
    <row r="318" spans="1:10" x14ac:dyDescent="0.3">
      <c r="A318" t="s">
        <v>14</v>
      </c>
      <c r="B318">
        <v>16</v>
      </c>
      <c r="C318">
        <v>1</v>
      </c>
      <c r="D318">
        <v>1</v>
      </c>
      <c r="E318">
        <v>0</v>
      </c>
      <c r="F318" t="s">
        <v>50</v>
      </c>
      <c r="G318" t="s">
        <v>11</v>
      </c>
      <c r="H318" t="s">
        <v>12</v>
      </c>
      <c r="I318" t="s">
        <v>13</v>
      </c>
      <c r="J318">
        <v>1</v>
      </c>
    </row>
    <row r="319" spans="1:10" x14ac:dyDescent="0.3">
      <c r="A319" t="s">
        <v>14</v>
      </c>
      <c r="B319">
        <v>19</v>
      </c>
      <c r="C319">
        <v>1</v>
      </c>
      <c r="D319">
        <v>1</v>
      </c>
      <c r="E319">
        <v>0</v>
      </c>
      <c r="F319" t="s">
        <v>34</v>
      </c>
      <c r="G319" t="s">
        <v>16</v>
      </c>
      <c r="H319" t="s">
        <v>12</v>
      </c>
      <c r="I319" t="s">
        <v>13</v>
      </c>
      <c r="J319">
        <v>1</v>
      </c>
    </row>
    <row r="320" spans="1:10" x14ac:dyDescent="0.3">
      <c r="A320" t="s">
        <v>14</v>
      </c>
      <c r="B320">
        <v>56</v>
      </c>
      <c r="C320">
        <v>0</v>
      </c>
      <c r="D320">
        <v>0</v>
      </c>
      <c r="E320">
        <v>0</v>
      </c>
      <c r="F320" t="s">
        <v>51</v>
      </c>
      <c r="G320" t="s">
        <v>11</v>
      </c>
      <c r="H320" t="s">
        <v>12</v>
      </c>
      <c r="I320" t="s">
        <v>13</v>
      </c>
      <c r="J320">
        <v>0</v>
      </c>
    </row>
    <row r="321" spans="1:10" x14ac:dyDescent="0.3">
      <c r="A321" t="s">
        <v>9</v>
      </c>
      <c r="B321">
        <v>65</v>
      </c>
      <c r="C321">
        <v>1</v>
      </c>
      <c r="D321">
        <v>1</v>
      </c>
      <c r="E321">
        <v>1</v>
      </c>
      <c r="F321" t="s">
        <v>43</v>
      </c>
      <c r="G321" t="s">
        <v>16</v>
      </c>
      <c r="H321" t="s">
        <v>23</v>
      </c>
      <c r="I321" t="s">
        <v>13</v>
      </c>
      <c r="J321">
        <v>1</v>
      </c>
    </row>
    <row r="322" spans="1:10" x14ac:dyDescent="0.3">
      <c r="A322" t="s">
        <v>14</v>
      </c>
      <c r="B322">
        <v>57</v>
      </c>
      <c r="C322">
        <v>1</v>
      </c>
      <c r="D322">
        <v>1</v>
      </c>
      <c r="E322">
        <v>1</v>
      </c>
      <c r="F322" t="s">
        <v>51</v>
      </c>
      <c r="G322" t="s">
        <v>11</v>
      </c>
      <c r="H322" t="s">
        <v>23</v>
      </c>
      <c r="I322" t="s">
        <v>13</v>
      </c>
      <c r="J322">
        <v>1</v>
      </c>
    </row>
    <row r="323" spans="1:10" x14ac:dyDescent="0.3">
      <c r="A323" t="s">
        <v>14</v>
      </c>
      <c r="B323">
        <v>24</v>
      </c>
      <c r="C323">
        <v>0</v>
      </c>
      <c r="D323">
        <v>0</v>
      </c>
      <c r="E323">
        <v>0</v>
      </c>
      <c r="F323" t="s">
        <v>20</v>
      </c>
      <c r="G323" t="s">
        <v>16</v>
      </c>
      <c r="H323" t="s">
        <v>23</v>
      </c>
      <c r="I323" t="s">
        <v>13</v>
      </c>
      <c r="J323">
        <v>0</v>
      </c>
    </row>
    <row r="324" spans="1:10" x14ac:dyDescent="0.3">
      <c r="A324" t="s">
        <v>14</v>
      </c>
      <c r="B324">
        <v>38</v>
      </c>
      <c r="C324">
        <v>0</v>
      </c>
      <c r="D324">
        <v>0</v>
      </c>
      <c r="E324">
        <v>1</v>
      </c>
      <c r="F324" t="s">
        <v>51</v>
      </c>
      <c r="G324" t="s">
        <v>11</v>
      </c>
      <c r="H324" t="s">
        <v>18</v>
      </c>
      <c r="I324" t="s">
        <v>13</v>
      </c>
      <c r="J324">
        <v>0</v>
      </c>
    </row>
    <row r="325" spans="1:10" x14ac:dyDescent="0.3">
      <c r="A325" t="s">
        <v>9</v>
      </c>
      <c r="B325">
        <v>39</v>
      </c>
      <c r="C325">
        <v>0</v>
      </c>
      <c r="D325">
        <v>0</v>
      </c>
      <c r="E325">
        <v>1</v>
      </c>
      <c r="F325" t="s">
        <v>29</v>
      </c>
      <c r="G325" t="s">
        <v>16</v>
      </c>
      <c r="H325" t="s">
        <v>23</v>
      </c>
      <c r="I325" t="s">
        <v>13</v>
      </c>
      <c r="J325">
        <v>0</v>
      </c>
    </row>
    <row r="326" spans="1:10" x14ac:dyDescent="0.3">
      <c r="A326" t="s">
        <v>9</v>
      </c>
      <c r="B326">
        <v>64</v>
      </c>
      <c r="C326">
        <v>0</v>
      </c>
      <c r="D326">
        <v>0</v>
      </c>
      <c r="E326">
        <v>0</v>
      </c>
      <c r="F326" t="s">
        <v>44</v>
      </c>
      <c r="G326" t="s">
        <v>11</v>
      </c>
      <c r="H326" t="s">
        <v>23</v>
      </c>
      <c r="I326" t="s">
        <v>13</v>
      </c>
      <c r="J326">
        <v>0</v>
      </c>
    </row>
    <row r="327" spans="1:10" x14ac:dyDescent="0.3">
      <c r="A327" t="s">
        <v>14</v>
      </c>
      <c r="B327">
        <v>39</v>
      </c>
      <c r="C327">
        <v>1</v>
      </c>
      <c r="D327">
        <v>1</v>
      </c>
      <c r="E327">
        <v>1</v>
      </c>
      <c r="F327" t="s">
        <v>19</v>
      </c>
      <c r="G327" t="s">
        <v>16</v>
      </c>
      <c r="H327" t="s">
        <v>12</v>
      </c>
      <c r="I327" t="s">
        <v>13</v>
      </c>
      <c r="J327">
        <v>1</v>
      </c>
    </row>
    <row r="328" spans="1:10" x14ac:dyDescent="0.3">
      <c r="A328" t="s">
        <v>14</v>
      </c>
      <c r="B328">
        <v>33</v>
      </c>
      <c r="C328">
        <v>1</v>
      </c>
      <c r="D328">
        <v>1</v>
      </c>
      <c r="E328">
        <v>0</v>
      </c>
      <c r="F328" t="s">
        <v>33</v>
      </c>
      <c r="G328" t="s">
        <v>11</v>
      </c>
      <c r="H328" t="s">
        <v>18</v>
      </c>
      <c r="I328" t="s">
        <v>13</v>
      </c>
      <c r="J328">
        <v>1</v>
      </c>
    </row>
    <row r="329" spans="1:10" x14ac:dyDescent="0.3">
      <c r="A329" t="s">
        <v>14</v>
      </c>
      <c r="B329">
        <v>49</v>
      </c>
      <c r="C329">
        <v>1</v>
      </c>
      <c r="D329">
        <v>1</v>
      </c>
      <c r="E329">
        <v>0</v>
      </c>
      <c r="F329" t="s">
        <v>19</v>
      </c>
      <c r="G329" t="s">
        <v>16</v>
      </c>
      <c r="H329" t="s">
        <v>12</v>
      </c>
      <c r="I329" t="s">
        <v>13</v>
      </c>
      <c r="J329">
        <v>1</v>
      </c>
    </row>
    <row r="330" spans="1:10" x14ac:dyDescent="0.3">
      <c r="A330" t="s">
        <v>9</v>
      </c>
      <c r="B330">
        <v>22</v>
      </c>
      <c r="C330">
        <v>1</v>
      </c>
      <c r="D330">
        <v>1</v>
      </c>
      <c r="E330">
        <v>1</v>
      </c>
      <c r="F330" t="s">
        <v>38</v>
      </c>
      <c r="G330" t="s">
        <v>11</v>
      </c>
      <c r="H330" t="s">
        <v>23</v>
      </c>
      <c r="I330" t="s">
        <v>13</v>
      </c>
      <c r="J330">
        <v>1</v>
      </c>
    </row>
    <row r="331" spans="1:10" x14ac:dyDescent="0.3">
      <c r="A331" t="s">
        <v>9</v>
      </c>
      <c r="B331">
        <v>29</v>
      </c>
      <c r="C331">
        <v>0</v>
      </c>
      <c r="D331">
        <v>0</v>
      </c>
      <c r="E331">
        <v>0</v>
      </c>
      <c r="F331" t="s">
        <v>34</v>
      </c>
      <c r="G331" t="s">
        <v>16</v>
      </c>
      <c r="H331" t="s">
        <v>12</v>
      </c>
      <c r="I331" t="s">
        <v>13</v>
      </c>
      <c r="J331">
        <v>0</v>
      </c>
    </row>
    <row r="332" spans="1:10" x14ac:dyDescent="0.3">
      <c r="A332" t="s">
        <v>9</v>
      </c>
      <c r="B332">
        <v>22</v>
      </c>
      <c r="C332">
        <v>1</v>
      </c>
      <c r="D332">
        <v>1</v>
      </c>
      <c r="E332">
        <v>0</v>
      </c>
      <c r="F332" t="s">
        <v>25</v>
      </c>
      <c r="G332" t="s">
        <v>11</v>
      </c>
      <c r="H332" t="s">
        <v>12</v>
      </c>
      <c r="I332" t="s">
        <v>13</v>
      </c>
      <c r="J332">
        <v>1</v>
      </c>
    </row>
    <row r="333" spans="1:10" x14ac:dyDescent="0.3">
      <c r="A333" t="s">
        <v>9</v>
      </c>
      <c r="B333">
        <v>13</v>
      </c>
      <c r="C333">
        <v>1</v>
      </c>
      <c r="D333">
        <v>1</v>
      </c>
      <c r="E333">
        <v>0</v>
      </c>
      <c r="F333" t="s">
        <v>46</v>
      </c>
      <c r="G333" t="s">
        <v>16</v>
      </c>
      <c r="H333" t="s">
        <v>18</v>
      </c>
      <c r="I333" t="s">
        <v>13</v>
      </c>
      <c r="J333">
        <v>1</v>
      </c>
    </row>
    <row r="334" spans="1:10" x14ac:dyDescent="0.3">
      <c r="A334" t="s">
        <v>9</v>
      </c>
      <c r="B334">
        <v>11</v>
      </c>
      <c r="C334">
        <v>1</v>
      </c>
      <c r="D334">
        <v>1</v>
      </c>
      <c r="E334">
        <v>0</v>
      </c>
      <c r="F334" t="s">
        <v>49</v>
      </c>
      <c r="G334" t="s">
        <v>11</v>
      </c>
      <c r="H334" t="s">
        <v>12</v>
      </c>
      <c r="I334" t="s">
        <v>13</v>
      </c>
      <c r="J334">
        <v>1</v>
      </c>
    </row>
    <row r="335" spans="1:10" x14ac:dyDescent="0.3">
      <c r="A335" t="s">
        <v>14</v>
      </c>
      <c r="B335">
        <v>41</v>
      </c>
      <c r="C335">
        <v>1</v>
      </c>
      <c r="D335">
        <v>1</v>
      </c>
      <c r="E335">
        <v>1</v>
      </c>
      <c r="F335" t="s">
        <v>48</v>
      </c>
      <c r="G335" t="s">
        <v>16</v>
      </c>
      <c r="H335" t="s">
        <v>12</v>
      </c>
      <c r="I335" t="s">
        <v>13</v>
      </c>
      <c r="J335">
        <v>1</v>
      </c>
    </row>
    <row r="336" spans="1:10" x14ac:dyDescent="0.3">
      <c r="A336" t="s">
        <v>14</v>
      </c>
      <c r="B336">
        <v>61</v>
      </c>
      <c r="C336">
        <v>1</v>
      </c>
      <c r="D336">
        <v>1</v>
      </c>
      <c r="E336">
        <v>1</v>
      </c>
      <c r="F336" t="s">
        <v>40</v>
      </c>
      <c r="G336" t="s">
        <v>11</v>
      </c>
      <c r="H336" t="s">
        <v>18</v>
      </c>
      <c r="I336" t="s">
        <v>13</v>
      </c>
      <c r="J336">
        <v>1</v>
      </c>
    </row>
    <row r="337" spans="1:10" x14ac:dyDescent="0.3">
      <c r="A337" t="s">
        <v>14</v>
      </c>
      <c r="B337">
        <v>60</v>
      </c>
      <c r="C337">
        <v>0</v>
      </c>
      <c r="D337">
        <v>0</v>
      </c>
      <c r="E337">
        <v>1</v>
      </c>
      <c r="F337" t="s">
        <v>10</v>
      </c>
      <c r="G337" t="s">
        <v>16</v>
      </c>
      <c r="H337" t="s">
        <v>23</v>
      </c>
      <c r="I337" t="s">
        <v>13</v>
      </c>
      <c r="J337">
        <v>0</v>
      </c>
    </row>
    <row r="338" spans="1:10" x14ac:dyDescent="0.3">
      <c r="A338" t="s">
        <v>9</v>
      </c>
      <c r="B338">
        <v>21</v>
      </c>
      <c r="C338">
        <v>1</v>
      </c>
      <c r="D338">
        <v>1</v>
      </c>
      <c r="E338">
        <v>0</v>
      </c>
      <c r="F338" t="s">
        <v>10</v>
      </c>
      <c r="G338" t="s">
        <v>11</v>
      </c>
      <c r="H338" t="s">
        <v>12</v>
      </c>
      <c r="I338" t="s">
        <v>13</v>
      </c>
      <c r="J338">
        <v>1</v>
      </c>
    </row>
    <row r="339" spans="1:10" x14ac:dyDescent="0.3">
      <c r="A339" t="s">
        <v>9</v>
      </c>
      <c r="B339">
        <v>25</v>
      </c>
      <c r="C339">
        <v>1</v>
      </c>
      <c r="D339">
        <v>1</v>
      </c>
      <c r="E339">
        <v>1</v>
      </c>
      <c r="F339" t="s">
        <v>34</v>
      </c>
      <c r="G339" t="s">
        <v>16</v>
      </c>
      <c r="H339" t="s">
        <v>23</v>
      </c>
      <c r="I339" t="s">
        <v>13</v>
      </c>
      <c r="J339">
        <v>1</v>
      </c>
    </row>
    <row r="340" spans="1:10" x14ac:dyDescent="0.3">
      <c r="A340" t="s">
        <v>9</v>
      </c>
      <c r="B340">
        <v>57</v>
      </c>
      <c r="C340">
        <v>1</v>
      </c>
      <c r="D340">
        <v>1</v>
      </c>
      <c r="E340">
        <v>0</v>
      </c>
      <c r="F340" t="s">
        <v>42</v>
      </c>
      <c r="G340" t="s">
        <v>11</v>
      </c>
      <c r="H340" t="s">
        <v>23</v>
      </c>
      <c r="I340" t="s">
        <v>13</v>
      </c>
      <c r="J340">
        <v>1</v>
      </c>
    </row>
    <row r="341" spans="1:10" x14ac:dyDescent="0.3">
      <c r="A341" t="s">
        <v>14</v>
      </c>
      <c r="B341">
        <v>22</v>
      </c>
      <c r="C341">
        <v>1</v>
      </c>
      <c r="D341">
        <v>1</v>
      </c>
      <c r="E341">
        <v>1</v>
      </c>
      <c r="F341" t="s">
        <v>21</v>
      </c>
      <c r="G341" t="s">
        <v>16</v>
      </c>
      <c r="H341" t="s">
        <v>12</v>
      </c>
      <c r="I341" t="s">
        <v>13</v>
      </c>
      <c r="J341">
        <v>1</v>
      </c>
    </row>
    <row r="342" spans="1:10" x14ac:dyDescent="0.3">
      <c r="A342" t="s">
        <v>14</v>
      </c>
      <c r="B342">
        <v>9</v>
      </c>
      <c r="C342">
        <v>1</v>
      </c>
      <c r="D342">
        <v>1</v>
      </c>
      <c r="E342">
        <v>0</v>
      </c>
      <c r="F342" t="s">
        <v>27</v>
      </c>
      <c r="G342" t="s">
        <v>11</v>
      </c>
      <c r="H342" t="s">
        <v>18</v>
      </c>
      <c r="I342" t="s">
        <v>13</v>
      </c>
      <c r="J342">
        <v>1</v>
      </c>
    </row>
    <row r="343" spans="1:10" x14ac:dyDescent="0.3">
      <c r="A343" t="s">
        <v>14</v>
      </c>
      <c r="B343">
        <v>56</v>
      </c>
      <c r="C343">
        <v>0</v>
      </c>
      <c r="D343">
        <v>0</v>
      </c>
      <c r="E343">
        <v>1</v>
      </c>
      <c r="F343" t="s">
        <v>49</v>
      </c>
      <c r="G343" t="s">
        <v>16</v>
      </c>
      <c r="H343" t="s">
        <v>18</v>
      </c>
      <c r="I343" t="s">
        <v>13</v>
      </c>
      <c r="J343">
        <v>0</v>
      </c>
    </row>
    <row r="344" spans="1:10" x14ac:dyDescent="0.3">
      <c r="A344" t="s">
        <v>9</v>
      </c>
      <c r="B344">
        <v>44</v>
      </c>
      <c r="C344">
        <v>1</v>
      </c>
      <c r="D344">
        <v>1</v>
      </c>
      <c r="E344">
        <v>0</v>
      </c>
      <c r="F344" t="s">
        <v>46</v>
      </c>
      <c r="G344" t="s">
        <v>11</v>
      </c>
      <c r="H344" t="s">
        <v>12</v>
      </c>
      <c r="I344" t="s">
        <v>13</v>
      </c>
      <c r="J344">
        <v>1</v>
      </c>
    </row>
    <row r="345" spans="1:10" x14ac:dyDescent="0.3">
      <c r="A345" t="s">
        <v>9</v>
      </c>
      <c r="B345">
        <v>59</v>
      </c>
      <c r="C345">
        <v>1</v>
      </c>
      <c r="D345">
        <v>1</v>
      </c>
      <c r="E345">
        <v>0</v>
      </c>
      <c r="F345" t="s">
        <v>31</v>
      </c>
      <c r="G345" t="s">
        <v>16</v>
      </c>
      <c r="H345" t="s">
        <v>12</v>
      </c>
      <c r="I345" t="s">
        <v>13</v>
      </c>
      <c r="J345">
        <v>1</v>
      </c>
    </row>
    <row r="346" spans="1:10" x14ac:dyDescent="0.3">
      <c r="A346" t="s">
        <v>9</v>
      </c>
      <c r="B346">
        <v>40</v>
      </c>
      <c r="C346">
        <v>0</v>
      </c>
      <c r="D346">
        <v>0</v>
      </c>
      <c r="E346">
        <v>0</v>
      </c>
      <c r="F346" t="s">
        <v>50</v>
      </c>
      <c r="G346" t="s">
        <v>11</v>
      </c>
      <c r="H346" t="s">
        <v>12</v>
      </c>
      <c r="I346" t="s">
        <v>13</v>
      </c>
      <c r="J346">
        <v>0</v>
      </c>
    </row>
    <row r="347" spans="1:10" x14ac:dyDescent="0.3">
      <c r="A347" t="s">
        <v>9</v>
      </c>
      <c r="B347">
        <v>64</v>
      </c>
      <c r="C347">
        <v>1</v>
      </c>
      <c r="D347">
        <v>1</v>
      </c>
      <c r="E347">
        <v>0</v>
      </c>
      <c r="F347" t="s">
        <v>32</v>
      </c>
      <c r="G347" t="s">
        <v>16</v>
      </c>
      <c r="H347" t="s">
        <v>23</v>
      </c>
      <c r="I347" t="s">
        <v>13</v>
      </c>
      <c r="J347">
        <v>1</v>
      </c>
    </row>
    <row r="348" spans="1:10" x14ac:dyDescent="0.3">
      <c r="A348" t="s">
        <v>14</v>
      </c>
      <c r="B348">
        <v>62</v>
      </c>
      <c r="C348">
        <v>1</v>
      </c>
      <c r="D348">
        <v>1</v>
      </c>
      <c r="E348">
        <v>0</v>
      </c>
      <c r="F348" t="s">
        <v>42</v>
      </c>
      <c r="G348" t="s">
        <v>11</v>
      </c>
      <c r="H348" t="s">
        <v>18</v>
      </c>
      <c r="I348" t="s">
        <v>13</v>
      </c>
      <c r="J348">
        <v>1</v>
      </c>
    </row>
    <row r="349" spans="1:10" x14ac:dyDescent="0.3">
      <c r="A349" t="s">
        <v>9</v>
      </c>
      <c r="B349">
        <v>40</v>
      </c>
      <c r="C349">
        <v>1</v>
      </c>
      <c r="D349">
        <v>1</v>
      </c>
      <c r="E349">
        <v>1</v>
      </c>
      <c r="F349" t="s">
        <v>20</v>
      </c>
      <c r="G349" t="s">
        <v>16</v>
      </c>
      <c r="H349" t="s">
        <v>12</v>
      </c>
      <c r="I349" t="s">
        <v>13</v>
      </c>
      <c r="J349">
        <v>1</v>
      </c>
    </row>
    <row r="350" spans="1:10" x14ac:dyDescent="0.3">
      <c r="A350" t="s">
        <v>9</v>
      </c>
      <c r="B350">
        <v>26</v>
      </c>
      <c r="C350">
        <v>1</v>
      </c>
      <c r="D350">
        <v>1</v>
      </c>
      <c r="E350">
        <v>1</v>
      </c>
      <c r="F350" t="s">
        <v>41</v>
      </c>
      <c r="G350" t="s">
        <v>11</v>
      </c>
      <c r="H350" t="s">
        <v>23</v>
      </c>
      <c r="I350" t="s">
        <v>13</v>
      </c>
      <c r="J350">
        <v>1</v>
      </c>
    </row>
    <row r="351" spans="1:10" x14ac:dyDescent="0.3">
      <c r="A351" t="s">
        <v>14</v>
      </c>
      <c r="B351">
        <v>47</v>
      </c>
      <c r="C351">
        <v>1</v>
      </c>
      <c r="D351">
        <v>1</v>
      </c>
      <c r="E351">
        <v>1</v>
      </c>
      <c r="F351" t="s">
        <v>36</v>
      </c>
      <c r="G351" t="s">
        <v>16</v>
      </c>
      <c r="H351" t="s">
        <v>12</v>
      </c>
      <c r="I351" t="s">
        <v>13</v>
      </c>
      <c r="J351">
        <v>1</v>
      </c>
    </row>
    <row r="352" spans="1:10" x14ac:dyDescent="0.3">
      <c r="A352" t="s">
        <v>14</v>
      </c>
      <c r="B352">
        <v>56</v>
      </c>
      <c r="C352">
        <v>0</v>
      </c>
      <c r="D352">
        <v>0</v>
      </c>
      <c r="E352">
        <v>0</v>
      </c>
      <c r="F352" t="s">
        <v>38</v>
      </c>
      <c r="G352" t="s">
        <v>11</v>
      </c>
      <c r="H352" t="s">
        <v>18</v>
      </c>
      <c r="I352" t="s">
        <v>13</v>
      </c>
      <c r="J352">
        <v>0</v>
      </c>
    </row>
    <row r="353" spans="1:10" x14ac:dyDescent="0.3">
      <c r="A353" t="s">
        <v>9</v>
      </c>
      <c r="B353">
        <v>19</v>
      </c>
      <c r="C353">
        <v>1</v>
      </c>
      <c r="D353">
        <v>1</v>
      </c>
      <c r="E353">
        <v>1</v>
      </c>
      <c r="F353" t="s">
        <v>48</v>
      </c>
      <c r="G353" t="s">
        <v>16</v>
      </c>
      <c r="H353" t="s">
        <v>18</v>
      </c>
      <c r="I353" t="s">
        <v>13</v>
      </c>
      <c r="J353">
        <v>1</v>
      </c>
    </row>
    <row r="354" spans="1:10" x14ac:dyDescent="0.3">
      <c r="A354" t="s">
        <v>14</v>
      </c>
      <c r="B354">
        <v>17</v>
      </c>
      <c r="C354">
        <v>0</v>
      </c>
      <c r="D354">
        <v>0</v>
      </c>
      <c r="E354">
        <v>1</v>
      </c>
      <c r="F354" t="s">
        <v>19</v>
      </c>
      <c r="G354" t="s">
        <v>11</v>
      </c>
      <c r="H354" t="s">
        <v>12</v>
      </c>
      <c r="I354" t="s">
        <v>13</v>
      </c>
      <c r="J354">
        <v>0</v>
      </c>
    </row>
    <row r="355" spans="1:10" x14ac:dyDescent="0.3">
      <c r="A355" t="s">
        <v>9</v>
      </c>
      <c r="B355">
        <v>57</v>
      </c>
      <c r="C355">
        <v>1</v>
      </c>
      <c r="D355">
        <v>1</v>
      </c>
      <c r="E355">
        <v>0</v>
      </c>
      <c r="F355" t="s">
        <v>35</v>
      </c>
      <c r="G355" t="s">
        <v>16</v>
      </c>
      <c r="H355" t="s">
        <v>12</v>
      </c>
      <c r="I355" t="s">
        <v>13</v>
      </c>
      <c r="J355">
        <v>1</v>
      </c>
    </row>
    <row r="356" spans="1:10" x14ac:dyDescent="0.3">
      <c r="A356" t="s">
        <v>14</v>
      </c>
      <c r="B356">
        <v>47</v>
      </c>
      <c r="C356">
        <v>1</v>
      </c>
      <c r="D356">
        <v>1</v>
      </c>
      <c r="E356">
        <v>1</v>
      </c>
      <c r="F356" t="s">
        <v>25</v>
      </c>
      <c r="G356" t="s">
        <v>11</v>
      </c>
      <c r="H356" t="s">
        <v>23</v>
      </c>
      <c r="I356" t="s">
        <v>13</v>
      </c>
      <c r="J356">
        <v>1</v>
      </c>
    </row>
    <row r="357" spans="1:10" x14ac:dyDescent="0.3">
      <c r="A357" t="s">
        <v>14</v>
      </c>
      <c r="B357">
        <v>44</v>
      </c>
      <c r="C357">
        <v>1</v>
      </c>
      <c r="D357">
        <v>1</v>
      </c>
      <c r="E357">
        <v>0</v>
      </c>
      <c r="F357" t="s">
        <v>32</v>
      </c>
      <c r="G357" t="s">
        <v>16</v>
      </c>
      <c r="H357" t="s">
        <v>12</v>
      </c>
      <c r="I357" t="s">
        <v>13</v>
      </c>
      <c r="J357">
        <v>1</v>
      </c>
    </row>
    <row r="358" spans="1:10" x14ac:dyDescent="0.3">
      <c r="A358" t="s">
        <v>9</v>
      </c>
      <c r="B358">
        <v>18</v>
      </c>
      <c r="C358">
        <v>0</v>
      </c>
      <c r="D358">
        <v>0</v>
      </c>
      <c r="E358">
        <v>0</v>
      </c>
      <c r="F358" t="s">
        <v>17</v>
      </c>
      <c r="G358" t="s">
        <v>11</v>
      </c>
      <c r="H358" t="s">
        <v>12</v>
      </c>
      <c r="I358" t="s">
        <v>13</v>
      </c>
      <c r="J358">
        <v>0</v>
      </c>
    </row>
    <row r="359" spans="1:10" x14ac:dyDescent="0.3">
      <c r="A359" t="s">
        <v>14</v>
      </c>
      <c r="B359">
        <v>44</v>
      </c>
      <c r="C359">
        <v>1</v>
      </c>
      <c r="D359">
        <v>1</v>
      </c>
      <c r="E359">
        <v>0</v>
      </c>
      <c r="F359" t="s">
        <v>43</v>
      </c>
      <c r="G359" t="s">
        <v>16</v>
      </c>
      <c r="H359" t="s">
        <v>23</v>
      </c>
      <c r="I359" t="s">
        <v>13</v>
      </c>
      <c r="J359">
        <v>1</v>
      </c>
    </row>
    <row r="360" spans="1:10" x14ac:dyDescent="0.3">
      <c r="A360" t="s">
        <v>9</v>
      </c>
      <c r="B360">
        <v>20</v>
      </c>
      <c r="C360">
        <v>1</v>
      </c>
      <c r="D360">
        <v>1</v>
      </c>
      <c r="E360">
        <v>1</v>
      </c>
      <c r="F360" t="s">
        <v>51</v>
      </c>
      <c r="G360" t="s">
        <v>11</v>
      </c>
      <c r="H360" t="s">
        <v>12</v>
      </c>
      <c r="I360" t="s">
        <v>13</v>
      </c>
      <c r="J360">
        <v>1</v>
      </c>
    </row>
    <row r="361" spans="1:10" x14ac:dyDescent="0.3">
      <c r="A361" t="s">
        <v>9</v>
      </c>
      <c r="B361">
        <v>60</v>
      </c>
      <c r="C361">
        <v>0</v>
      </c>
      <c r="D361">
        <v>0</v>
      </c>
      <c r="E361">
        <v>1</v>
      </c>
      <c r="F361" t="s">
        <v>39</v>
      </c>
      <c r="G361" t="s">
        <v>16</v>
      </c>
      <c r="H361" t="s">
        <v>18</v>
      </c>
      <c r="I361" t="s">
        <v>13</v>
      </c>
      <c r="J361">
        <v>0</v>
      </c>
    </row>
    <row r="362" spans="1:10" x14ac:dyDescent="0.3">
      <c r="A362" t="s">
        <v>14</v>
      </c>
      <c r="B362">
        <v>61</v>
      </c>
      <c r="C362">
        <v>0</v>
      </c>
      <c r="D362">
        <v>0</v>
      </c>
      <c r="E362">
        <v>0</v>
      </c>
      <c r="F362" t="s">
        <v>46</v>
      </c>
      <c r="G362" t="s">
        <v>11</v>
      </c>
      <c r="H362" t="s">
        <v>18</v>
      </c>
      <c r="I362" t="s">
        <v>13</v>
      </c>
      <c r="J362">
        <v>0</v>
      </c>
    </row>
    <row r="363" spans="1:10" x14ac:dyDescent="0.3">
      <c r="A363" t="s">
        <v>9</v>
      </c>
      <c r="B363">
        <v>47</v>
      </c>
      <c r="C363">
        <v>0</v>
      </c>
      <c r="D363">
        <v>0</v>
      </c>
      <c r="E363">
        <v>0</v>
      </c>
      <c r="F363" t="s">
        <v>36</v>
      </c>
      <c r="G363" t="s">
        <v>16</v>
      </c>
      <c r="H363" t="s">
        <v>18</v>
      </c>
      <c r="I363" t="s">
        <v>13</v>
      </c>
      <c r="J363">
        <v>0</v>
      </c>
    </row>
    <row r="364" spans="1:10" x14ac:dyDescent="0.3">
      <c r="A364" t="s">
        <v>9</v>
      </c>
      <c r="B364">
        <v>15</v>
      </c>
      <c r="C364">
        <v>1</v>
      </c>
      <c r="D364">
        <v>1</v>
      </c>
      <c r="E364">
        <v>1</v>
      </c>
      <c r="F364" t="s">
        <v>26</v>
      </c>
      <c r="G364" t="s">
        <v>11</v>
      </c>
      <c r="H364" t="s">
        <v>23</v>
      </c>
      <c r="I364" t="s">
        <v>13</v>
      </c>
      <c r="J364">
        <v>1</v>
      </c>
    </row>
    <row r="365" spans="1:10" x14ac:dyDescent="0.3">
      <c r="A365" t="s">
        <v>14</v>
      </c>
      <c r="B365">
        <v>58</v>
      </c>
      <c r="C365">
        <v>0</v>
      </c>
      <c r="D365">
        <v>0</v>
      </c>
      <c r="E365">
        <v>1</v>
      </c>
      <c r="F365" t="s">
        <v>34</v>
      </c>
      <c r="G365" t="s">
        <v>16</v>
      </c>
      <c r="H365" t="s">
        <v>18</v>
      </c>
      <c r="I365" t="s">
        <v>13</v>
      </c>
      <c r="J365">
        <v>0</v>
      </c>
    </row>
    <row r="366" spans="1:10" x14ac:dyDescent="0.3">
      <c r="A366" t="s">
        <v>14</v>
      </c>
      <c r="B366">
        <v>64</v>
      </c>
      <c r="C366">
        <v>0</v>
      </c>
      <c r="D366">
        <v>0</v>
      </c>
      <c r="E366">
        <v>0</v>
      </c>
      <c r="F366" t="s">
        <v>34</v>
      </c>
      <c r="G366" t="s">
        <v>11</v>
      </c>
      <c r="H366" t="s">
        <v>12</v>
      </c>
      <c r="I366" t="s">
        <v>13</v>
      </c>
      <c r="J366">
        <v>0</v>
      </c>
    </row>
    <row r="367" spans="1:10" x14ac:dyDescent="0.3">
      <c r="A367" t="s">
        <v>9</v>
      </c>
      <c r="B367">
        <v>50</v>
      </c>
      <c r="C367">
        <v>1</v>
      </c>
      <c r="D367">
        <v>1</v>
      </c>
      <c r="E367">
        <v>1</v>
      </c>
      <c r="F367" t="s">
        <v>37</v>
      </c>
      <c r="G367" t="s">
        <v>16</v>
      </c>
      <c r="H367" t="s">
        <v>23</v>
      </c>
      <c r="I367" t="s">
        <v>13</v>
      </c>
      <c r="J367">
        <v>1</v>
      </c>
    </row>
    <row r="368" spans="1:10" x14ac:dyDescent="0.3">
      <c r="A368" t="s">
        <v>9</v>
      </c>
      <c r="B368">
        <v>52</v>
      </c>
      <c r="C368">
        <v>1</v>
      </c>
      <c r="D368">
        <v>1</v>
      </c>
      <c r="E368">
        <v>1</v>
      </c>
      <c r="F368" t="s">
        <v>38</v>
      </c>
      <c r="G368" t="s">
        <v>11</v>
      </c>
      <c r="H368" t="s">
        <v>12</v>
      </c>
      <c r="I368" t="s">
        <v>13</v>
      </c>
      <c r="J368">
        <v>1</v>
      </c>
    </row>
    <row r="369" spans="1:10" x14ac:dyDescent="0.3">
      <c r="A369" t="s">
        <v>14</v>
      </c>
      <c r="B369">
        <v>59</v>
      </c>
      <c r="C369">
        <v>1</v>
      </c>
      <c r="D369">
        <v>1</v>
      </c>
      <c r="E369">
        <v>0</v>
      </c>
      <c r="F369" t="s">
        <v>20</v>
      </c>
      <c r="G369" t="s">
        <v>16</v>
      </c>
      <c r="H369" t="s">
        <v>23</v>
      </c>
      <c r="I369" t="s">
        <v>13</v>
      </c>
      <c r="J369">
        <v>1</v>
      </c>
    </row>
    <row r="370" spans="1:10" x14ac:dyDescent="0.3">
      <c r="A370" t="s">
        <v>9</v>
      </c>
      <c r="B370">
        <v>51</v>
      </c>
      <c r="C370">
        <v>0</v>
      </c>
      <c r="D370">
        <v>0</v>
      </c>
      <c r="E370">
        <v>1</v>
      </c>
      <c r="F370" t="s">
        <v>43</v>
      </c>
      <c r="G370" t="s">
        <v>11</v>
      </c>
      <c r="H370" t="s">
        <v>12</v>
      </c>
      <c r="I370" t="s">
        <v>13</v>
      </c>
      <c r="J370">
        <v>0</v>
      </c>
    </row>
    <row r="371" spans="1:10" x14ac:dyDescent="0.3">
      <c r="A371" t="s">
        <v>14</v>
      </c>
      <c r="B371">
        <v>16</v>
      </c>
      <c r="C371">
        <v>0</v>
      </c>
      <c r="D371">
        <v>0</v>
      </c>
      <c r="E371">
        <v>1</v>
      </c>
      <c r="F371" t="s">
        <v>27</v>
      </c>
      <c r="G371" t="s">
        <v>16</v>
      </c>
      <c r="H371" t="s">
        <v>12</v>
      </c>
      <c r="I371" t="s">
        <v>13</v>
      </c>
      <c r="J371">
        <v>0</v>
      </c>
    </row>
    <row r="372" spans="1:10" x14ac:dyDescent="0.3">
      <c r="A372" t="s">
        <v>9</v>
      </c>
      <c r="B372">
        <v>20</v>
      </c>
      <c r="C372">
        <v>0</v>
      </c>
      <c r="D372">
        <v>0</v>
      </c>
      <c r="E372">
        <v>1</v>
      </c>
      <c r="F372" t="s">
        <v>28</v>
      </c>
      <c r="G372" t="s">
        <v>11</v>
      </c>
      <c r="H372" t="s">
        <v>12</v>
      </c>
      <c r="I372" t="s">
        <v>13</v>
      </c>
      <c r="J372">
        <v>0</v>
      </c>
    </row>
    <row r="373" spans="1:10" x14ac:dyDescent="0.3">
      <c r="A373" t="s">
        <v>14</v>
      </c>
      <c r="B373">
        <v>48</v>
      </c>
      <c r="C373">
        <v>1</v>
      </c>
      <c r="D373">
        <v>1</v>
      </c>
      <c r="E373">
        <v>1</v>
      </c>
      <c r="F373" t="s">
        <v>25</v>
      </c>
      <c r="G373" t="s">
        <v>16</v>
      </c>
      <c r="H373" t="s">
        <v>23</v>
      </c>
      <c r="I373" t="s">
        <v>13</v>
      </c>
      <c r="J373">
        <v>1</v>
      </c>
    </row>
    <row r="374" spans="1:10" x14ac:dyDescent="0.3">
      <c r="A374" t="s">
        <v>14</v>
      </c>
      <c r="B374">
        <v>31</v>
      </c>
      <c r="C374">
        <v>0</v>
      </c>
      <c r="D374">
        <v>0</v>
      </c>
      <c r="E374">
        <v>0</v>
      </c>
      <c r="F374" t="s">
        <v>22</v>
      </c>
      <c r="G374" t="s">
        <v>11</v>
      </c>
      <c r="H374" t="s">
        <v>23</v>
      </c>
      <c r="I374" t="s">
        <v>13</v>
      </c>
      <c r="J374">
        <v>0</v>
      </c>
    </row>
    <row r="375" spans="1:10" x14ac:dyDescent="0.3">
      <c r="A375" t="s">
        <v>14</v>
      </c>
      <c r="B375">
        <v>53</v>
      </c>
      <c r="C375">
        <v>1</v>
      </c>
      <c r="D375">
        <v>1</v>
      </c>
      <c r="E375">
        <v>1</v>
      </c>
      <c r="F375" t="s">
        <v>32</v>
      </c>
      <c r="G375" t="s">
        <v>16</v>
      </c>
      <c r="H375" t="s">
        <v>18</v>
      </c>
      <c r="I375" t="s">
        <v>13</v>
      </c>
      <c r="J375">
        <v>1</v>
      </c>
    </row>
    <row r="376" spans="1:10" x14ac:dyDescent="0.3">
      <c r="A376" t="s">
        <v>9</v>
      </c>
      <c r="B376">
        <v>42</v>
      </c>
      <c r="C376">
        <v>1</v>
      </c>
      <c r="D376">
        <v>1</v>
      </c>
      <c r="E376">
        <v>0</v>
      </c>
      <c r="F376" t="s">
        <v>26</v>
      </c>
      <c r="G376" t="s">
        <v>11</v>
      </c>
      <c r="H376" t="s">
        <v>12</v>
      </c>
      <c r="I376" t="s">
        <v>13</v>
      </c>
      <c r="J376">
        <v>1</v>
      </c>
    </row>
    <row r="377" spans="1:10" x14ac:dyDescent="0.3">
      <c r="A377" t="s">
        <v>9</v>
      </c>
      <c r="B377">
        <v>9</v>
      </c>
      <c r="C377">
        <v>1</v>
      </c>
      <c r="D377">
        <v>1</v>
      </c>
      <c r="E377">
        <v>1</v>
      </c>
      <c r="F377" t="s">
        <v>52</v>
      </c>
      <c r="G377" t="s">
        <v>16</v>
      </c>
      <c r="H377" t="s">
        <v>12</v>
      </c>
      <c r="I377" t="s">
        <v>13</v>
      </c>
      <c r="J377">
        <v>1</v>
      </c>
    </row>
    <row r="378" spans="1:10" x14ac:dyDescent="0.3">
      <c r="A378" t="s">
        <v>9</v>
      </c>
      <c r="B378">
        <v>8</v>
      </c>
      <c r="C378">
        <v>1</v>
      </c>
      <c r="D378">
        <v>1</v>
      </c>
      <c r="E378">
        <v>1</v>
      </c>
      <c r="F378" t="s">
        <v>21</v>
      </c>
      <c r="G378" t="s">
        <v>11</v>
      </c>
      <c r="H378" t="s">
        <v>18</v>
      </c>
      <c r="I378" t="s">
        <v>13</v>
      </c>
      <c r="J378">
        <v>1</v>
      </c>
    </row>
    <row r="379" spans="1:10" x14ac:dyDescent="0.3">
      <c r="A379" t="s">
        <v>9</v>
      </c>
      <c r="B379">
        <v>17</v>
      </c>
      <c r="C379">
        <v>0</v>
      </c>
      <c r="D379">
        <v>0</v>
      </c>
      <c r="E379">
        <v>1</v>
      </c>
      <c r="F379" t="s">
        <v>21</v>
      </c>
      <c r="G379" t="s">
        <v>16</v>
      </c>
      <c r="H379" t="s">
        <v>12</v>
      </c>
      <c r="I379" t="s">
        <v>13</v>
      </c>
      <c r="J379">
        <v>0</v>
      </c>
    </row>
    <row r="380" spans="1:10" x14ac:dyDescent="0.3">
      <c r="A380" t="s">
        <v>9</v>
      </c>
      <c r="B380">
        <v>16</v>
      </c>
      <c r="C380">
        <v>1</v>
      </c>
      <c r="D380">
        <v>1</v>
      </c>
      <c r="E380">
        <v>0</v>
      </c>
      <c r="F380" t="s">
        <v>22</v>
      </c>
      <c r="G380" t="s">
        <v>11</v>
      </c>
      <c r="H380" t="s">
        <v>23</v>
      </c>
      <c r="I380" t="s">
        <v>13</v>
      </c>
      <c r="J380">
        <v>1</v>
      </c>
    </row>
    <row r="381" spans="1:10" x14ac:dyDescent="0.3">
      <c r="A381" t="s">
        <v>9</v>
      </c>
      <c r="B381">
        <v>15</v>
      </c>
      <c r="C381">
        <v>1</v>
      </c>
      <c r="D381">
        <v>1</v>
      </c>
      <c r="E381">
        <v>1</v>
      </c>
      <c r="F381" t="s">
        <v>44</v>
      </c>
      <c r="G381" t="s">
        <v>16</v>
      </c>
      <c r="H381" t="s">
        <v>18</v>
      </c>
      <c r="I381" t="s">
        <v>13</v>
      </c>
      <c r="J381">
        <v>1</v>
      </c>
    </row>
    <row r="382" spans="1:10" x14ac:dyDescent="0.3">
      <c r="A382" t="s">
        <v>9</v>
      </c>
      <c r="B382">
        <v>63</v>
      </c>
      <c r="C382">
        <v>0</v>
      </c>
      <c r="D382">
        <v>0</v>
      </c>
      <c r="E382">
        <v>1</v>
      </c>
      <c r="F382" t="s">
        <v>19</v>
      </c>
      <c r="G382" t="s">
        <v>11</v>
      </c>
      <c r="H382" t="s">
        <v>12</v>
      </c>
      <c r="I382" t="s">
        <v>13</v>
      </c>
      <c r="J382">
        <v>0</v>
      </c>
    </row>
    <row r="383" spans="1:10" x14ac:dyDescent="0.3">
      <c r="A383" t="s">
        <v>14</v>
      </c>
      <c r="B383">
        <v>35</v>
      </c>
      <c r="C383">
        <v>1</v>
      </c>
      <c r="D383">
        <v>1</v>
      </c>
      <c r="E383">
        <v>1</v>
      </c>
      <c r="F383" t="s">
        <v>43</v>
      </c>
      <c r="G383" t="s">
        <v>16</v>
      </c>
      <c r="H383" t="s">
        <v>18</v>
      </c>
      <c r="I383" t="s">
        <v>13</v>
      </c>
      <c r="J383">
        <v>1</v>
      </c>
    </row>
    <row r="384" spans="1:10" x14ac:dyDescent="0.3">
      <c r="A384" t="s">
        <v>14</v>
      </c>
      <c r="B384">
        <v>51</v>
      </c>
      <c r="C384">
        <v>0</v>
      </c>
      <c r="D384">
        <v>0</v>
      </c>
      <c r="E384">
        <v>0</v>
      </c>
      <c r="F384" t="s">
        <v>43</v>
      </c>
      <c r="G384" t="s">
        <v>11</v>
      </c>
      <c r="H384" t="s">
        <v>12</v>
      </c>
      <c r="I384" t="s">
        <v>13</v>
      </c>
      <c r="J384">
        <v>0</v>
      </c>
    </row>
    <row r="385" spans="1:10" x14ac:dyDescent="0.3">
      <c r="A385" t="s">
        <v>14</v>
      </c>
      <c r="B385">
        <v>33</v>
      </c>
      <c r="C385">
        <v>0</v>
      </c>
      <c r="D385">
        <v>0</v>
      </c>
      <c r="E385">
        <v>0</v>
      </c>
      <c r="F385" t="s">
        <v>29</v>
      </c>
      <c r="G385" t="s">
        <v>16</v>
      </c>
      <c r="H385" t="s">
        <v>18</v>
      </c>
      <c r="I385" t="s">
        <v>13</v>
      </c>
      <c r="J385">
        <v>0</v>
      </c>
    </row>
    <row r="386" spans="1:10" x14ac:dyDescent="0.3">
      <c r="A386" t="s">
        <v>9</v>
      </c>
      <c r="B386">
        <v>17</v>
      </c>
      <c r="C386">
        <v>1</v>
      </c>
      <c r="D386">
        <v>1</v>
      </c>
      <c r="E386">
        <v>1</v>
      </c>
      <c r="F386" t="s">
        <v>49</v>
      </c>
      <c r="G386" t="s">
        <v>11</v>
      </c>
      <c r="H386" t="s">
        <v>18</v>
      </c>
      <c r="I386" t="s">
        <v>13</v>
      </c>
      <c r="J386">
        <v>1</v>
      </c>
    </row>
    <row r="387" spans="1:10" x14ac:dyDescent="0.3">
      <c r="A387" t="s">
        <v>9</v>
      </c>
      <c r="B387">
        <v>50</v>
      </c>
      <c r="C387">
        <v>0</v>
      </c>
      <c r="D387">
        <v>0</v>
      </c>
      <c r="E387">
        <v>1</v>
      </c>
      <c r="F387" t="s">
        <v>42</v>
      </c>
      <c r="G387" t="s">
        <v>16</v>
      </c>
      <c r="H387" t="s">
        <v>12</v>
      </c>
      <c r="I387" t="s">
        <v>13</v>
      </c>
      <c r="J387">
        <v>0</v>
      </c>
    </row>
    <row r="388" spans="1:10" x14ac:dyDescent="0.3">
      <c r="A388" t="s">
        <v>9</v>
      </c>
      <c r="B388">
        <v>34</v>
      </c>
      <c r="C388">
        <v>1</v>
      </c>
      <c r="D388">
        <v>1</v>
      </c>
      <c r="E388">
        <v>1</v>
      </c>
      <c r="F388" t="s">
        <v>45</v>
      </c>
      <c r="G388" t="s">
        <v>11</v>
      </c>
      <c r="H388" t="s">
        <v>12</v>
      </c>
      <c r="I388" t="s">
        <v>13</v>
      </c>
      <c r="J388">
        <v>1</v>
      </c>
    </row>
    <row r="389" spans="1:10" x14ac:dyDescent="0.3">
      <c r="A389" t="s">
        <v>9</v>
      </c>
      <c r="B389">
        <v>26</v>
      </c>
      <c r="C389">
        <v>1</v>
      </c>
      <c r="D389">
        <v>1</v>
      </c>
      <c r="E389">
        <v>1</v>
      </c>
      <c r="F389" t="s">
        <v>38</v>
      </c>
      <c r="G389" t="s">
        <v>16</v>
      </c>
      <c r="H389" t="s">
        <v>23</v>
      </c>
      <c r="I389" t="s">
        <v>13</v>
      </c>
      <c r="J389">
        <v>1</v>
      </c>
    </row>
    <row r="390" spans="1:10" x14ac:dyDescent="0.3">
      <c r="A390" t="s">
        <v>9</v>
      </c>
      <c r="B390">
        <v>25</v>
      </c>
      <c r="C390">
        <v>0</v>
      </c>
      <c r="D390">
        <v>0</v>
      </c>
      <c r="E390">
        <v>1</v>
      </c>
      <c r="F390" t="s">
        <v>47</v>
      </c>
      <c r="G390" t="s">
        <v>11</v>
      </c>
      <c r="H390" t="s">
        <v>18</v>
      </c>
      <c r="I390" t="s">
        <v>13</v>
      </c>
      <c r="J390">
        <v>0</v>
      </c>
    </row>
    <row r="391" spans="1:10" x14ac:dyDescent="0.3">
      <c r="A391" t="s">
        <v>14</v>
      </c>
      <c r="B391">
        <v>58</v>
      </c>
      <c r="C391">
        <v>0</v>
      </c>
      <c r="D391">
        <v>0</v>
      </c>
      <c r="E391">
        <v>0</v>
      </c>
      <c r="F391" t="s">
        <v>21</v>
      </c>
      <c r="G391" t="s">
        <v>16</v>
      </c>
      <c r="H391" t="s">
        <v>23</v>
      </c>
      <c r="I391" t="s">
        <v>13</v>
      </c>
      <c r="J391">
        <v>0</v>
      </c>
    </row>
    <row r="392" spans="1:10" x14ac:dyDescent="0.3">
      <c r="A392" t="s">
        <v>9</v>
      </c>
      <c r="B392">
        <v>29</v>
      </c>
      <c r="C392">
        <v>1</v>
      </c>
      <c r="D392">
        <v>1</v>
      </c>
      <c r="E392">
        <v>1</v>
      </c>
      <c r="F392" t="s">
        <v>39</v>
      </c>
      <c r="G392" t="s">
        <v>11</v>
      </c>
      <c r="H392" t="s">
        <v>18</v>
      </c>
      <c r="I392" t="s">
        <v>13</v>
      </c>
      <c r="J392">
        <v>1</v>
      </c>
    </row>
    <row r="393" spans="1:10" x14ac:dyDescent="0.3">
      <c r="A393" t="s">
        <v>14</v>
      </c>
      <c r="B393">
        <v>38</v>
      </c>
      <c r="C393">
        <v>0</v>
      </c>
      <c r="D393">
        <v>0</v>
      </c>
      <c r="E393">
        <v>0</v>
      </c>
      <c r="F393" t="s">
        <v>44</v>
      </c>
      <c r="G393" t="s">
        <v>16</v>
      </c>
      <c r="H393" t="s">
        <v>23</v>
      </c>
      <c r="I393" t="s">
        <v>13</v>
      </c>
      <c r="J393">
        <v>0</v>
      </c>
    </row>
    <row r="394" spans="1:10" x14ac:dyDescent="0.3">
      <c r="A394" t="s">
        <v>9</v>
      </c>
      <c r="B394">
        <v>17</v>
      </c>
      <c r="C394">
        <v>1</v>
      </c>
      <c r="D394">
        <v>1</v>
      </c>
      <c r="E394">
        <v>0</v>
      </c>
      <c r="F394" t="s">
        <v>43</v>
      </c>
      <c r="G394" t="s">
        <v>11</v>
      </c>
      <c r="H394" t="s">
        <v>12</v>
      </c>
      <c r="I394" t="s">
        <v>13</v>
      </c>
      <c r="J394">
        <v>1</v>
      </c>
    </row>
    <row r="395" spans="1:10" x14ac:dyDescent="0.3">
      <c r="A395" t="s">
        <v>9</v>
      </c>
      <c r="B395">
        <v>59</v>
      </c>
      <c r="C395">
        <v>0</v>
      </c>
      <c r="D395">
        <v>0</v>
      </c>
      <c r="E395">
        <v>1</v>
      </c>
      <c r="F395" t="s">
        <v>19</v>
      </c>
      <c r="G395" t="s">
        <v>16</v>
      </c>
      <c r="H395" t="s">
        <v>12</v>
      </c>
      <c r="I395" t="s">
        <v>13</v>
      </c>
      <c r="J395">
        <v>0</v>
      </c>
    </row>
    <row r="396" spans="1:10" x14ac:dyDescent="0.3">
      <c r="A396" t="s">
        <v>9</v>
      </c>
      <c r="B396">
        <v>22</v>
      </c>
      <c r="C396">
        <v>0</v>
      </c>
      <c r="D396">
        <v>0</v>
      </c>
      <c r="E396">
        <v>1</v>
      </c>
      <c r="F396" t="s">
        <v>36</v>
      </c>
      <c r="G396" t="s">
        <v>11</v>
      </c>
      <c r="H396" t="s">
        <v>23</v>
      </c>
      <c r="I396" t="s">
        <v>13</v>
      </c>
      <c r="J396">
        <v>0</v>
      </c>
    </row>
    <row r="397" spans="1:10" x14ac:dyDescent="0.3">
      <c r="A397" t="s">
        <v>9</v>
      </c>
      <c r="B397">
        <v>18</v>
      </c>
      <c r="C397">
        <v>1</v>
      </c>
      <c r="D397">
        <v>1</v>
      </c>
      <c r="E397">
        <v>0</v>
      </c>
      <c r="F397" t="s">
        <v>21</v>
      </c>
      <c r="G397" t="s">
        <v>16</v>
      </c>
      <c r="H397" t="s">
        <v>18</v>
      </c>
      <c r="I397" t="s">
        <v>13</v>
      </c>
      <c r="J397">
        <v>1</v>
      </c>
    </row>
    <row r="398" spans="1:10" x14ac:dyDescent="0.3">
      <c r="A398" t="s">
        <v>9</v>
      </c>
      <c r="B398">
        <v>45</v>
      </c>
      <c r="C398">
        <v>0</v>
      </c>
      <c r="D398">
        <v>0</v>
      </c>
      <c r="E398">
        <v>0</v>
      </c>
      <c r="F398" t="s">
        <v>48</v>
      </c>
      <c r="G398" t="s">
        <v>11</v>
      </c>
      <c r="H398" t="s">
        <v>23</v>
      </c>
      <c r="I398" t="s">
        <v>13</v>
      </c>
      <c r="J398">
        <v>0</v>
      </c>
    </row>
    <row r="399" spans="1:10" x14ac:dyDescent="0.3">
      <c r="A399" t="s">
        <v>9</v>
      </c>
      <c r="B399">
        <v>9</v>
      </c>
      <c r="C399">
        <v>1</v>
      </c>
      <c r="D399">
        <v>1</v>
      </c>
      <c r="E399">
        <v>0</v>
      </c>
      <c r="F399" t="s">
        <v>42</v>
      </c>
      <c r="G399" t="s">
        <v>16</v>
      </c>
      <c r="H399" t="s">
        <v>23</v>
      </c>
      <c r="I399" t="s">
        <v>13</v>
      </c>
      <c r="J399">
        <v>1</v>
      </c>
    </row>
    <row r="400" spans="1:10" x14ac:dyDescent="0.3">
      <c r="A400" t="s">
        <v>14</v>
      </c>
      <c r="B400">
        <v>50</v>
      </c>
      <c r="C400">
        <v>0</v>
      </c>
      <c r="D400">
        <v>0</v>
      </c>
      <c r="E400">
        <v>1</v>
      </c>
      <c r="F400" t="s">
        <v>17</v>
      </c>
      <c r="G400" t="s">
        <v>11</v>
      </c>
      <c r="H400" t="s">
        <v>18</v>
      </c>
      <c r="I400" t="s">
        <v>13</v>
      </c>
      <c r="J400">
        <v>0</v>
      </c>
    </row>
    <row r="401" spans="1:10" x14ac:dyDescent="0.3">
      <c r="A401" t="s">
        <v>9</v>
      </c>
      <c r="B401">
        <v>50</v>
      </c>
      <c r="C401">
        <v>1</v>
      </c>
      <c r="D401">
        <v>1</v>
      </c>
      <c r="E401">
        <v>0</v>
      </c>
      <c r="F401" t="s">
        <v>31</v>
      </c>
      <c r="G401" t="s">
        <v>16</v>
      </c>
      <c r="H401" t="s">
        <v>23</v>
      </c>
      <c r="I401" t="s">
        <v>13</v>
      </c>
      <c r="J401">
        <v>1</v>
      </c>
    </row>
    <row r="402" spans="1:10" x14ac:dyDescent="0.3">
      <c r="A402" t="s">
        <v>14</v>
      </c>
      <c r="B402">
        <v>14</v>
      </c>
      <c r="C402">
        <v>0</v>
      </c>
      <c r="D402">
        <v>0</v>
      </c>
      <c r="E402">
        <v>0</v>
      </c>
      <c r="F402" t="s">
        <v>41</v>
      </c>
      <c r="G402" t="s">
        <v>11</v>
      </c>
      <c r="H402" t="s">
        <v>12</v>
      </c>
      <c r="I402" t="s">
        <v>13</v>
      </c>
      <c r="J402">
        <v>0</v>
      </c>
    </row>
    <row r="403" spans="1:10" x14ac:dyDescent="0.3">
      <c r="A403" t="s">
        <v>9</v>
      </c>
      <c r="B403">
        <v>40</v>
      </c>
      <c r="C403">
        <v>0</v>
      </c>
      <c r="D403">
        <v>0</v>
      </c>
      <c r="E403">
        <v>1</v>
      </c>
      <c r="F403" t="s">
        <v>10</v>
      </c>
      <c r="G403" t="s">
        <v>16</v>
      </c>
      <c r="H403" t="s">
        <v>18</v>
      </c>
      <c r="I403" t="s">
        <v>13</v>
      </c>
      <c r="J403">
        <v>0</v>
      </c>
    </row>
    <row r="404" spans="1:10" x14ac:dyDescent="0.3">
      <c r="A404" t="s">
        <v>9</v>
      </c>
      <c r="B404">
        <v>62</v>
      </c>
      <c r="C404">
        <v>0</v>
      </c>
      <c r="D404">
        <v>0</v>
      </c>
      <c r="E404">
        <v>1</v>
      </c>
      <c r="F404" t="s">
        <v>15</v>
      </c>
      <c r="G404" t="s">
        <v>11</v>
      </c>
      <c r="H404" t="s">
        <v>12</v>
      </c>
      <c r="I404" t="s">
        <v>13</v>
      </c>
      <c r="J404">
        <v>0</v>
      </c>
    </row>
    <row r="405" spans="1:10" x14ac:dyDescent="0.3">
      <c r="A405" t="s">
        <v>9</v>
      </c>
      <c r="B405">
        <v>40</v>
      </c>
      <c r="C405">
        <v>1</v>
      </c>
      <c r="D405">
        <v>1</v>
      </c>
      <c r="E405">
        <v>1</v>
      </c>
      <c r="F405" t="s">
        <v>15</v>
      </c>
      <c r="G405" t="s">
        <v>16</v>
      </c>
      <c r="H405" t="s">
        <v>18</v>
      </c>
      <c r="I405" t="s">
        <v>13</v>
      </c>
      <c r="J405">
        <v>1</v>
      </c>
    </row>
    <row r="406" spans="1:10" x14ac:dyDescent="0.3">
      <c r="A406" t="s">
        <v>14</v>
      </c>
      <c r="B406">
        <v>24</v>
      </c>
      <c r="C406">
        <v>0</v>
      </c>
      <c r="D406">
        <v>0</v>
      </c>
      <c r="E406">
        <v>1</v>
      </c>
      <c r="F406" t="s">
        <v>24</v>
      </c>
      <c r="G406" t="s">
        <v>11</v>
      </c>
      <c r="H406" t="s">
        <v>23</v>
      </c>
      <c r="I406" t="s">
        <v>13</v>
      </c>
      <c r="J406">
        <v>0</v>
      </c>
    </row>
    <row r="407" spans="1:10" x14ac:dyDescent="0.3">
      <c r="A407" t="s">
        <v>14</v>
      </c>
      <c r="B407">
        <v>21</v>
      </c>
      <c r="C407">
        <v>0</v>
      </c>
      <c r="D407">
        <v>0</v>
      </c>
      <c r="E407">
        <v>1</v>
      </c>
      <c r="F407" t="s">
        <v>38</v>
      </c>
      <c r="G407" t="s">
        <v>16</v>
      </c>
      <c r="H407" t="s">
        <v>18</v>
      </c>
      <c r="I407" t="s">
        <v>13</v>
      </c>
      <c r="J407">
        <v>0</v>
      </c>
    </row>
    <row r="408" spans="1:10" x14ac:dyDescent="0.3">
      <c r="A408" t="s">
        <v>14</v>
      </c>
      <c r="B408">
        <v>62</v>
      </c>
      <c r="C408">
        <v>1</v>
      </c>
      <c r="D408">
        <v>1</v>
      </c>
      <c r="E408">
        <v>0</v>
      </c>
      <c r="F408" t="s">
        <v>27</v>
      </c>
      <c r="G408" t="s">
        <v>11</v>
      </c>
      <c r="H408" t="s">
        <v>18</v>
      </c>
      <c r="I408" t="s">
        <v>13</v>
      </c>
      <c r="J408">
        <v>1</v>
      </c>
    </row>
    <row r="409" spans="1:10" x14ac:dyDescent="0.3">
      <c r="A409" t="s">
        <v>14</v>
      </c>
      <c r="B409">
        <v>16</v>
      </c>
      <c r="C409">
        <v>1</v>
      </c>
      <c r="D409">
        <v>1</v>
      </c>
      <c r="E409">
        <v>1</v>
      </c>
      <c r="F409" t="s">
        <v>15</v>
      </c>
      <c r="G409" t="s">
        <v>16</v>
      </c>
      <c r="H409" t="s">
        <v>12</v>
      </c>
      <c r="I409" t="s">
        <v>13</v>
      </c>
      <c r="J409">
        <v>1</v>
      </c>
    </row>
    <row r="410" spans="1:10" x14ac:dyDescent="0.3">
      <c r="A410" t="s">
        <v>14</v>
      </c>
      <c r="B410">
        <v>11</v>
      </c>
      <c r="C410">
        <v>0</v>
      </c>
      <c r="D410">
        <v>0</v>
      </c>
      <c r="E410">
        <v>0</v>
      </c>
      <c r="F410" t="s">
        <v>35</v>
      </c>
      <c r="G410" t="s">
        <v>11</v>
      </c>
      <c r="H410" t="s">
        <v>12</v>
      </c>
      <c r="I410" t="s">
        <v>13</v>
      </c>
      <c r="J410">
        <v>0</v>
      </c>
    </row>
    <row r="411" spans="1:10" x14ac:dyDescent="0.3">
      <c r="A411" t="s">
        <v>14</v>
      </c>
      <c r="B411">
        <v>30</v>
      </c>
      <c r="C411">
        <v>1</v>
      </c>
      <c r="D411">
        <v>1</v>
      </c>
      <c r="E411">
        <v>0</v>
      </c>
      <c r="F411" t="s">
        <v>15</v>
      </c>
      <c r="G411" t="s">
        <v>16</v>
      </c>
      <c r="H411" t="s">
        <v>18</v>
      </c>
      <c r="I411" t="s">
        <v>13</v>
      </c>
      <c r="J411">
        <v>1</v>
      </c>
    </row>
    <row r="412" spans="1:10" x14ac:dyDescent="0.3">
      <c r="A412" t="s">
        <v>14</v>
      </c>
      <c r="B412">
        <v>55</v>
      </c>
      <c r="C412">
        <v>0</v>
      </c>
      <c r="D412">
        <v>0</v>
      </c>
      <c r="E412">
        <v>0</v>
      </c>
      <c r="F412" t="s">
        <v>28</v>
      </c>
      <c r="G412" t="s">
        <v>11</v>
      </c>
      <c r="H412" t="s">
        <v>23</v>
      </c>
      <c r="I412" t="s">
        <v>13</v>
      </c>
      <c r="J412">
        <v>0</v>
      </c>
    </row>
    <row r="413" spans="1:10" x14ac:dyDescent="0.3">
      <c r="A413" t="s">
        <v>14</v>
      </c>
      <c r="B413">
        <v>24</v>
      </c>
      <c r="C413">
        <v>0</v>
      </c>
      <c r="D413">
        <v>0</v>
      </c>
      <c r="E413">
        <v>1</v>
      </c>
      <c r="F413" t="s">
        <v>40</v>
      </c>
      <c r="G413" t="s">
        <v>16</v>
      </c>
      <c r="H413" t="s">
        <v>18</v>
      </c>
      <c r="I413" t="s">
        <v>13</v>
      </c>
      <c r="J413">
        <v>0</v>
      </c>
    </row>
    <row r="414" spans="1:10" x14ac:dyDescent="0.3">
      <c r="A414" t="s">
        <v>9</v>
      </c>
      <c r="B414">
        <v>54</v>
      </c>
      <c r="C414">
        <v>0</v>
      </c>
      <c r="D414">
        <v>0</v>
      </c>
      <c r="E414">
        <v>1</v>
      </c>
      <c r="F414" t="s">
        <v>52</v>
      </c>
      <c r="G414" t="s">
        <v>11</v>
      </c>
      <c r="H414" t="s">
        <v>18</v>
      </c>
      <c r="I414" t="s">
        <v>13</v>
      </c>
      <c r="J414">
        <v>0</v>
      </c>
    </row>
    <row r="415" spans="1:10" x14ac:dyDescent="0.3">
      <c r="A415" t="s">
        <v>14</v>
      </c>
      <c r="B415">
        <v>29</v>
      </c>
      <c r="C415">
        <v>1</v>
      </c>
      <c r="D415">
        <v>1</v>
      </c>
      <c r="E415">
        <v>0</v>
      </c>
      <c r="F415" t="s">
        <v>43</v>
      </c>
      <c r="G415" t="s">
        <v>16</v>
      </c>
      <c r="H415" t="s">
        <v>23</v>
      </c>
      <c r="I415" t="s">
        <v>13</v>
      </c>
      <c r="J415">
        <v>1</v>
      </c>
    </row>
    <row r="416" spans="1:10" x14ac:dyDescent="0.3">
      <c r="A416" t="s">
        <v>9</v>
      </c>
      <c r="B416">
        <v>20</v>
      </c>
      <c r="C416">
        <v>0</v>
      </c>
      <c r="D416">
        <v>0</v>
      </c>
      <c r="E416">
        <v>1</v>
      </c>
      <c r="F416" t="s">
        <v>28</v>
      </c>
      <c r="G416" t="s">
        <v>11</v>
      </c>
      <c r="H416" t="s">
        <v>23</v>
      </c>
      <c r="I416" t="s">
        <v>13</v>
      </c>
      <c r="J416">
        <v>0</v>
      </c>
    </row>
    <row r="417" spans="1:10" x14ac:dyDescent="0.3">
      <c r="A417" t="s">
        <v>14</v>
      </c>
      <c r="B417">
        <v>57</v>
      </c>
      <c r="C417">
        <v>1</v>
      </c>
      <c r="D417">
        <v>1</v>
      </c>
      <c r="E417">
        <v>1</v>
      </c>
      <c r="F417" t="s">
        <v>45</v>
      </c>
      <c r="G417" t="s">
        <v>16</v>
      </c>
      <c r="H417" t="s">
        <v>23</v>
      </c>
      <c r="I417" t="s">
        <v>13</v>
      </c>
      <c r="J417">
        <v>1</v>
      </c>
    </row>
    <row r="418" spans="1:10" x14ac:dyDescent="0.3">
      <c r="A418" t="s">
        <v>14</v>
      </c>
      <c r="B418">
        <v>62</v>
      </c>
      <c r="C418">
        <v>0</v>
      </c>
      <c r="D418">
        <v>0</v>
      </c>
      <c r="E418">
        <v>1</v>
      </c>
      <c r="F418" t="s">
        <v>46</v>
      </c>
      <c r="G418" t="s">
        <v>11</v>
      </c>
      <c r="H418" t="s">
        <v>18</v>
      </c>
      <c r="I418" t="s">
        <v>13</v>
      </c>
      <c r="J418">
        <v>0</v>
      </c>
    </row>
    <row r="419" spans="1:10" x14ac:dyDescent="0.3">
      <c r="A419" t="s">
        <v>9</v>
      </c>
      <c r="B419">
        <v>35</v>
      </c>
      <c r="C419">
        <v>0</v>
      </c>
      <c r="D419">
        <v>0</v>
      </c>
      <c r="E419">
        <v>1</v>
      </c>
      <c r="F419" t="s">
        <v>46</v>
      </c>
      <c r="G419" t="s">
        <v>16</v>
      </c>
      <c r="H419" t="s">
        <v>23</v>
      </c>
      <c r="I419" t="s">
        <v>13</v>
      </c>
      <c r="J419">
        <v>0</v>
      </c>
    </row>
    <row r="420" spans="1:10" x14ac:dyDescent="0.3">
      <c r="A420" t="s">
        <v>9</v>
      </c>
      <c r="B420">
        <v>22</v>
      </c>
      <c r="C420">
        <v>1</v>
      </c>
      <c r="D420">
        <v>1</v>
      </c>
      <c r="E420">
        <v>1</v>
      </c>
      <c r="F420" t="s">
        <v>10</v>
      </c>
      <c r="G420" t="s">
        <v>11</v>
      </c>
      <c r="H420" t="s">
        <v>18</v>
      </c>
      <c r="I420" t="s">
        <v>13</v>
      </c>
      <c r="J420">
        <v>1</v>
      </c>
    </row>
    <row r="421" spans="1:10" x14ac:dyDescent="0.3">
      <c r="A421" t="s">
        <v>14</v>
      </c>
      <c r="B421">
        <v>14</v>
      </c>
      <c r="C421">
        <v>1</v>
      </c>
      <c r="D421">
        <v>1</v>
      </c>
      <c r="E421">
        <v>1</v>
      </c>
      <c r="F421" t="s">
        <v>47</v>
      </c>
      <c r="G421" t="s">
        <v>16</v>
      </c>
      <c r="H421" t="s">
        <v>12</v>
      </c>
      <c r="I421" t="s">
        <v>13</v>
      </c>
      <c r="J421">
        <v>1</v>
      </c>
    </row>
    <row r="422" spans="1:10" x14ac:dyDescent="0.3">
      <c r="A422" t="s">
        <v>9</v>
      </c>
      <c r="B422">
        <v>40</v>
      </c>
      <c r="C422">
        <v>1</v>
      </c>
      <c r="D422">
        <v>1</v>
      </c>
      <c r="E422">
        <v>0</v>
      </c>
      <c r="F422" t="s">
        <v>46</v>
      </c>
      <c r="G422" t="s">
        <v>11</v>
      </c>
      <c r="H422" t="s">
        <v>12</v>
      </c>
      <c r="I422" t="s">
        <v>13</v>
      </c>
      <c r="J422">
        <v>1</v>
      </c>
    </row>
    <row r="423" spans="1:10" x14ac:dyDescent="0.3">
      <c r="A423" t="s">
        <v>9</v>
      </c>
      <c r="B423">
        <v>46</v>
      </c>
      <c r="C423">
        <v>1</v>
      </c>
      <c r="D423">
        <v>1</v>
      </c>
      <c r="E423">
        <v>0</v>
      </c>
      <c r="F423" t="s">
        <v>32</v>
      </c>
      <c r="G423" t="s">
        <v>16</v>
      </c>
      <c r="H423" t="s">
        <v>18</v>
      </c>
      <c r="I423" t="s">
        <v>13</v>
      </c>
      <c r="J423">
        <v>1</v>
      </c>
    </row>
    <row r="424" spans="1:10" x14ac:dyDescent="0.3">
      <c r="A424" t="s">
        <v>9</v>
      </c>
      <c r="B424">
        <v>21</v>
      </c>
      <c r="C424">
        <v>0</v>
      </c>
      <c r="D424">
        <v>0</v>
      </c>
      <c r="E424">
        <v>1</v>
      </c>
      <c r="F424" t="s">
        <v>22</v>
      </c>
      <c r="G424" t="s">
        <v>11</v>
      </c>
      <c r="H424" t="s">
        <v>23</v>
      </c>
      <c r="I424" t="s">
        <v>13</v>
      </c>
      <c r="J424">
        <v>0</v>
      </c>
    </row>
    <row r="425" spans="1:10" x14ac:dyDescent="0.3">
      <c r="A425" t="s">
        <v>14</v>
      </c>
      <c r="B425">
        <v>38</v>
      </c>
      <c r="C425">
        <v>0</v>
      </c>
      <c r="D425">
        <v>0</v>
      </c>
      <c r="E425">
        <v>1</v>
      </c>
      <c r="F425" t="s">
        <v>38</v>
      </c>
      <c r="G425" t="s">
        <v>16</v>
      </c>
      <c r="H425" t="s">
        <v>12</v>
      </c>
      <c r="I425" t="s">
        <v>13</v>
      </c>
      <c r="J425">
        <v>0</v>
      </c>
    </row>
    <row r="426" spans="1:10" x14ac:dyDescent="0.3">
      <c r="A426" t="s">
        <v>14</v>
      </c>
      <c r="B426">
        <v>23</v>
      </c>
      <c r="C426">
        <v>1</v>
      </c>
      <c r="D426">
        <v>1</v>
      </c>
      <c r="E426">
        <v>1</v>
      </c>
      <c r="F426" t="s">
        <v>49</v>
      </c>
      <c r="G426" t="s">
        <v>11</v>
      </c>
      <c r="H426" t="s">
        <v>12</v>
      </c>
      <c r="I426" t="s">
        <v>13</v>
      </c>
      <c r="J426">
        <v>1</v>
      </c>
    </row>
    <row r="427" spans="1:10" x14ac:dyDescent="0.3">
      <c r="A427" t="s">
        <v>9</v>
      </c>
      <c r="B427">
        <v>15</v>
      </c>
      <c r="C427">
        <v>0</v>
      </c>
      <c r="D427">
        <v>0</v>
      </c>
      <c r="E427">
        <v>0</v>
      </c>
      <c r="F427" t="s">
        <v>10</v>
      </c>
      <c r="G427" t="s">
        <v>16</v>
      </c>
      <c r="H427" t="s">
        <v>18</v>
      </c>
      <c r="I427" t="s">
        <v>13</v>
      </c>
      <c r="J427">
        <v>0</v>
      </c>
    </row>
    <row r="428" spans="1:10" x14ac:dyDescent="0.3">
      <c r="A428" t="s">
        <v>9</v>
      </c>
      <c r="B428">
        <v>21</v>
      </c>
      <c r="C428">
        <v>0</v>
      </c>
      <c r="D428">
        <v>0</v>
      </c>
      <c r="E428">
        <v>0</v>
      </c>
      <c r="F428" t="s">
        <v>31</v>
      </c>
      <c r="G428" t="s">
        <v>11</v>
      </c>
      <c r="H428" t="s">
        <v>18</v>
      </c>
      <c r="I428" t="s">
        <v>13</v>
      </c>
      <c r="J428">
        <v>0</v>
      </c>
    </row>
    <row r="429" spans="1:10" x14ac:dyDescent="0.3">
      <c r="A429" t="s">
        <v>9</v>
      </c>
      <c r="B429">
        <v>31</v>
      </c>
      <c r="C429">
        <v>0</v>
      </c>
      <c r="D429">
        <v>0</v>
      </c>
      <c r="E429">
        <v>0</v>
      </c>
      <c r="F429" t="s">
        <v>28</v>
      </c>
      <c r="G429" t="s">
        <v>16</v>
      </c>
      <c r="H429" t="s">
        <v>18</v>
      </c>
      <c r="I429" t="s">
        <v>13</v>
      </c>
      <c r="J429">
        <v>0</v>
      </c>
    </row>
    <row r="430" spans="1:10" x14ac:dyDescent="0.3">
      <c r="A430" t="s">
        <v>9</v>
      </c>
      <c r="B430">
        <v>43</v>
      </c>
      <c r="C430">
        <v>1</v>
      </c>
      <c r="D430">
        <v>1</v>
      </c>
      <c r="E430">
        <v>0</v>
      </c>
      <c r="F430" t="s">
        <v>40</v>
      </c>
      <c r="G430" t="s">
        <v>11</v>
      </c>
      <c r="H430" t="s">
        <v>23</v>
      </c>
      <c r="I430" t="s">
        <v>13</v>
      </c>
      <c r="J430">
        <v>1</v>
      </c>
    </row>
    <row r="431" spans="1:10" x14ac:dyDescent="0.3">
      <c r="A431" t="s">
        <v>14</v>
      </c>
      <c r="B431">
        <v>29</v>
      </c>
      <c r="C431">
        <v>1</v>
      </c>
      <c r="D431">
        <v>1</v>
      </c>
      <c r="E431">
        <v>0</v>
      </c>
      <c r="F431" t="s">
        <v>37</v>
      </c>
      <c r="G431" t="s">
        <v>16</v>
      </c>
      <c r="H431" t="s">
        <v>23</v>
      </c>
      <c r="I431" t="s">
        <v>13</v>
      </c>
      <c r="J431">
        <v>1</v>
      </c>
    </row>
    <row r="432" spans="1:10" x14ac:dyDescent="0.3">
      <c r="A432" t="s">
        <v>9</v>
      </c>
      <c r="B432">
        <v>58</v>
      </c>
      <c r="C432">
        <v>0</v>
      </c>
      <c r="D432">
        <v>0</v>
      </c>
      <c r="E432">
        <v>1</v>
      </c>
      <c r="F432" t="s">
        <v>36</v>
      </c>
      <c r="G432" t="s">
        <v>11</v>
      </c>
      <c r="H432" t="s">
        <v>12</v>
      </c>
      <c r="I432" t="s">
        <v>13</v>
      </c>
      <c r="J432">
        <v>0</v>
      </c>
    </row>
    <row r="433" spans="1:10" x14ac:dyDescent="0.3">
      <c r="A433" t="s">
        <v>14</v>
      </c>
      <c r="B433">
        <v>27</v>
      </c>
      <c r="C433">
        <v>1</v>
      </c>
      <c r="D433">
        <v>1</v>
      </c>
      <c r="E433">
        <v>0</v>
      </c>
      <c r="F433" t="s">
        <v>46</v>
      </c>
      <c r="G433" t="s">
        <v>16</v>
      </c>
      <c r="H433" t="s">
        <v>12</v>
      </c>
      <c r="I433" t="s">
        <v>13</v>
      </c>
      <c r="J433">
        <v>1</v>
      </c>
    </row>
    <row r="434" spans="1:10" x14ac:dyDescent="0.3">
      <c r="A434" t="s">
        <v>14</v>
      </c>
      <c r="B434">
        <v>49</v>
      </c>
      <c r="C434">
        <v>0</v>
      </c>
      <c r="D434">
        <v>0</v>
      </c>
      <c r="E434">
        <v>0</v>
      </c>
      <c r="F434" t="s">
        <v>22</v>
      </c>
      <c r="G434" t="s">
        <v>11</v>
      </c>
      <c r="H434" t="s">
        <v>12</v>
      </c>
      <c r="I434" t="s">
        <v>13</v>
      </c>
      <c r="J434">
        <v>0</v>
      </c>
    </row>
    <row r="435" spans="1:10" x14ac:dyDescent="0.3">
      <c r="A435" t="s">
        <v>14</v>
      </c>
      <c r="B435">
        <v>43</v>
      </c>
      <c r="C435">
        <v>1</v>
      </c>
      <c r="D435">
        <v>1</v>
      </c>
      <c r="E435">
        <v>1</v>
      </c>
      <c r="F435" t="s">
        <v>28</v>
      </c>
      <c r="G435" t="s">
        <v>16</v>
      </c>
      <c r="H435" t="s">
        <v>12</v>
      </c>
      <c r="I435" t="s">
        <v>13</v>
      </c>
      <c r="J435">
        <v>1</v>
      </c>
    </row>
    <row r="436" spans="1:10" x14ac:dyDescent="0.3">
      <c r="A436" t="s">
        <v>14</v>
      </c>
      <c r="B436">
        <v>42</v>
      </c>
      <c r="C436">
        <v>1</v>
      </c>
      <c r="D436">
        <v>1</v>
      </c>
      <c r="E436">
        <v>0</v>
      </c>
      <c r="F436" t="s">
        <v>50</v>
      </c>
      <c r="G436" t="s">
        <v>11</v>
      </c>
      <c r="H436" t="s">
        <v>18</v>
      </c>
      <c r="I436" t="s">
        <v>13</v>
      </c>
      <c r="J436">
        <v>1</v>
      </c>
    </row>
    <row r="437" spans="1:10" x14ac:dyDescent="0.3">
      <c r="A437" t="s">
        <v>9</v>
      </c>
      <c r="B437">
        <v>18</v>
      </c>
      <c r="C437">
        <v>1</v>
      </c>
      <c r="D437">
        <v>1</v>
      </c>
      <c r="E437">
        <v>0</v>
      </c>
      <c r="F437" t="s">
        <v>47</v>
      </c>
      <c r="G437" t="s">
        <v>16</v>
      </c>
      <c r="H437" t="s">
        <v>12</v>
      </c>
      <c r="I437" t="s">
        <v>13</v>
      </c>
      <c r="J437">
        <v>1</v>
      </c>
    </row>
    <row r="438" spans="1:10" x14ac:dyDescent="0.3">
      <c r="A438" t="s">
        <v>14</v>
      </c>
      <c r="B438">
        <v>15</v>
      </c>
      <c r="C438">
        <v>1</v>
      </c>
      <c r="D438">
        <v>1</v>
      </c>
      <c r="E438">
        <v>0</v>
      </c>
      <c r="F438" t="s">
        <v>52</v>
      </c>
      <c r="G438" t="s">
        <v>11</v>
      </c>
      <c r="H438" t="s">
        <v>23</v>
      </c>
      <c r="I438" t="s">
        <v>13</v>
      </c>
      <c r="J438">
        <v>1</v>
      </c>
    </row>
    <row r="439" spans="1:10" x14ac:dyDescent="0.3">
      <c r="A439" t="s">
        <v>14</v>
      </c>
      <c r="B439">
        <v>22</v>
      </c>
      <c r="C439">
        <v>1</v>
      </c>
      <c r="D439">
        <v>1</v>
      </c>
      <c r="E439">
        <v>0</v>
      </c>
      <c r="F439" t="s">
        <v>28</v>
      </c>
      <c r="G439" t="s">
        <v>16</v>
      </c>
      <c r="H439" t="s">
        <v>12</v>
      </c>
      <c r="I439" t="s">
        <v>13</v>
      </c>
      <c r="J439">
        <v>1</v>
      </c>
    </row>
    <row r="440" spans="1:10" x14ac:dyDescent="0.3">
      <c r="A440" t="s">
        <v>14</v>
      </c>
      <c r="B440">
        <v>31</v>
      </c>
      <c r="C440">
        <v>1</v>
      </c>
      <c r="D440">
        <v>1</v>
      </c>
      <c r="E440">
        <v>0</v>
      </c>
      <c r="F440" t="s">
        <v>37</v>
      </c>
      <c r="G440" t="s">
        <v>11</v>
      </c>
      <c r="H440" t="s">
        <v>23</v>
      </c>
      <c r="I440" t="s">
        <v>13</v>
      </c>
      <c r="J440">
        <v>1</v>
      </c>
    </row>
    <row r="441" spans="1:10" x14ac:dyDescent="0.3">
      <c r="A441" t="s">
        <v>9</v>
      </c>
      <c r="B441">
        <v>26</v>
      </c>
      <c r="C441">
        <v>0</v>
      </c>
      <c r="D441">
        <v>0</v>
      </c>
      <c r="E441">
        <v>1</v>
      </c>
      <c r="F441" t="s">
        <v>33</v>
      </c>
      <c r="G441" t="s">
        <v>16</v>
      </c>
      <c r="H441" t="s">
        <v>12</v>
      </c>
      <c r="I441" t="s">
        <v>13</v>
      </c>
      <c r="J441">
        <v>0</v>
      </c>
    </row>
    <row r="442" spans="1:10" x14ac:dyDescent="0.3">
      <c r="A442" t="s">
        <v>14</v>
      </c>
      <c r="B442">
        <v>11</v>
      </c>
      <c r="C442">
        <v>1</v>
      </c>
      <c r="D442">
        <v>1</v>
      </c>
      <c r="E442">
        <v>1</v>
      </c>
      <c r="F442" t="s">
        <v>10</v>
      </c>
      <c r="G442" t="s">
        <v>11</v>
      </c>
      <c r="H442" t="s">
        <v>23</v>
      </c>
      <c r="I442" t="s">
        <v>13</v>
      </c>
      <c r="J442">
        <v>1</v>
      </c>
    </row>
    <row r="443" spans="1:10" x14ac:dyDescent="0.3">
      <c r="A443" t="s">
        <v>14</v>
      </c>
      <c r="B443">
        <v>47</v>
      </c>
      <c r="C443">
        <v>1</v>
      </c>
      <c r="D443">
        <v>1</v>
      </c>
      <c r="E443">
        <v>1</v>
      </c>
      <c r="F443" t="s">
        <v>10</v>
      </c>
      <c r="G443" t="s">
        <v>16</v>
      </c>
      <c r="H443" t="s">
        <v>23</v>
      </c>
      <c r="I443" t="s">
        <v>13</v>
      </c>
      <c r="J443">
        <v>1</v>
      </c>
    </row>
    <row r="444" spans="1:10" x14ac:dyDescent="0.3">
      <c r="A444" t="s">
        <v>9</v>
      </c>
      <c r="B444">
        <v>20</v>
      </c>
      <c r="C444">
        <v>0</v>
      </c>
      <c r="D444">
        <v>0</v>
      </c>
      <c r="E444">
        <v>1</v>
      </c>
      <c r="F444" t="s">
        <v>40</v>
      </c>
      <c r="G444" t="s">
        <v>11</v>
      </c>
      <c r="H444" t="s">
        <v>12</v>
      </c>
      <c r="I444" t="s">
        <v>13</v>
      </c>
      <c r="J444">
        <v>0</v>
      </c>
    </row>
    <row r="445" spans="1:10" x14ac:dyDescent="0.3">
      <c r="A445" t="s">
        <v>14</v>
      </c>
      <c r="B445">
        <v>58</v>
      </c>
      <c r="C445">
        <v>0</v>
      </c>
      <c r="D445">
        <v>0</v>
      </c>
      <c r="E445">
        <v>1</v>
      </c>
      <c r="F445" t="s">
        <v>44</v>
      </c>
      <c r="G445" t="s">
        <v>16</v>
      </c>
      <c r="H445" t="s">
        <v>12</v>
      </c>
      <c r="I445" t="s">
        <v>13</v>
      </c>
      <c r="J445">
        <v>0</v>
      </c>
    </row>
    <row r="446" spans="1:10" x14ac:dyDescent="0.3">
      <c r="A446" t="s">
        <v>14</v>
      </c>
      <c r="B446">
        <v>62</v>
      </c>
      <c r="C446">
        <v>1</v>
      </c>
      <c r="D446">
        <v>1</v>
      </c>
      <c r="E446">
        <v>0</v>
      </c>
      <c r="F446" t="s">
        <v>44</v>
      </c>
      <c r="G446" t="s">
        <v>11</v>
      </c>
      <c r="H446" t="s">
        <v>18</v>
      </c>
      <c r="I446" t="s">
        <v>13</v>
      </c>
      <c r="J446">
        <v>1</v>
      </c>
    </row>
    <row r="447" spans="1:10" x14ac:dyDescent="0.3">
      <c r="A447" t="s">
        <v>9</v>
      </c>
      <c r="B447">
        <v>27</v>
      </c>
      <c r="C447">
        <v>0</v>
      </c>
      <c r="D447">
        <v>0</v>
      </c>
      <c r="E447">
        <v>1</v>
      </c>
      <c r="F447" t="s">
        <v>37</v>
      </c>
      <c r="G447" t="s">
        <v>16</v>
      </c>
      <c r="H447" t="s">
        <v>18</v>
      </c>
      <c r="I447" t="s">
        <v>13</v>
      </c>
      <c r="J447">
        <v>0</v>
      </c>
    </row>
    <row r="448" spans="1:10" x14ac:dyDescent="0.3">
      <c r="A448" t="s">
        <v>9</v>
      </c>
      <c r="B448">
        <v>49</v>
      </c>
      <c r="C448">
        <v>1</v>
      </c>
      <c r="D448">
        <v>1</v>
      </c>
      <c r="E448">
        <v>1</v>
      </c>
      <c r="F448" t="s">
        <v>46</v>
      </c>
      <c r="G448" t="s">
        <v>11</v>
      </c>
      <c r="H448" t="s">
        <v>23</v>
      </c>
      <c r="I448" t="s">
        <v>13</v>
      </c>
      <c r="J448">
        <v>1</v>
      </c>
    </row>
    <row r="449" spans="1:10" x14ac:dyDescent="0.3">
      <c r="A449" t="s">
        <v>9</v>
      </c>
      <c r="B449">
        <v>30</v>
      </c>
      <c r="C449">
        <v>1</v>
      </c>
      <c r="D449">
        <v>1</v>
      </c>
      <c r="E449">
        <v>0</v>
      </c>
      <c r="F449" t="s">
        <v>41</v>
      </c>
      <c r="G449" t="s">
        <v>16</v>
      </c>
      <c r="H449" t="s">
        <v>18</v>
      </c>
      <c r="I449" t="s">
        <v>13</v>
      </c>
      <c r="J449">
        <v>1</v>
      </c>
    </row>
    <row r="450" spans="1:10" x14ac:dyDescent="0.3">
      <c r="A450" t="s">
        <v>14</v>
      </c>
      <c r="B450">
        <v>61</v>
      </c>
      <c r="C450">
        <v>1</v>
      </c>
      <c r="D450">
        <v>1</v>
      </c>
      <c r="E450">
        <v>1</v>
      </c>
      <c r="F450" t="s">
        <v>20</v>
      </c>
      <c r="G450" t="s">
        <v>11</v>
      </c>
      <c r="H450" t="s">
        <v>18</v>
      </c>
      <c r="I450" t="s">
        <v>13</v>
      </c>
      <c r="J450">
        <v>1</v>
      </c>
    </row>
    <row r="451" spans="1:10" x14ac:dyDescent="0.3">
      <c r="A451" t="s">
        <v>9</v>
      </c>
      <c r="B451">
        <v>31</v>
      </c>
      <c r="C451">
        <v>1</v>
      </c>
      <c r="D451">
        <v>1</v>
      </c>
      <c r="E451">
        <v>1</v>
      </c>
      <c r="F451" t="s">
        <v>45</v>
      </c>
      <c r="G451" t="s">
        <v>16</v>
      </c>
      <c r="H451" t="s">
        <v>12</v>
      </c>
      <c r="I451" t="s">
        <v>13</v>
      </c>
      <c r="J451">
        <v>1</v>
      </c>
    </row>
    <row r="452" spans="1:10" x14ac:dyDescent="0.3">
      <c r="A452" t="s">
        <v>9</v>
      </c>
      <c r="B452">
        <v>64</v>
      </c>
      <c r="C452">
        <v>0</v>
      </c>
      <c r="D452">
        <v>0</v>
      </c>
      <c r="E452">
        <v>1</v>
      </c>
      <c r="F452" t="s">
        <v>19</v>
      </c>
      <c r="G452" t="s">
        <v>11</v>
      </c>
      <c r="H452" t="s">
        <v>18</v>
      </c>
      <c r="I452" t="s">
        <v>13</v>
      </c>
      <c r="J452">
        <v>0</v>
      </c>
    </row>
    <row r="453" spans="1:10" x14ac:dyDescent="0.3">
      <c r="A453" t="s">
        <v>9</v>
      </c>
      <c r="B453">
        <v>37</v>
      </c>
      <c r="C453">
        <v>0</v>
      </c>
      <c r="D453">
        <v>0</v>
      </c>
      <c r="E453">
        <v>1</v>
      </c>
      <c r="F453" t="s">
        <v>25</v>
      </c>
      <c r="G453" t="s">
        <v>16</v>
      </c>
      <c r="H453" t="s">
        <v>18</v>
      </c>
      <c r="I453" t="s">
        <v>13</v>
      </c>
      <c r="J453">
        <v>0</v>
      </c>
    </row>
    <row r="454" spans="1:10" x14ac:dyDescent="0.3">
      <c r="A454" t="s">
        <v>14</v>
      </c>
      <c r="B454">
        <v>45</v>
      </c>
      <c r="C454">
        <v>1</v>
      </c>
      <c r="D454">
        <v>1</v>
      </c>
      <c r="E454">
        <v>0</v>
      </c>
      <c r="F454" t="s">
        <v>51</v>
      </c>
      <c r="G454" t="s">
        <v>11</v>
      </c>
      <c r="H454" t="s">
        <v>18</v>
      </c>
      <c r="I454" t="s">
        <v>13</v>
      </c>
      <c r="J454">
        <v>1</v>
      </c>
    </row>
    <row r="455" spans="1:10" x14ac:dyDescent="0.3">
      <c r="A455" t="s">
        <v>14</v>
      </c>
      <c r="B455">
        <v>47</v>
      </c>
      <c r="C455">
        <v>1</v>
      </c>
      <c r="D455">
        <v>1</v>
      </c>
      <c r="E455">
        <v>0</v>
      </c>
      <c r="F455" t="s">
        <v>48</v>
      </c>
      <c r="G455" t="s">
        <v>16</v>
      </c>
      <c r="H455" t="s">
        <v>18</v>
      </c>
      <c r="I455" t="s">
        <v>13</v>
      </c>
      <c r="J455">
        <v>1</v>
      </c>
    </row>
    <row r="456" spans="1:10" x14ac:dyDescent="0.3">
      <c r="A456" t="s">
        <v>9</v>
      </c>
      <c r="B456">
        <v>34</v>
      </c>
      <c r="C456">
        <v>0</v>
      </c>
      <c r="D456">
        <v>0</v>
      </c>
      <c r="E456">
        <v>0</v>
      </c>
      <c r="F456" t="s">
        <v>38</v>
      </c>
      <c r="G456" t="s">
        <v>11</v>
      </c>
      <c r="H456" t="s">
        <v>23</v>
      </c>
      <c r="I456" t="s">
        <v>13</v>
      </c>
      <c r="J456">
        <v>0</v>
      </c>
    </row>
    <row r="457" spans="1:10" x14ac:dyDescent="0.3">
      <c r="A457" t="s">
        <v>14</v>
      </c>
      <c r="B457">
        <v>37</v>
      </c>
      <c r="C457">
        <v>1</v>
      </c>
      <c r="D457">
        <v>1</v>
      </c>
      <c r="E457">
        <v>1</v>
      </c>
      <c r="F457" t="s">
        <v>50</v>
      </c>
      <c r="G457" t="s">
        <v>16</v>
      </c>
      <c r="H457" t="s">
        <v>18</v>
      </c>
      <c r="I457" t="s">
        <v>13</v>
      </c>
      <c r="J457">
        <v>1</v>
      </c>
    </row>
    <row r="458" spans="1:10" x14ac:dyDescent="0.3">
      <c r="A458" t="s">
        <v>9</v>
      </c>
      <c r="B458">
        <v>17</v>
      </c>
      <c r="C458">
        <v>0</v>
      </c>
      <c r="D458">
        <v>0</v>
      </c>
      <c r="E458">
        <v>0</v>
      </c>
      <c r="F458" t="s">
        <v>24</v>
      </c>
      <c r="G458" t="s">
        <v>11</v>
      </c>
      <c r="H458" t="s">
        <v>12</v>
      </c>
      <c r="I458" t="s">
        <v>13</v>
      </c>
      <c r="J458">
        <v>0</v>
      </c>
    </row>
    <row r="459" spans="1:10" x14ac:dyDescent="0.3">
      <c r="A459" t="s">
        <v>14</v>
      </c>
      <c r="B459">
        <v>38</v>
      </c>
      <c r="C459">
        <v>0</v>
      </c>
      <c r="D459">
        <v>1</v>
      </c>
      <c r="E459">
        <v>0</v>
      </c>
      <c r="F459" t="s">
        <v>27</v>
      </c>
      <c r="G459" t="s">
        <v>16</v>
      </c>
      <c r="H459" t="s">
        <v>12</v>
      </c>
      <c r="I459" t="s">
        <v>13</v>
      </c>
      <c r="J459">
        <v>1</v>
      </c>
    </row>
    <row r="460" spans="1:10" x14ac:dyDescent="0.3">
      <c r="A460" t="s">
        <v>9</v>
      </c>
      <c r="B460">
        <v>13</v>
      </c>
      <c r="C460">
        <v>0</v>
      </c>
      <c r="D460">
        <v>0</v>
      </c>
      <c r="E460">
        <v>0</v>
      </c>
      <c r="F460" t="s">
        <v>30</v>
      </c>
      <c r="G460" t="s">
        <v>11</v>
      </c>
      <c r="H460" t="s">
        <v>23</v>
      </c>
      <c r="I460" t="s">
        <v>13</v>
      </c>
      <c r="J460">
        <v>0</v>
      </c>
    </row>
    <row r="461" spans="1:10" x14ac:dyDescent="0.3">
      <c r="A461" t="s">
        <v>9</v>
      </c>
      <c r="B461">
        <v>52</v>
      </c>
      <c r="C461">
        <v>1</v>
      </c>
      <c r="D461">
        <v>1</v>
      </c>
      <c r="E461">
        <v>1</v>
      </c>
      <c r="F461" t="s">
        <v>48</v>
      </c>
      <c r="G461" t="s">
        <v>16</v>
      </c>
      <c r="H461" t="s">
        <v>23</v>
      </c>
      <c r="I461" t="s">
        <v>13</v>
      </c>
      <c r="J461">
        <v>1</v>
      </c>
    </row>
    <row r="462" spans="1:10" x14ac:dyDescent="0.3">
      <c r="A462" t="s">
        <v>9</v>
      </c>
      <c r="B462">
        <v>50</v>
      </c>
      <c r="C462">
        <v>0</v>
      </c>
      <c r="D462">
        <v>0</v>
      </c>
      <c r="E462">
        <v>0</v>
      </c>
      <c r="F462" t="s">
        <v>35</v>
      </c>
      <c r="G462" t="s">
        <v>11</v>
      </c>
      <c r="H462" t="s">
        <v>23</v>
      </c>
      <c r="I462" t="s">
        <v>13</v>
      </c>
      <c r="J462">
        <v>0</v>
      </c>
    </row>
    <row r="463" spans="1:10" x14ac:dyDescent="0.3">
      <c r="A463" t="s">
        <v>14</v>
      </c>
      <c r="B463">
        <v>35</v>
      </c>
      <c r="C463">
        <v>0</v>
      </c>
      <c r="D463">
        <v>0</v>
      </c>
      <c r="E463">
        <v>0</v>
      </c>
      <c r="F463" t="s">
        <v>29</v>
      </c>
      <c r="G463" t="s">
        <v>16</v>
      </c>
      <c r="H463" t="s">
        <v>12</v>
      </c>
      <c r="I463" t="s">
        <v>13</v>
      </c>
      <c r="J463">
        <v>0</v>
      </c>
    </row>
    <row r="464" spans="1:10" x14ac:dyDescent="0.3">
      <c r="A464" t="s">
        <v>14</v>
      </c>
      <c r="B464">
        <v>14</v>
      </c>
      <c r="C464">
        <v>1</v>
      </c>
      <c r="D464">
        <v>1</v>
      </c>
      <c r="E464">
        <v>1</v>
      </c>
      <c r="F464" t="s">
        <v>47</v>
      </c>
      <c r="G464" t="s">
        <v>11</v>
      </c>
      <c r="H464" t="s">
        <v>18</v>
      </c>
      <c r="I464" t="s">
        <v>13</v>
      </c>
      <c r="J464">
        <v>1</v>
      </c>
    </row>
    <row r="465" spans="1:10" x14ac:dyDescent="0.3">
      <c r="A465" t="s">
        <v>9</v>
      </c>
      <c r="B465">
        <v>31</v>
      </c>
      <c r="C465">
        <v>0</v>
      </c>
      <c r="D465">
        <v>0</v>
      </c>
      <c r="E465">
        <v>1</v>
      </c>
      <c r="F465" t="s">
        <v>26</v>
      </c>
      <c r="G465" t="s">
        <v>16</v>
      </c>
      <c r="H465" t="s">
        <v>12</v>
      </c>
      <c r="I465" t="s">
        <v>13</v>
      </c>
      <c r="J465">
        <v>0</v>
      </c>
    </row>
    <row r="466" spans="1:10" x14ac:dyDescent="0.3">
      <c r="A466" t="s">
        <v>9</v>
      </c>
      <c r="B466">
        <v>23</v>
      </c>
      <c r="C466">
        <v>1</v>
      </c>
      <c r="D466">
        <v>1</v>
      </c>
      <c r="E466">
        <v>0</v>
      </c>
      <c r="F466" t="s">
        <v>30</v>
      </c>
      <c r="G466" t="s">
        <v>11</v>
      </c>
      <c r="H466" t="s">
        <v>23</v>
      </c>
      <c r="I466" t="s">
        <v>13</v>
      </c>
      <c r="J466">
        <v>1</v>
      </c>
    </row>
    <row r="467" spans="1:10" x14ac:dyDescent="0.3">
      <c r="A467" t="s">
        <v>14</v>
      </c>
      <c r="B467">
        <v>32</v>
      </c>
      <c r="C467">
        <v>0</v>
      </c>
      <c r="D467">
        <v>0</v>
      </c>
      <c r="E467">
        <v>0</v>
      </c>
      <c r="F467" t="s">
        <v>46</v>
      </c>
      <c r="G467" t="s">
        <v>16</v>
      </c>
      <c r="H467" t="s">
        <v>23</v>
      </c>
      <c r="I467" t="s">
        <v>13</v>
      </c>
      <c r="J467">
        <v>0</v>
      </c>
    </row>
    <row r="468" spans="1:10" x14ac:dyDescent="0.3">
      <c r="A468" t="s">
        <v>14</v>
      </c>
      <c r="B468">
        <v>39</v>
      </c>
      <c r="C468">
        <v>1</v>
      </c>
      <c r="D468">
        <v>1</v>
      </c>
      <c r="E468">
        <v>0</v>
      </c>
      <c r="F468" t="s">
        <v>20</v>
      </c>
      <c r="G468" t="s">
        <v>11</v>
      </c>
      <c r="H468" t="s">
        <v>23</v>
      </c>
      <c r="I468" t="s">
        <v>13</v>
      </c>
      <c r="J468">
        <v>1</v>
      </c>
    </row>
    <row r="469" spans="1:10" x14ac:dyDescent="0.3">
      <c r="A469" t="s">
        <v>9</v>
      </c>
      <c r="B469">
        <v>53</v>
      </c>
      <c r="C469">
        <v>0</v>
      </c>
      <c r="D469">
        <v>0</v>
      </c>
      <c r="E469">
        <v>0</v>
      </c>
      <c r="F469" t="s">
        <v>44</v>
      </c>
      <c r="G469" t="s">
        <v>16</v>
      </c>
      <c r="H469" t="s">
        <v>12</v>
      </c>
      <c r="I469" t="s">
        <v>13</v>
      </c>
      <c r="J469">
        <v>0</v>
      </c>
    </row>
    <row r="470" spans="1:10" x14ac:dyDescent="0.3">
      <c r="A470" t="s">
        <v>14</v>
      </c>
      <c r="B470">
        <v>29</v>
      </c>
      <c r="C470">
        <v>0</v>
      </c>
      <c r="D470">
        <v>0</v>
      </c>
      <c r="E470">
        <v>1</v>
      </c>
      <c r="F470" t="s">
        <v>30</v>
      </c>
      <c r="G470" t="s">
        <v>11</v>
      </c>
      <c r="H470" t="s">
        <v>18</v>
      </c>
      <c r="I470" t="s">
        <v>13</v>
      </c>
      <c r="J470">
        <v>0</v>
      </c>
    </row>
    <row r="471" spans="1:10" x14ac:dyDescent="0.3">
      <c r="A471" t="s">
        <v>14</v>
      </c>
      <c r="B471">
        <v>51</v>
      </c>
      <c r="C471">
        <v>1</v>
      </c>
      <c r="D471">
        <v>1</v>
      </c>
      <c r="E471">
        <v>1</v>
      </c>
      <c r="F471" t="s">
        <v>40</v>
      </c>
      <c r="G471" t="s">
        <v>16</v>
      </c>
      <c r="H471" t="s">
        <v>18</v>
      </c>
      <c r="I471" t="s">
        <v>13</v>
      </c>
      <c r="J471">
        <v>1</v>
      </c>
    </row>
    <row r="472" spans="1:10" x14ac:dyDescent="0.3">
      <c r="A472" t="s">
        <v>14</v>
      </c>
      <c r="B472">
        <v>11</v>
      </c>
      <c r="C472">
        <v>0</v>
      </c>
      <c r="D472">
        <v>0</v>
      </c>
      <c r="E472">
        <v>1</v>
      </c>
      <c r="F472" t="s">
        <v>34</v>
      </c>
      <c r="G472" t="s">
        <v>11</v>
      </c>
      <c r="H472" t="s">
        <v>18</v>
      </c>
      <c r="I472" t="s">
        <v>13</v>
      </c>
      <c r="J472">
        <v>0</v>
      </c>
    </row>
    <row r="473" spans="1:10" x14ac:dyDescent="0.3">
      <c r="A473" t="s">
        <v>9</v>
      </c>
      <c r="B473">
        <v>29</v>
      </c>
      <c r="C473">
        <v>1</v>
      </c>
      <c r="D473">
        <v>1</v>
      </c>
      <c r="E473">
        <v>1</v>
      </c>
      <c r="F473" t="s">
        <v>50</v>
      </c>
      <c r="G473" t="s">
        <v>16</v>
      </c>
      <c r="H473" t="s">
        <v>12</v>
      </c>
      <c r="I473" t="s">
        <v>13</v>
      </c>
      <c r="J473">
        <v>1</v>
      </c>
    </row>
    <row r="474" spans="1:10" x14ac:dyDescent="0.3">
      <c r="A474" t="s">
        <v>14</v>
      </c>
      <c r="B474">
        <v>45</v>
      </c>
      <c r="C474">
        <v>1</v>
      </c>
      <c r="D474">
        <v>1</v>
      </c>
      <c r="E474">
        <v>0</v>
      </c>
      <c r="F474" t="s">
        <v>29</v>
      </c>
      <c r="G474" t="s">
        <v>11</v>
      </c>
      <c r="H474" t="s">
        <v>12</v>
      </c>
      <c r="I474" t="s">
        <v>13</v>
      </c>
      <c r="J474">
        <v>1</v>
      </c>
    </row>
    <row r="475" spans="1:10" x14ac:dyDescent="0.3">
      <c r="A475" t="s">
        <v>14</v>
      </c>
      <c r="B475">
        <v>19</v>
      </c>
      <c r="C475">
        <v>0</v>
      </c>
      <c r="D475">
        <v>0</v>
      </c>
      <c r="E475">
        <v>0</v>
      </c>
      <c r="F475" t="s">
        <v>48</v>
      </c>
      <c r="G475" t="s">
        <v>16</v>
      </c>
      <c r="H475" t="s">
        <v>12</v>
      </c>
      <c r="I475" t="s">
        <v>13</v>
      </c>
      <c r="J475">
        <v>0</v>
      </c>
    </row>
    <row r="476" spans="1:10" x14ac:dyDescent="0.3">
      <c r="A476" t="s">
        <v>14</v>
      </c>
      <c r="B476">
        <v>24</v>
      </c>
      <c r="C476">
        <v>1</v>
      </c>
      <c r="D476">
        <v>1</v>
      </c>
      <c r="E476">
        <v>0</v>
      </c>
      <c r="F476" t="s">
        <v>47</v>
      </c>
      <c r="G476" t="s">
        <v>11</v>
      </c>
      <c r="H476" t="s">
        <v>23</v>
      </c>
      <c r="I476" t="s">
        <v>13</v>
      </c>
      <c r="J476">
        <v>1</v>
      </c>
    </row>
    <row r="477" spans="1:10" x14ac:dyDescent="0.3">
      <c r="A477" t="s">
        <v>14</v>
      </c>
      <c r="B477">
        <v>48</v>
      </c>
      <c r="C477">
        <v>0</v>
      </c>
      <c r="D477">
        <v>0</v>
      </c>
      <c r="E477">
        <v>0</v>
      </c>
      <c r="F477" t="s">
        <v>43</v>
      </c>
      <c r="G477" t="s">
        <v>16</v>
      </c>
      <c r="H477" t="s">
        <v>12</v>
      </c>
      <c r="I477" t="s">
        <v>13</v>
      </c>
      <c r="J477">
        <v>0</v>
      </c>
    </row>
    <row r="478" spans="1:10" x14ac:dyDescent="0.3">
      <c r="A478" t="s">
        <v>9</v>
      </c>
      <c r="B478">
        <v>53</v>
      </c>
      <c r="C478">
        <v>1</v>
      </c>
      <c r="D478">
        <v>1</v>
      </c>
      <c r="E478">
        <v>0</v>
      </c>
      <c r="F478" t="s">
        <v>41</v>
      </c>
      <c r="G478" t="s">
        <v>11</v>
      </c>
      <c r="H478" t="s">
        <v>23</v>
      </c>
      <c r="I478" t="s">
        <v>13</v>
      </c>
      <c r="J478">
        <v>1</v>
      </c>
    </row>
    <row r="479" spans="1:10" x14ac:dyDescent="0.3">
      <c r="A479" t="s">
        <v>9</v>
      </c>
      <c r="B479">
        <v>33</v>
      </c>
      <c r="C479">
        <v>1</v>
      </c>
      <c r="D479">
        <v>1</v>
      </c>
      <c r="E479">
        <v>0</v>
      </c>
      <c r="F479" t="s">
        <v>39</v>
      </c>
      <c r="G479" t="s">
        <v>16</v>
      </c>
      <c r="H479" t="s">
        <v>23</v>
      </c>
      <c r="I479" t="s">
        <v>13</v>
      </c>
      <c r="J479">
        <v>1</v>
      </c>
    </row>
    <row r="480" spans="1:10" x14ac:dyDescent="0.3">
      <c r="A480" t="s">
        <v>14</v>
      </c>
      <c r="B480">
        <v>41</v>
      </c>
      <c r="C480">
        <v>1</v>
      </c>
      <c r="D480">
        <v>1</v>
      </c>
      <c r="E480">
        <v>1</v>
      </c>
      <c r="F480" t="s">
        <v>26</v>
      </c>
      <c r="G480" t="s">
        <v>11</v>
      </c>
      <c r="H480" t="s">
        <v>23</v>
      </c>
      <c r="I480" t="s">
        <v>13</v>
      </c>
      <c r="J480">
        <v>1</v>
      </c>
    </row>
    <row r="481" spans="1:10" x14ac:dyDescent="0.3">
      <c r="A481" t="s">
        <v>9</v>
      </c>
      <c r="B481">
        <v>35</v>
      </c>
      <c r="C481">
        <v>0</v>
      </c>
      <c r="D481">
        <v>0</v>
      </c>
      <c r="E481">
        <v>1</v>
      </c>
      <c r="F481" t="s">
        <v>21</v>
      </c>
      <c r="G481" t="s">
        <v>16</v>
      </c>
      <c r="H481" t="s">
        <v>12</v>
      </c>
      <c r="I481" t="s">
        <v>13</v>
      </c>
      <c r="J481">
        <v>0</v>
      </c>
    </row>
    <row r="482" spans="1:10" x14ac:dyDescent="0.3">
      <c r="A482" t="s">
        <v>14</v>
      </c>
      <c r="B482">
        <v>63</v>
      </c>
      <c r="C482">
        <v>0</v>
      </c>
      <c r="D482">
        <v>0</v>
      </c>
      <c r="E482">
        <v>0</v>
      </c>
      <c r="F482" t="s">
        <v>21</v>
      </c>
      <c r="G482" t="s">
        <v>11</v>
      </c>
      <c r="H482" t="s">
        <v>23</v>
      </c>
      <c r="I482" t="s">
        <v>13</v>
      </c>
      <c r="J482">
        <v>0</v>
      </c>
    </row>
    <row r="483" spans="1:10" x14ac:dyDescent="0.3">
      <c r="A483" t="s">
        <v>9</v>
      </c>
      <c r="B483">
        <v>54</v>
      </c>
      <c r="C483">
        <v>1</v>
      </c>
      <c r="D483">
        <v>1</v>
      </c>
      <c r="E483">
        <v>0</v>
      </c>
      <c r="F483" t="s">
        <v>32</v>
      </c>
      <c r="G483" t="s">
        <v>16</v>
      </c>
      <c r="H483" t="s">
        <v>23</v>
      </c>
      <c r="I483" t="s">
        <v>13</v>
      </c>
      <c r="J483">
        <v>1</v>
      </c>
    </row>
    <row r="484" spans="1:10" x14ac:dyDescent="0.3">
      <c r="A484" t="s">
        <v>9</v>
      </c>
      <c r="B484">
        <v>40</v>
      </c>
      <c r="C484">
        <v>1</v>
      </c>
      <c r="D484">
        <v>1</v>
      </c>
      <c r="E484">
        <v>1</v>
      </c>
      <c r="F484" t="s">
        <v>42</v>
      </c>
      <c r="G484" t="s">
        <v>11</v>
      </c>
      <c r="H484" t="s">
        <v>23</v>
      </c>
      <c r="I484" t="s">
        <v>13</v>
      </c>
      <c r="J484">
        <v>1</v>
      </c>
    </row>
    <row r="485" spans="1:10" x14ac:dyDescent="0.3">
      <c r="A485" t="s">
        <v>9</v>
      </c>
      <c r="B485">
        <v>23</v>
      </c>
      <c r="C485">
        <v>0</v>
      </c>
      <c r="D485">
        <v>0</v>
      </c>
      <c r="E485">
        <v>1</v>
      </c>
      <c r="F485" t="s">
        <v>51</v>
      </c>
      <c r="G485" t="s">
        <v>16</v>
      </c>
      <c r="H485" t="s">
        <v>18</v>
      </c>
      <c r="I485" t="s">
        <v>13</v>
      </c>
      <c r="J485">
        <v>0</v>
      </c>
    </row>
    <row r="486" spans="1:10" x14ac:dyDescent="0.3">
      <c r="A486" t="s">
        <v>9</v>
      </c>
      <c r="B486">
        <v>55</v>
      </c>
      <c r="C486">
        <v>0</v>
      </c>
      <c r="D486">
        <v>0</v>
      </c>
      <c r="E486">
        <v>0</v>
      </c>
      <c r="F486" t="s">
        <v>26</v>
      </c>
      <c r="G486" t="s">
        <v>11</v>
      </c>
      <c r="H486" t="s">
        <v>18</v>
      </c>
      <c r="I486" t="s">
        <v>13</v>
      </c>
      <c r="J486">
        <v>0</v>
      </c>
    </row>
    <row r="487" spans="1:10" x14ac:dyDescent="0.3">
      <c r="A487" t="s">
        <v>9</v>
      </c>
      <c r="B487">
        <v>32</v>
      </c>
      <c r="C487">
        <v>0</v>
      </c>
      <c r="D487">
        <v>0</v>
      </c>
      <c r="E487">
        <v>0</v>
      </c>
      <c r="F487" t="s">
        <v>41</v>
      </c>
      <c r="G487" t="s">
        <v>16</v>
      </c>
      <c r="H487" t="s">
        <v>18</v>
      </c>
      <c r="I487" t="s">
        <v>13</v>
      </c>
      <c r="J487">
        <v>0</v>
      </c>
    </row>
    <row r="488" spans="1:10" x14ac:dyDescent="0.3">
      <c r="A488" t="s">
        <v>14</v>
      </c>
      <c r="B488">
        <v>13</v>
      </c>
      <c r="C488">
        <v>0</v>
      </c>
      <c r="D488">
        <v>0</v>
      </c>
      <c r="E488">
        <v>1</v>
      </c>
      <c r="F488" t="s">
        <v>20</v>
      </c>
      <c r="G488" t="s">
        <v>11</v>
      </c>
      <c r="H488" t="s">
        <v>23</v>
      </c>
      <c r="I488" t="s">
        <v>13</v>
      </c>
      <c r="J488">
        <v>0</v>
      </c>
    </row>
    <row r="489" spans="1:10" x14ac:dyDescent="0.3">
      <c r="A489" t="s">
        <v>14</v>
      </c>
      <c r="B489">
        <v>44</v>
      </c>
      <c r="C489">
        <v>1</v>
      </c>
      <c r="D489">
        <v>1</v>
      </c>
      <c r="E489">
        <v>0</v>
      </c>
      <c r="F489" t="s">
        <v>39</v>
      </c>
      <c r="G489" t="s">
        <v>16</v>
      </c>
      <c r="H489" t="s">
        <v>12</v>
      </c>
      <c r="I489" t="s">
        <v>13</v>
      </c>
      <c r="J489">
        <v>1</v>
      </c>
    </row>
    <row r="490" spans="1:10" x14ac:dyDescent="0.3">
      <c r="A490" t="s">
        <v>9</v>
      </c>
      <c r="B490">
        <v>52</v>
      </c>
      <c r="C490">
        <v>0</v>
      </c>
      <c r="D490">
        <v>0</v>
      </c>
      <c r="E490">
        <v>1</v>
      </c>
      <c r="F490" t="s">
        <v>29</v>
      </c>
      <c r="G490" t="s">
        <v>11</v>
      </c>
      <c r="H490" t="s">
        <v>23</v>
      </c>
      <c r="I490" t="s">
        <v>13</v>
      </c>
      <c r="J490">
        <v>0</v>
      </c>
    </row>
    <row r="491" spans="1:10" x14ac:dyDescent="0.3">
      <c r="A491" t="s">
        <v>14</v>
      </c>
      <c r="B491">
        <v>65</v>
      </c>
      <c r="C491">
        <v>0</v>
      </c>
      <c r="D491">
        <v>0</v>
      </c>
      <c r="E491">
        <v>0</v>
      </c>
      <c r="F491" t="s">
        <v>31</v>
      </c>
      <c r="G491" t="s">
        <v>16</v>
      </c>
      <c r="H491" t="s">
        <v>18</v>
      </c>
      <c r="I491" t="s">
        <v>13</v>
      </c>
      <c r="J491">
        <v>0</v>
      </c>
    </row>
    <row r="492" spans="1:10" x14ac:dyDescent="0.3">
      <c r="A492" t="s">
        <v>14</v>
      </c>
      <c r="B492">
        <v>55</v>
      </c>
      <c r="C492">
        <v>0</v>
      </c>
      <c r="D492">
        <v>0</v>
      </c>
      <c r="E492">
        <v>0</v>
      </c>
      <c r="F492" t="s">
        <v>36</v>
      </c>
      <c r="G492" t="s">
        <v>11</v>
      </c>
      <c r="H492" t="s">
        <v>18</v>
      </c>
      <c r="I492" t="s">
        <v>13</v>
      </c>
      <c r="J492">
        <v>0</v>
      </c>
    </row>
    <row r="493" spans="1:10" x14ac:dyDescent="0.3">
      <c r="A493" t="s">
        <v>9</v>
      </c>
      <c r="B493">
        <v>17</v>
      </c>
      <c r="C493">
        <v>0</v>
      </c>
      <c r="D493">
        <v>0</v>
      </c>
      <c r="E493">
        <v>1</v>
      </c>
      <c r="F493" t="s">
        <v>10</v>
      </c>
      <c r="G493" t="s">
        <v>16</v>
      </c>
      <c r="H493" t="s">
        <v>18</v>
      </c>
      <c r="I493" t="s">
        <v>13</v>
      </c>
      <c r="J493">
        <v>0</v>
      </c>
    </row>
    <row r="494" spans="1:10" x14ac:dyDescent="0.3">
      <c r="A494" t="s">
        <v>9</v>
      </c>
      <c r="B494">
        <v>31</v>
      </c>
      <c r="C494">
        <v>1</v>
      </c>
      <c r="D494">
        <v>1</v>
      </c>
      <c r="E494">
        <v>0</v>
      </c>
      <c r="F494" t="s">
        <v>36</v>
      </c>
      <c r="G494" t="s">
        <v>11</v>
      </c>
      <c r="H494" t="s">
        <v>12</v>
      </c>
      <c r="I494" t="s">
        <v>13</v>
      </c>
      <c r="J494">
        <v>1</v>
      </c>
    </row>
    <row r="495" spans="1:10" x14ac:dyDescent="0.3">
      <c r="A495" t="s">
        <v>14</v>
      </c>
      <c r="B495">
        <v>9</v>
      </c>
      <c r="C495">
        <v>1</v>
      </c>
      <c r="D495">
        <v>1</v>
      </c>
      <c r="E495">
        <v>1</v>
      </c>
      <c r="F495" t="s">
        <v>38</v>
      </c>
      <c r="G495" t="s">
        <v>16</v>
      </c>
      <c r="H495" t="s">
        <v>23</v>
      </c>
      <c r="I495" t="s">
        <v>13</v>
      </c>
      <c r="J495">
        <v>1</v>
      </c>
    </row>
    <row r="496" spans="1:10" x14ac:dyDescent="0.3">
      <c r="A496" t="s">
        <v>14</v>
      </c>
      <c r="B496">
        <v>22</v>
      </c>
      <c r="C496">
        <v>1</v>
      </c>
      <c r="D496">
        <v>1</v>
      </c>
      <c r="E496">
        <v>0</v>
      </c>
      <c r="F496" t="s">
        <v>38</v>
      </c>
      <c r="G496" t="s">
        <v>11</v>
      </c>
      <c r="H496" t="s">
        <v>23</v>
      </c>
      <c r="I496" t="s">
        <v>13</v>
      </c>
      <c r="J496">
        <v>1</v>
      </c>
    </row>
    <row r="497" spans="1:10" x14ac:dyDescent="0.3">
      <c r="A497" t="s">
        <v>9</v>
      </c>
      <c r="B497">
        <v>21</v>
      </c>
      <c r="C497">
        <v>1</v>
      </c>
      <c r="D497">
        <v>1</v>
      </c>
      <c r="E497">
        <v>0</v>
      </c>
      <c r="F497" t="s">
        <v>46</v>
      </c>
      <c r="G497" t="s">
        <v>16</v>
      </c>
      <c r="H497" t="s">
        <v>18</v>
      </c>
      <c r="I497" t="s">
        <v>13</v>
      </c>
      <c r="J497">
        <v>1</v>
      </c>
    </row>
    <row r="498" spans="1:10" x14ac:dyDescent="0.3">
      <c r="A498" t="s">
        <v>9</v>
      </c>
      <c r="B498">
        <v>15</v>
      </c>
      <c r="C498">
        <v>1</v>
      </c>
      <c r="D498">
        <v>1</v>
      </c>
      <c r="E498">
        <v>0</v>
      </c>
      <c r="F498" t="s">
        <v>51</v>
      </c>
      <c r="G498" t="s">
        <v>11</v>
      </c>
      <c r="H498" t="s">
        <v>12</v>
      </c>
      <c r="I498" t="s">
        <v>13</v>
      </c>
      <c r="J498">
        <v>1</v>
      </c>
    </row>
    <row r="499" spans="1:10" x14ac:dyDescent="0.3">
      <c r="A499" t="s">
        <v>14</v>
      </c>
      <c r="B499">
        <v>40</v>
      </c>
      <c r="C499">
        <v>1</v>
      </c>
      <c r="D499">
        <v>1</v>
      </c>
      <c r="E499">
        <v>0</v>
      </c>
      <c r="F499" t="s">
        <v>48</v>
      </c>
      <c r="G499" t="s">
        <v>16</v>
      </c>
      <c r="H499" t="s">
        <v>23</v>
      </c>
      <c r="I499" t="s">
        <v>13</v>
      </c>
      <c r="J499">
        <v>1</v>
      </c>
    </row>
    <row r="500" spans="1:10" x14ac:dyDescent="0.3">
      <c r="A500" t="s">
        <v>9</v>
      </c>
      <c r="B500">
        <v>37</v>
      </c>
      <c r="C500">
        <v>1</v>
      </c>
      <c r="D500">
        <v>1</v>
      </c>
      <c r="E500">
        <v>1</v>
      </c>
      <c r="F500" t="s">
        <v>19</v>
      </c>
      <c r="G500" t="s">
        <v>11</v>
      </c>
      <c r="H500" t="s">
        <v>12</v>
      </c>
      <c r="I500" t="s">
        <v>13</v>
      </c>
      <c r="J500">
        <v>1</v>
      </c>
    </row>
    <row r="501" spans="1:10" x14ac:dyDescent="0.3">
      <c r="A501" t="s">
        <v>14</v>
      </c>
      <c r="B501">
        <v>53</v>
      </c>
      <c r="C501">
        <v>0</v>
      </c>
      <c r="D501">
        <v>0</v>
      </c>
      <c r="E501">
        <v>0</v>
      </c>
      <c r="F501" t="s">
        <v>20</v>
      </c>
      <c r="G501" t="s">
        <v>16</v>
      </c>
      <c r="H501" t="s">
        <v>18</v>
      </c>
      <c r="I501" t="s">
        <v>13</v>
      </c>
      <c r="J501">
        <v>0</v>
      </c>
    </row>
    <row r="502" spans="1:10" x14ac:dyDescent="0.3">
      <c r="A502" t="s">
        <v>9</v>
      </c>
      <c r="B502">
        <v>46</v>
      </c>
      <c r="C502">
        <v>0</v>
      </c>
      <c r="D502">
        <v>0</v>
      </c>
      <c r="E502">
        <v>0</v>
      </c>
      <c r="F502" t="s">
        <v>22</v>
      </c>
      <c r="G502" t="s">
        <v>11</v>
      </c>
      <c r="H502" t="s">
        <v>23</v>
      </c>
      <c r="I502" t="s">
        <v>13</v>
      </c>
      <c r="J502">
        <v>0</v>
      </c>
    </row>
    <row r="503" spans="1:10" x14ac:dyDescent="0.3">
      <c r="A503" t="s">
        <v>14</v>
      </c>
      <c r="B503">
        <v>9</v>
      </c>
      <c r="C503">
        <v>1</v>
      </c>
      <c r="D503">
        <v>1</v>
      </c>
      <c r="E503">
        <v>1</v>
      </c>
      <c r="F503" t="s">
        <v>33</v>
      </c>
      <c r="G503" t="s">
        <v>16</v>
      </c>
      <c r="H503" t="s">
        <v>18</v>
      </c>
      <c r="I503" t="s">
        <v>13</v>
      </c>
      <c r="J503">
        <v>1</v>
      </c>
    </row>
    <row r="504" spans="1:10" x14ac:dyDescent="0.3">
      <c r="A504" t="s">
        <v>14</v>
      </c>
      <c r="B504">
        <v>35</v>
      </c>
      <c r="C504">
        <v>0</v>
      </c>
      <c r="D504">
        <v>0</v>
      </c>
      <c r="E504">
        <v>1</v>
      </c>
      <c r="F504" t="s">
        <v>22</v>
      </c>
      <c r="G504" t="s">
        <v>11</v>
      </c>
      <c r="H504" t="s">
        <v>23</v>
      </c>
      <c r="I504" t="s">
        <v>13</v>
      </c>
      <c r="J504">
        <v>0</v>
      </c>
    </row>
    <row r="505" spans="1:10" x14ac:dyDescent="0.3">
      <c r="A505" t="s">
        <v>9</v>
      </c>
      <c r="B505">
        <v>18</v>
      </c>
      <c r="C505">
        <v>0</v>
      </c>
      <c r="D505">
        <v>0</v>
      </c>
      <c r="E505">
        <v>1</v>
      </c>
      <c r="F505" t="s">
        <v>35</v>
      </c>
      <c r="G505" t="s">
        <v>16</v>
      </c>
      <c r="H505" t="s">
        <v>18</v>
      </c>
      <c r="I505" t="s">
        <v>13</v>
      </c>
      <c r="J505">
        <v>0</v>
      </c>
    </row>
    <row r="506" spans="1:10" x14ac:dyDescent="0.3">
      <c r="A506" t="s">
        <v>9</v>
      </c>
      <c r="B506">
        <v>10</v>
      </c>
      <c r="C506">
        <v>0</v>
      </c>
      <c r="D506">
        <v>0</v>
      </c>
      <c r="E506">
        <v>1</v>
      </c>
      <c r="F506" t="s">
        <v>34</v>
      </c>
      <c r="G506" t="s">
        <v>11</v>
      </c>
      <c r="H506" t="s">
        <v>18</v>
      </c>
      <c r="I506" t="s">
        <v>13</v>
      </c>
      <c r="J506">
        <v>0</v>
      </c>
    </row>
    <row r="507" spans="1:10" x14ac:dyDescent="0.3">
      <c r="A507" t="s">
        <v>9</v>
      </c>
      <c r="B507">
        <v>13</v>
      </c>
      <c r="C507">
        <v>1</v>
      </c>
      <c r="D507">
        <v>1</v>
      </c>
      <c r="E507">
        <v>1</v>
      </c>
      <c r="F507" t="s">
        <v>10</v>
      </c>
      <c r="G507" t="s">
        <v>16</v>
      </c>
      <c r="H507" t="s">
        <v>23</v>
      </c>
      <c r="I507" t="s">
        <v>13</v>
      </c>
      <c r="J507">
        <v>1</v>
      </c>
    </row>
    <row r="508" spans="1:10" x14ac:dyDescent="0.3">
      <c r="A508" t="s">
        <v>9</v>
      </c>
      <c r="B508">
        <v>19</v>
      </c>
      <c r="C508">
        <v>1</v>
      </c>
      <c r="D508">
        <v>1</v>
      </c>
      <c r="E508">
        <v>0</v>
      </c>
      <c r="F508" t="s">
        <v>50</v>
      </c>
      <c r="G508" t="s">
        <v>11</v>
      </c>
      <c r="H508" t="s">
        <v>23</v>
      </c>
      <c r="I508" t="s">
        <v>13</v>
      </c>
      <c r="J508">
        <v>1</v>
      </c>
    </row>
    <row r="509" spans="1:10" x14ac:dyDescent="0.3">
      <c r="A509" t="s">
        <v>14</v>
      </c>
      <c r="B509">
        <v>37</v>
      </c>
      <c r="C509">
        <v>0</v>
      </c>
      <c r="D509">
        <v>0</v>
      </c>
      <c r="E509">
        <v>1</v>
      </c>
      <c r="F509" t="s">
        <v>30</v>
      </c>
      <c r="G509" t="s">
        <v>16</v>
      </c>
      <c r="H509" t="s">
        <v>18</v>
      </c>
      <c r="I509" t="s">
        <v>13</v>
      </c>
      <c r="J509">
        <v>0</v>
      </c>
    </row>
    <row r="510" spans="1:10" x14ac:dyDescent="0.3">
      <c r="A510" t="s">
        <v>9</v>
      </c>
      <c r="B510">
        <v>40</v>
      </c>
      <c r="C510">
        <v>1</v>
      </c>
      <c r="D510">
        <v>1</v>
      </c>
      <c r="E510">
        <v>0</v>
      </c>
      <c r="F510" t="s">
        <v>48</v>
      </c>
      <c r="G510" t="s">
        <v>11</v>
      </c>
      <c r="H510" t="s">
        <v>12</v>
      </c>
      <c r="I510" t="s">
        <v>13</v>
      </c>
      <c r="J510">
        <v>1</v>
      </c>
    </row>
    <row r="511" spans="1:10" x14ac:dyDescent="0.3">
      <c r="A511" t="s">
        <v>9</v>
      </c>
      <c r="B511">
        <v>10</v>
      </c>
      <c r="C511">
        <v>0</v>
      </c>
      <c r="D511">
        <v>0</v>
      </c>
      <c r="E511">
        <v>0</v>
      </c>
      <c r="F511" t="s">
        <v>48</v>
      </c>
      <c r="G511" t="s">
        <v>16</v>
      </c>
      <c r="H511" t="s">
        <v>23</v>
      </c>
      <c r="I511" t="s">
        <v>13</v>
      </c>
      <c r="J511">
        <v>0</v>
      </c>
    </row>
    <row r="512" spans="1:10" x14ac:dyDescent="0.3">
      <c r="A512" t="s">
        <v>9</v>
      </c>
      <c r="B512">
        <v>17</v>
      </c>
      <c r="C512">
        <v>0</v>
      </c>
      <c r="D512">
        <v>0</v>
      </c>
      <c r="E512">
        <v>1</v>
      </c>
      <c r="F512" t="s">
        <v>24</v>
      </c>
      <c r="G512" t="s">
        <v>11</v>
      </c>
      <c r="H512" t="s">
        <v>18</v>
      </c>
      <c r="I512" t="s">
        <v>13</v>
      </c>
      <c r="J512">
        <v>0</v>
      </c>
    </row>
    <row r="513" spans="1:10" x14ac:dyDescent="0.3">
      <c r="A513" t="s">
        <v>9</v>
      </c>
      <c r="B513">
        <v>47</v>
      </c>
      <c r="C513">
        <v>1</v>
      </c>
      <c r="D513">
        <v>1</v>
      </c>
      <c r="E513">
        <v>0</v>
      </c>
      <c r="F513" t="s">
        <v>41</v>
      </c>
      <c r="G513" t="s">
        <v>16</v>
      </c>
      <c r="H513" t="s">
        <v>12</v>
      </c>
      <c r="I513" t="s">
        <v>13</v>
      </c>
      <c r="J513">
        <v>1</v>
      </c>
    </row>
    <row r="514" spans="1:10" x14ac:dyDescent="0.3">
      <c r="A514" t="s">
        <v>14</v>
      </c>
      <c r="B514">
        <v>51</v>
      </c>
      <c r="C514">
        <v>0</v>
      </c>
      <c r="D514">
        <v>0</v>
      </c>
      <c r="E514">
        <v>0</v>
      </c>
      <c r="F514" t="s">
        <v>37</v>
      </c>
      <c r="G514" t="s">
        <v>11</v>
      </c>
      <c r="H514" t="s">
        <v>18</v>
      </c>
      <c r="I514" t="s">
        <v>13</v>
      </c>
      <c r="J514">
        <v>0</v>
      </c>
    </row>
    <row r="515" spans="1:10" x14ac:dyDescent="0.3">
      <c r="A515" t="s">
        <v>14</v>
      </c>
      <c r="B515">
        <v>33</v>
      </c>
      <c r="C515">
        <v>1</v>
      </c>
      <c r="D515">
        <v>1</v>
      </c>
      <c r="E515">
        <v>1</v>
      </c>
      <c r="F515" t="s">
        <v>51</v>
      </c>
      <c r="G515" t="s">
        <v>16</v>
      </c>
      <c r="H515" t="s">
        <v>12</v>
      </c>
      <c r="I515" t="s">
        <v>13</v>
      </c>
      <c r="J515">
        <v>1</v>
      </c>
    </row>
    <row r="516" spans="1:10" x14ac:dyDescent="0.3">
      <c r="A516" t="s">
        <v>14</v>
      </c>
      <c r="B516">
        <v>51</v>
      </c>
      <c r="C516">
        <v>1</v>
      </c>
      <c r="D516">
        <v>1</v>
      </c>
      <c r="E516">
        <v>1</v>
      </c>
      <c r="F516" t="s">
        <v>21</v>
      </c>
      <c r="G516" t="s">
        <v>11</v>
      </c>
      <c r="H516" t="s">
        <v>18</v>
      </c>
      <c r="I516" t="s">
        <v>13</v>
      </c>
      <c r="J516">
        <v>1</v>
      </c>
    </row>
    <row r="517" spans="1:10" x14ac:dyDescent="0.3">
      <c r="A517" t="s">
        <v>9</v>
      </c>
      <c r="B517">
        <v>60</v>
      </c>
      <c r="C517">
        <v>0</v>
      </c>
      <c r="D517">
        <v>0</v>
      </c>
      <c r="E517">
        <v>1</v>
      </c>
      <c r="F517" t="s">
        <v>36</v>
      </c>
      <c r="G517" t="s">
        <v>16</v>
      </c>
      <c r="H517" t="s">
        <v>12</v>
      </c>
      <c r="I517" t="s">
        <v>13</v>
      </c>
      <c r="J517">
        <v>0</v>
      </c>
    </row>
    <row r="518" spans="1:10" x14ac:dyDescent="0.3">
      <c r="A518" t="s">
        <v>9</v>
      </c>
      <c r="B518">
        <v>23</v>
      </c>
      <c r="C518">
        <v>0</v>
      </c>
      <c r="D518">
        <v>0</v>
      </c>
      <c r="E518">
        <v>1</v>
      </c>
      <c r="F518" t="s">
        <v>50</v>
      </c>
      <c r="G518" t="s">
        <v>11</v>
      </c>
      <c r="H518" t="s">
        <v>18</v>
      </c>
      <c r="I518" t="s">
        <v>13</v>
      </c>
      <c r="J518">
        <v>0</v>
      </c>
    </row>
    <row r="519" spans="1:10" x14ac:dyDescent="0.3">
      <c r="A519" t="s">
        <v>9</v>
      </c>
      <c r="B519">
        <v>8</v>
      </c>
      <c r="C519">
        <v>0</v>
      </c>
      <c r="D519">
        <v>0</v>
      </c>
      <c r="E519">
        <v>0</v>
      </c>
      <c r="F519" t="s">
        <v>21</v>
      </c>
      <c r="G519" t="s">
        <v>16</v>
      </c>
      <c r="H519" t="s">
        <v>18</v>
      </c>
      <c r="I519" t="s">
        <v>13</v>
      </c>
      <c r="J519">
        <v>0</v>
      </c>
    </row>
    <row r="520" spans="1:10" x14ac:dyDescent="0.3">
      <c r="A520" t="s">
        <v>14</v>
      </c>
      <c r="B520">
        <v>52</v>
      </c>
      <c r="C520">
        <v>0</v>
      </c>
      <c r="D520">
        <v>0</v>
      </c>
      <c r="E520">
        <v>1</v>
      </c>
      <c r="F520" t="s">
        <v>10</v>
      </c>
      <c r="G520" t="s">
        <v>11</v>
      </c>
      <c r="H520" t="s">
        <v>12</v>
      </c>
      <c r="I520" t="s">
        <v>13</v>
      </c>
      <c r="J520">
        <v>0</v>
      </c>
    </row>
    <row r="521" spans="1:10" x14ac:dyDescent="0.3">
      <c r="A521" t="s">
        <v>9</v>
      </c>
      <c r="B521">
        <v>10</v>
      </c>
      <c r="C521">
        <v>1</v>
      </c>
      <c r="D521">
        <v>1</v>
      </c>
      <c r="E521">
        <v>1</v>
      </c>
      <c r="F521" t="s">
        <v>24</v>
      </c>
      <c r="G521" t="s">
        <v>16</v>
      </c>
      <c r="H521" t="s">
        <v>23</v>
      </c>
      <c r="I521" t="s">
        <v>13</v>
      </c>
      <c r="J521">
        <v>1</v>
      </c>
    </row>
    <row r="522" spans="1:10" x14ac:dyDescent="0.3">
      <c r="A522" t="s">
        <v>14</v>
      </c>
      <c r="B522">
        <v>22</v>
      </c>
      <c r="C522">
        <v>1</v>
      </c>
      <c r="D522">
        <v>1</v>
      </c>
      <c r="E522">
        <v>0</v>
      </c>
      <c r="F522" t="s">
        <v>24</v>
      </c>
      <c r="G522" t="s">
        <v>11</v>
      </c>
      <c r="H522" t="s">
        <v>12</v>
      </c>
      <c r="I522" t="s">
        <v>13</v>
      </c>
      <c r="J522">
        <v>1</v>
      </c>
    </row>
    <row r="523" spans="1:10" x14ac:dyDescent="0.3">
      <c r="A523" t="s">
        <v>14</v>
      </c>
      <c r="B523">
        <v>23</v>
      </c>
      <c r="C523">
        <v>1</v>
      </c>
      <c r="D523">
        <v>1</v>
      </c>
      <c r="E523">
        <v>0</v>
      </c>
      <c r="F523" t="s">
        <v>34</v>
      </c>
      <c r="G523" t="s">
        <v>16</v>
      </c>
      <c r="H523" t="s">
        <v>23</v>
      </c>
      <c r="I523" t="s">
        <v>13</v>
      </c>
      <c r="J523">
        <v>1</v>
      </c>
    </row>
    <row r="524" spans="1:10" x14ac:dyDescent="0.3">
      <c r="A524" t="s">
        <v>9</v>
      </c>
      <c r="B524">
        <v>13</v>
      </c>
      <c r="C524">
        <v>0</v>
      </c>
      <c r="D524">
        <v>0</v>
      </c>
      <c r="E524">
        <v>1</v>
      </c>
      <c r="F524" t="s">
        <v>52</v>
      </c>
      <c r="G524" t="s">
        <v>11</v>
      </c>
      <c r="H524" t="s">
        <v>23</v>
      </c>
      <c r="I524" t="s">
        <v>13</v>
      </c>
      <c r="J524">
        <v>0</v>
      </c>
    </row>
    <row r="525" spans="1:10" x14ac:dyDescent="0.3">
      <c r="A525" t="s">
        <v>9</v>
      </c>
      <c r="B525">
        <v>22</v>
      </c>
      <c r="C525">
        <v>0</v>
      </c>
      <c r="D525">
        <v>0</v>
      </c>
      <c r="E525">
        <v>0</v>
      </c>
      <c r="F525" t="s">
        <v>25</v>
      </c>
      <c r="G525" t="s">
        <v>16</v>
      </c>
      <c r="H525" t="s">
        <v>12</v>
      </c>
      <c r="I525" t="s">
        <v>13</v>
      </c>
      <c r="J525">
        <v>0</v>
      </c>
    </row>
    <row r="526" spans="1:10" x14ac:dyDescent="0.3">
      <c r="A526" t="s">
        <v>14</v>
      </c>
      <c r="B526">
        <v>64</v>
      </c>
      <c r="C526">
        <v>1</v>
      </c>
      <c r="D526">
        <v>1</v>
      </c>
      <c r="E526">
        <v>1</v>
      </c>
      <c r="F526" t="s">
        <v>32</v>
      </c>
      <c r="G526" t="s">
        <v>11</v>
      </c>
      <c r="H526" t="s">
        <v>12</v>
      </c>
      <c r="I526" t="s">
        <v>13</v>
      </c>
      <c r="J526">
        <v>1</v>
      </c>
    </row>
    <row r="527" spans="1:10" x14ac:dyDescent="0.3">
      <c r="A527" t="s">
        <v>9</v>
      </c>
      <c r="B527">
        <v>9</v>
      </c>
      <c r="C527">
        <v>0</v>
      </c>
      <c r="D527">
        <v>0</v>
      </c>
      <c r="E527">
        <v>0</v>
      </c>
      <c r="F527" t="s">
        <v>42</v>
      </c>
      <c r="G527" t="s">
        <v>16</v>
      </c>
      <c r="H527" t="s">
        <v>23</v>
      </c>
      <c r="I527" t="s">
        <v>13</v>
      </c>
      <c r="J527">
        <v>0</v>
      </c>
    </row>
    <row r="528" spans="1:10" x14ac:dyDescent="0.3">
      <c r="A528" t="s">
        <v>9</v>
      </c>
      <c r="B528">
        <v>26</v>
      </c>
      <c r="C528">
        <v>0</v>
      </c>
      <c r="D528">
        <v>0</v>
      </c>
      <c r="E528">
        <v>0</v>
      </c>
      <c r="F528" t="s">
        <v>42</v>
      </c>
      <c r="G528" t="s">
        <v>11</v>
      </c>
      <c r="H528" t="s">
        <v>23</v>
      </c>
      <c r="I528" t="s">
        <v>13</v>
      </c>
      <c r="J528">
        <v>0</v>
      </c>
    </row>
    <row r="529" spans="1:10" x14ac:dyDescent="0.3">
      <c r="A529" t="s">
        <v>14</v>
      </c>
      <c r="B529">
        <v>32</v>
      </c>
      <c r="C529">
        <v>0</v>
      </c>
      <c r="D529">
        <v>0</v>
      </c>
      <c r="E529">
        <v>0</v>
      </c>
      <c r="F529" t="s">
        <v>32</v>
      </c>
      <c r="G529" t="s">
        <v>16</v>
      </c>
      <c r="H529" t="s">
        <v>23</v>
      </c>
      <c r="I529" t="s">
        <v>13</v>
      </c>
      <c r="J529">
        <v>0</v>
      </c>
    </row>
    <row r="530" spans="1:10" x14ac:dyDescent="0.3">
      <c r="A530" t="s">
        <v>9</v>
      </c>
      <c r="B530">
        <v>48</v>
      </c>
      <c r="C530">
        <v>0</v>
      </c>
      <c r="D530">
        <v>0</v>
      </c>
      <c r="E530">
        <v>1</v>
      </c>
      <c r="F530" t="s">
        <v>47</v>
      </c>
      <c r="G530" t="s">
        <v>11</v>
      </c>
      <c r="H530" t="s">
        <v>12</v>
      </c>
      <c r="I530" t="s">
        <v>13</v>
      </c>
      <c r="J530">
        <v>0</v>
      </c>
    </row>
    <row r="531" spans="1:10" x14ac:dyDescent="0.3">
      <c r="A531" t="s">
        <v>14</v>
      </c>
      <c r="B531">
        <v>48</v>
      </c>
      <c r="C531">
        <v>0</v>
      </c>
      <c r="D531">
        <v>1</v>
      </c>
      <c r="E531">
        <v>0</v>
      </c>
      <c r="F531" t="s">
        <v>27</v>
      </c>
      <c r="G531" t="s">
        <v>16</v>
      </c>
      <c r="H531" t="s">
        <v>18</v>
      </c>
      <c r="I531" t="s">
        <v>13</v>
      </c>
      <c r="J531">
        <v>1</v>
      </c>
    </row>
    <row r="532" spans="1:10" x14ac:dyDescent="0.3">
      <c r="A532" t="s">
        <v>9</v>
      </c>
      <c r="B532">
        <v>33</v>
      </c>
      <c r="C532">
        <v>0</v>
      </c>
      <c r="D532">
        <v>0</v>
      </c>
      <c r="E532">
        <v>0</v>
      </c>
      <c r="F532" t="s">
        <v>22</v>
      </c>
      <c r="G532" t="s">
        <v>11</v>
      </c>
      <c r="H532" t="s">
        <v>18</v>
      </c>
      <c r="I532" t="s">
        <v>13</v>
      </c>
      <c r="J532">
        <v>0</v>
      </c>
    </row>
    <row r="533" spans="1:10" x14ac:dyDescent="0.3">
      <c r="A533" t="s">
        <v>9</v>
      </c>
      <c r="B533">
        <v>36</v>
      </c>
      <c r="C533">
        <v>0</v>
      </c>
      <c r="D533">
        <v>0</v>
      </c>
      <c r="E533">
        <v>0</v>
      </c>
      <c r="F533" t="s">
        <v>44</v>
      </c>
      <c r="G533" t="s">
        <v>16</v>
      </c>
      <c r="H533" t="s">
        <v>18</v>
      </c>
      <c r="I533" t="s">
        <v>13</v>
      </c>
      <c r="J533">
        <v>0</v>
      </c>
    </row>
    <row r="534" spans="1:10" x14ac:dyDescent="0.3">
      <c r="A534" t="s">
        <v>9</v>
      </c>
      <c r="B534">
        <v>32</v>
      </c>
      <c r="C534">
        <v>0</v>
      </c>
      <c r="D534">
        <v>0</v>
      </c>
      <c r="E534">
        <v>0</v>
      </c>
      <c r="F534" t="s">
        <v>46</v>
      </c>
      <c r="G534" t="s">
        <v>11</v>
      </c>
      <c r="H534" t="s">
        <v>18</v>
      </c>
      <c r="I534" t="s">
        <v>13</v>
      </c>
      <c r="J534">
        <v>0</v>
      </c>
    </row>
    <row r="535" spans="1:10" x14ac:dyDescent="0.3">
      <c r="A535" t="s">
        <v>14</v>
      </c>
      <c r="B535">
        <v>53</v>
      </c>
      <c r="C535">
        <v>0</v>
      </c>
      <c r="D535">
        <v>0</v>
      </c>
      <c r="E535">
        <v>0</v>
      </c>
      <c r="F535" t="s">
        <v>19</v>
      </c>
      <c r="G535" t="s">
        <v>16</v>
      </c>
      <c r="H535" t="s">
        <v>12</v>
      </c>
      <c r="I535" t="s">
        <v>13</v>
      </c>
      <c r="J535">
        <v>0</v>
      </c>
    </row>
    <row r="536" spans="1:10" x14ac:dyDescent="0.3">
      <c r="A536" t="s">
        <v>9</v>
      </c>
      <c r="B536">
        <v>9</v>
      </c>
      <c r="C536">
        <v>1</v>
      </c>
      <c r="D536">
        <v>1</v>
      </c>
      <c r="E536">
        <v>0</v>
      </c>
      <c r="F536" t="s">
        <v>22</v>
      </c>
      <c r="G536" t="s">
        <v>11</v>
      </c>
      <c r="H536" t="s">
        <v>18</v>
      </c>
      <c r="I536" t="s">
        <v>13</v>
      </c>
      <c r="J536">
        <v>1</v>
      </c>
    </row>
    <row r="537" spans="1:10" x14ac:dyDescent="0.3">
      <c r="A537" t="s">
        <v>14</v>
      </c>
      <c r="B537">
        <v>9</v>
      </c>
      <c r="C537">
        <v>1</v>
      </c>
      <c r="D537">
        <v>1</v>
      </c>
      <c r="E537">
        <v>0</v>
      </c>
      <c r="F537" t="s">
        <v>30</v>
      </c>
      <c r="G537" t="s">
        <v>16</v>
      </c>
      <c r="H537" t="s">
        <v>12</v>
      </c>
      <c r="I537" t="s">
        <v>13</v>
      </c>
      <c r="J537">
        <v>1</v>
      </c>
    </row>
    <row r="538" spans="1:10" x14ac:dyDescent="0.3">
      <c r="A538" t="s">
        <v>14</v>
      </c>
      <c r="B538">
        <v>40</v>
      </c>
      <c r="C538">
        <v>0</v>
      </c>
      <c r="D538">
        <v>0</v>
      </c>
      <c r="E538">
        <v>1</v>
      </c>
      <c r="F538" t="s">
        <v>24</v>
      </c>
      <c r="G538" t="s">
        <v>11</v>
      </c>
      <c r="H538" t="s">
        <v>12</v>
      </c>
      <c r="I538" t="s">
        <v>13</v>
      </c>
      <c r="J538">
        <v>0</v>
      </c>
    </row>
    <row r="539" spans="1:10" x14ac:dyDescent="0.3">
      <c r="A539" t="s">
        <v>9</v>
      </c>
      <c r="B539">
        <v>55</v>
      </c>
      <c r="C539">
        <v>1</v>
      </c>
      <c r="D539">
        <v>1</v>
      </c>
      <c r="E539">
        <v>1</v>
      </c>
      <c r="F539" t="s">
        <v>37</v>
      </c>
      <c r="G539" t="s">
        <v>16</v>
      </c>
      <c r="H539" t="s">
        <v>23</v>
      </c>
      <c r="I539" t="s">
        <v>13</v>
      </c>
      <c r="J539">
        <v>1</v>
      </c>
    </row>
    <row r="540" spans="1:10" x14ac:dyDescent="0.3">
      <c r="A540" t="s">
        <v>14</v>
      </c>
      <c r="B540">
        <v>34</v>
      </c>
      <c r="C540">
        <v>0</v>
      </c>
      <c r="D540">
        <v>0</v>
      </c>
      <c r="E540">
        <v>1</v>
      </c>
      <c r="F540" t="s">
        <v>31</v>
      </c>
      <c r="G540" t="s">
        <v>11</v>
      </c>
      <c r="H540" t="s">
        <v>23</v>
      </c>
      <c r="I540" t="s">
        <v>13</v>
      </c>
      <c r="J540">
        <v>0</v>
      </c>
    </row>
    <row r="541" spans="1:10" x14ac:dyDescent="0.3">
      <c r="A541" t="s">
        <v>9</v>
      </c>
      <c r="B541">
        <v>19</v>
      </c>
      <c r="C541">
        <v>1</v>
      </c>
      <c r="D541">
        <v>1</v>
      </c>
      <c r="E541">
        <v>1</v>
      </c>
      <c r="F541" t="s">
        <v>32</v>
      </c>
      <c r="G541" t="s">
        <v>16</v>
      </c>
      <c r="H541" t="s">
        <v>12</v>
      </c>
      <c r="I541" t="s">
        <v>13</v>
      </c>
      <c r="J541">
        <v>1</v>
      </c>
    </row>
    <row r="542" spans="1:10" x14ac:dyDescent="0.3">
      <c r="A542" t="s">
        <v>14</v>
      </c>
      <c r="B542">
        <v>48</v>
      </c>
      <c r="C542">
        <v>1</v>
      </c>
      <c r="D542">
        <v>1</v>
      </c>
      <c r="E542">
        <v>1</v>
      </c>
      <c r="F542" t="s">
        <v>45</v>
      </c>
      <c r="G542" t="s">
        <v>11</v>
      </c>
      <c r="H542" t="s">
        <v>18</v>
      </c>
      <c r="I542" t="s">
        <v>13</v>
      </c>
      <c r="J542">
        <v>1</v>
      </c>
    </row>
    <row r="543" spans="1:10" x14ac:dyDescent="0.3">
      <c r="A543" t="s">
        <v>9</v>
      </c>
      <c r="B543">
        <v>30</v>
      </c>
      <c r="C543">
        <v>1</v>
      </c>
      <c r="D543">
        <v>1</v>
      </c>
      <c r="E543">
        <v>0</v>
      </c>
      <c r="F543" t="s">
        <v>10</v>
      </c>
      <c r="G543" t="s">
        <v>16</v>
      </c>
      <c r="H543" t="s">
        <v>12</v>
      </c>
      <c r="I543" t="s">
        <v>13</v>
      </c>
      <c r="J543">
        <v>1</v>
      </c>
    </row>
    <row r="544" spans="1:10" x14ac:dyDescent="0.3">
      <c r="A544" t="s">
        <v>9</v>
      </c>
      <c r="B544">
        <v>27</v>
      </c>
      <c r="C544">
        <v>0</v>
      </c>
      <c r="D544">
        <v>0</v>
      </c>
      <c r="E544">
        <v>0</v>
      </c>
      <c r="F544" t="s">
        <v>47</v>
      </c>
      <c r="G544" t="s">
        <v>11</v>
      </c>
      <c r="H544" t="s">
        <v>12</v>
      </c>
      <c r="I544" t="s">
        <v>13</v>
      </c>
      <c r="J544">
        <v>0</v>
      </c>
    </row>
    <row r="545" spans="1:10" x14ac:dyDescent="0.3">
      <c r="A545" t="s">
        <v>14</v>
      </c>
      <c r="B545">
        <v>49</v>
      </c>
      <c r="C545">
        <v>0</v>
      </c>
      <c r="D545">
        <v>0</v>
      </c>
      <c r="E545">
        <v>0</v>
      </c>
      <c r="F545" t="s">
        <v>28</v>
      </c>
      <c r="G545" t="s">
        <v>16</v>
      </c>
      <c r="H545" t="s">
        <v>18</v>
      </c>
      <c r="I545" t="s">
        <v>13</v>
      </c>
      <c r="J545">
        <v>0</v>
      </c>
    </row>
    <row r="546" spans="1:10" x14ac:dyDescent="0.3">
      <c r="A546" t="s">
        <v>9</v>
      </c>
      <c r="B546">
        <v>28</v>
      </c>
      <c r="C546">
        <v>0</v>
      </c>
      <c r="D546">
        <v>0</v>
      </c>
      <c r="E546">
        <v>1</v>
      </c>
      <c r="F546" t="s">
        <v>34</v>
      </c>
      <c r="G546" t="s">
        <v>11</v>
      </c>
      <c r="H546" t="s">
        <v>18</v>
      </c>
      <c r="I546" t="s">
        <v>13</v>
      </c>
      <c r="J546">
        <v>0</v>
      </c>
    </row>
    <row r="547" spans="1:10" x14ac:dyDescent="0.3">
      <c r="A547" t="s">
        <v>9</v>
      </c>
      <c r="B547">
        <v>29</v>
      </c>
      <c r="C547">
        <v>1</v>
      </c>
      <c r="D547">
        <v>1</v>
      </c>
      <c r="E547">
        <v>1</v>
      </c>
      <c r="F547" t="s">
        <v>41</v>
      </c>
      <c r="G547" t="s">
        <v>16</v>
      </c>
      <c r="H547" t="s">
        <v>23</v>
      </c>
      <c r="I547" t="s">
        <v>13</v>
      </c>
      <c r="J547">
        <v>1</v>
      </c>
    </row>
    <row r="548" spans="1:10" x14ac:dyDescent="0.3">
      <c r="A548" t="s">
        <v>14</v>
      </c>
      <c r="B548">
        <v>65</v>
      </c>
      <c r="C548">
        <v>1</v>
      </c>
      <c r="D548">
        <v>1</v>
      </c>
      <c r="E548">
        <v>0</v>
      </c>
      <c r="F548" t="s">
        <v>25</v>
      </c>
      <c r="G548" t="s">
        <v>11</v>
      </c>
      <c r="H548" t="s">
        <v>23</v>
      </c>
      <c r="I548" t="s">
        <v>13</v>
      </c>
      <c r="J548">
        <v>1</v>
      </c>
    </row>
    <row r="549" spans="1:10" x14ac:dyDescent="0.3">
      <c r="A549" t="s">
        <v>14</v>
      </c>
      <c r="B549">
        <v>36</v>
      </c>
      <c r="C549">
        <v>0</v>
      </c>
      <c r="D549">
        <v>0</v>
      </c>
      <c r="E549">
        <v>1</v>
      </c>
      <c r="F549" t="s">
        <v>44</v>
      </c>
      <c r="G549" t="s">
        <v>16</v>
      </c>
      <c r="H549" t="s">
        <v>12</v>
      </c>
      <c r="I549" t="s">
        <v>13</v>
      </c>
      <c r="J549">
        <v>0</v>
      </c>
    </row>
    <row r="550" spans="1:10" x14ac:dyDescent="0.3">
      <c r="A550" t="s">
        <v>9</v>
      </c>
      <c r="B550">
        <v>55</v>
      </c>
      <c r="C550">
        <v>1</v>
      </c>
      <c r="D550">
        <v>1</v>
      </c>
      <c r="E550">
        <v>0</v>
      </c>
      <c r="F550" t="s">
        <v>26</v>
      </c>
      <c r="G550" t="s">
        <v>11</v>
      </c>
      <c r="H550" t="s">
        <v>12</v>
      </c>
      <c r="I550" t="s">
        <v>13</v>
      </c>
      <c r="J550">
        <v>1</v>
      </c>
    </row>
    <row r="551" spans="1:10" x14ac:dyDescent="0.3">
      <c r="A551" t="s">
        <v>14</v>
      </c>
      <c r="B551">
        <v>22</v>
      </c>
      <c r="C551">
        <v>0</v>
      </c>
      <c r="D551">
        <v>0</v>
      </c>
      <c r="E551">
        <v>1</v>
      </c>
      <c r="F551" t="s">
        <v>41</v>
      </c>
      <c r="G551" t="s">
        <v>16</v>
      </c>
      <c r="H551" t="s">
        <v>12</v>
      </c>
      <c r="I551" t="s">
        <v>13</v>
      </c>
      <c r="J551">
        <v>0</v>
      </c>
    </row>
    <row r="552" spans="1:10" x14ac:dyDescent="0.3">
      <c r="A552" t="s">
        <v>14</v>
      </c>
      <c r="B552">
        <v>26</v>
      </c>
      <c r="C552">
        <v>1</v>
      </c>
      <c r="D552">
        <v>1</v>
      </c>
      <c r="E552">
        <v>0</v>
      </c>
      <c r="F552" t="s">
        <v>22</v>
      </c>
      <c r="G552" t="s">
        <v>11</v>
      </c>
      <c r="H552" t="s">
        <v>23</v>
      </c>
      <c r="I552" t="s">
        <v>13</v>
      </c>
      <c r="J552">
        <v>1</v>
      </c>
    </row>
    <row r="553" spans="1:10" x14ac:dyDescent="0.3">
      <c r="A553" t="s">
        <v>14</v>
      </c>
      <c r="B553">
        <v>31</v>
      </c>
      <c r="C553">
        <v>1</v>
      </c>
      <c r="D553">
        <v>1</v>
      </c>
      <c r="E553">
        <v>0</v>
      </c>
      <c r="F553" t="s">
        <v>38</v>
      </c>
      <c r="G553" t="s">
        <v>16</v>
      </c>
      <c r="H553" t="s">
        <v>23</v>
      </c>
      <c r="I553" t="s">
        <v>13</v>
      </c>
      <c r="J553">
        <v>1</v>
      </c>
    </row>
    <row r="554" spans="1:10" x14ac:dyDescent="0.3">
      <c r="A554" t="s">
        <v>9</v>
      </c>
      <c r="B554">
        <v>50</v>
      </c>
      <c r="C554">
        <v>0</v>
      </c>
      <c r="D554">
        <v>0</v>
      </c>
      <c r="E554">
        <v>0</v>
      </c>
      <c r="F554" t="s">
        <v>46</v>
      </c>
      <c r="G554" t="s">
        <v>11</v>
      </c>
      <c r="H554" t="s">
        <v>12</v>
      </c>
      <c r="I554" t="s">
        <v>13</v>
      </c>
      <c r="J554">
        <v>0</v>
      </c>
    </row>
    <row r="555" spans="1:10" x14ac:dyDescent="0.3">
      <c r="A555" t="s">
        <v>14</v>
      </c>
      <c r="B555">
        <v>25</v>
      </c>
      <c r="C555">
        <v>0</v>
      </c>
      <c r="D555">
        <v>0</v>
      </c>
      <c r="E555">
        <v>0</v>
      </c>
      <c r="F555" t="s">
        <v>35</v>
      </c>
      <c r="G555" t="s">
        <v>16</v>
      </c>
      <c r="H555" t="s">
        <v>23</v>
      </c>
      <c r="I555" t="s">
        <v>13</v>
      </c>
      <c r="J555">
        <v>0</v>
      </c>
    </row>
    <row r="556" spans="1:10" x14ac:dyDescent="0.3">
      <c r="A556" t="s">
        <v>9</v>
      </c>
      <c r="B556">
        <v>34</v>
      </c>
      <c r="C556">
        <v>1</v>
      </c>
      <c r="D556">
        <v>1</v>
      </c>
      <c r="E556">
        <v>0</v>
      </c>
      <c r="F556" t="s">
        <v>22</v>
      </c>
      <c r="G556" t="s">
        <v>11</v>
      </c>
      <c r="H556" t="s">
        <v>12</v>
      </c>
      <c r="I556" t="s">
        <v>13</v>
      </c>
      <c r="J556">
        <v>1</v>
      </c>
    </row>
    <row r="557" spans="1:10" x14ac:dyDescent="0.3">
      <c r="A557" t="s">
        <v>9</v>
      </c>
      <c r="B557">
        <v>54</v>
      </c>
      <c r="C557">
        <v>0</v>
      </c>
      <c r="D557">
        <v>0</v>
      </c>
      <c r="E557">
        <v>0</v>
      </c>
      <c r="F557" t="s">
        <v>10</v>
      </c>
      <c r="G557" t="s">
        <v>16</v>
      </c>
      <c r="H557" t="s">
        <v>23</v>
      </c>
      <c r="I557" t="s">
        <v>13</v>
      </c>
      <c r="J557">
        <v>0</v>
      </c>
    </row>
    <row r="558" spans="1:10" x14ac:dyDescent="0.3">
      <c r="A558" t="s">
        <v>9</v>
      </c>
      <c r="B558">
        <v>35</v>
      </c>
      <c r="C558">
        <v>1</v>
      </c>
      <c r="D558">
        <v>1</v>
      </c>
      <c r="E558">
        <v>0</v>
      </c>
      <c r="F558" t="s">
        <v>40</v>
      </c>
      <c r="G558" t="s">
        <v>11</v>
      </c>
      <c r="H558" t="s">
        <v>12</v>
      </c>
      <c r="I558" t="s">
        <v>13</v>
      </c>
      <c r="J558">
        <v>1</v>
      </c>
    </row>
    <row r="559" spans="1:10" x14ac:dyDescent="0.3">
      <c r="A559" t="s">
        <v>14</v>
      </c>
      <c r="B559">
        <v>29</v>
      </c>
      <c r="C559">
        <v>1</v>
      </c>
      <c r="D559">
        <v>1</v>
      </c>
      <c r="E559">
        <v>1</v>
      </c>
      <c r="F559" t="s">
        <v>27</v>
      </c>
      <c r="G559" t="s">
        <v>16</v>
      </c>
      <c r="H559" t="s">
        <v>12</v>
      </c>
      <c r="I559" t="s">
        <v>13</v>
      </c>
      <c r="J559">
        <v>1</v>
      </c>
    </row>
    <row r="560" spans="1:10" x14ac:dyDescent="0.3">
      <c r="A560" t="s">
        <v>9</v>
      </c>
      <c r="B560">
        <v>18</v>
      </c>
      <c r="C560">
        <v>1</v>
      </c>
      <c r="D560">
        <v>1</v>
      </c>
      <c r="E560">
        <v>0</v>
      </c>
      <c r="F560" t="s">
        <v>46</v>
      </c>
      <c r="G560" t="s">
        <v>11</v>
      </c>
      <c r="H560" t="s">
        <v>18</v>
      </c>
      <c r="I560" t="s">
        <v>13</v>
      </c>
      <c r="J560">
        <v>1</v>
      </c>
    </row>
    <row r="561" spans="1:10" x14ac:dyDescent="0.3">
      <c r="A561" t="s">
        <v>9</v>
      </c>
      <c r="B561">
        <v>12</v>
      </c>
      <c r="C561">
        <v>1</v>
      </c>
      <c r="D561">
        <v>1</v>
      </c>
      <c r="E561">
        <v>1</v>
      </c>
      <c r="F561" t="s">
        <v>52</v>
      </c>
      <c r="G561" t="s">
        <v>16</v>
      </c>
      <c r="H561" t="s">
        <v>23</v>
      </c>
      <c r="I561" t="s">
        <v>13</v>
      </c>
      <c r="J561">
        <v>1</v>
      </c>
    </row>
    <row r="562" spans="1:10" x14ac:dyDescent="0.3">
      <c r="A562" t="s">
        <v>9</v>
      </c>
      <c r="B562">
        <v>19</v>
      </c>
      <c r="C562">
        <v>0</v>
      </c>
      <c r="D562">
        <v>0</v>
      </c>
      <c r="E562">
        <v>0</v>
      </c>
      <c r="F562" t="s">
        <v>39</v>
      </c>
      <c r="G562" t="s">
        <v>11</v>
      </c>
      <c r="H562" t="s">
        <v>18</v>
      </c>
      <c r="I562" t="s">
        <v>13</v>
      </c>
      <c r="J562">
        <v>0</v>
      </c>
    </row>
    <row r="563" spans="1:10" x14ac:dyDescent="0.3">
      <c r="A563" t="s">
        <v>9</v>
      </c>
      <c r="B563">
        <v>38</v>
      </c>
      <c r="C563">
        <v>1</v>
      </c>
      <c r="D563">
        <v>1</v>
      </c>
      <c r="E563">
        <v>0</v>
      </c>
      <c r="F563" t="s">
        <v>26</v>
      </c>
      <c r="G563" t="s">
        <v>16</v>
      </c>
      <c r="H563" t="s">
        <v>18</v>
      </c>
      <c r="I563" t="s">
        <v>13</v>
      </c>
      <c r="J563">
        <v>1</v>
      </c>
    </row>
    <row r="564" spans="1:10" x14ac:dyDescent="0.3">
      <c r="A564" t="s">
        <v>14</v>
      </c>
      <c r="B564">
        <v>46</v>
      </c>
      <c r="C564">
        <v>0</v>
      </c>
      <c r="D564">
        <v>0</v>
      </c>
      <c r="E564">
        <v>0</v>
      </c>
      <c r="F564" t="s">
        <v>41</v>
      </c>
      <c r="G564" t="s">
        <v>11</v>
      </c>
      <c r="H564" t="s">
        <v>18</v>
      </c>
      <c r="I564" t="s">
        <v>13</v>
      </c>
      <c r="J564">
        <v>0</v>
      </c>
    </row>
    <row r="565" spans="1:10" x14ac:dyDescent="0.3">
      <c r="A565" t="s">
        <v>9</v>
      </c>
      <c r="B565">
        <v>9</v>
      </c>
      <c r="C565">
        <v>1</v>
      </c>
      <c r="D565">
        <v>1</v>
      </c>
      <c r="E565">
        <v>0</v>
      </c>
      <c r="F565" t="s">
        <v>24</v>
      </c>
      <c r="G565" t="s">
        <v>16</v>
      </c>
      <c r="H565" t="s">
        <v>12</v>
      </c>
      <c r="I565" t="s">
        <v>13</v>
      </c>
      <c r="J565">
        <v>1</v>
      </c>
    </row>
    <row r="566" spans="1:10" x14ac:dyDescent="0.3">
      <c r="A566" t="s">
        <v>9</v>
      </c>
      <c r="B566">
        <v>42</v>
      </c>
      <c r="C566">
        <v>1</v>
      </c>
      <c r="D566">
        <v>1</v>
      </c>
      <c r="E566">
        <v>1</v>
      </c>
      <c r="F566" t="s">
        <v>30</v>
      </c>
      <c r="G566" t="s">
        <v>11</v>
      </c>
      <c r="H566" t="s">
        <v>12</v>
      </c>
      <c r="I566" t="s">
        <v>13</v>
      </c>
      <c r="J566">
        <v>1</v>
      </c>
    </row>
    <row r="567" spans="1:10" x14ac:dyDescent="0.3">
      <c r="A567" t="s">
        <v>14</v>
      </c>
      <c r="B567">
        <v>23</v>
      </c>
      <c r="C567">
        <v>0</v>
      </c>
      <c r="D567">
        <v>0</v>
      </c>
      <c r="E567">
        <v>1</v>
      </c>
      <c r="F567" t="s">
        <v>17</v>
      </c>
      <c r="G567" t="s">
        <v>16</v>
      </c>
      <c r="H567" t="s">
        <v>12</v>
      </c>
      <c r="I567" t="s">
        <v>13</v>
      </c>
      <c r="J567">
        <v>0</v>
      </c>
    </row>
    <row r="568" spans="1:10" x14ac:dyDescent="0.3">
      <c r="A568" t="s">
        <v>9</v>
      </c>
      <c r="B568">
        <v>45</v>
      </c>
      <c r="C568">
        <v>1</v>
      </c>
      <c r="D568">
        <v>1</v>
      </c>
      <c r="E568">
        <v>1</v>
      </c>
      <c r="F568" t="s">
        <v>17</v>
      </c>
      <c r="G568" t="s">
        <v>11</v>
      </c>
      <c r="H568" t="s">
        <v>12</v>
      </c>
      <c r="I568" t="s">
        <v>13</v>
      </c>
      <c r="J568">
        <v>1</v>
      </c>
    </row>
    <row r="569" spans="1:10" x14ac:dyDescent="0.3">
      <c r="A569" t="s">
        <v>9</v>
      </c>
      <c r="B569">
        <v>29</v>
      </c>
      <c r="C569">
        <v>1</v>
      </c>
      <c r="D569">
        <v>1</v>
      </c>
      <c r="E569">
        <v>1</v>
      </c>
      <c r="F569" t="s">
        <v>17</v>
      </c>
      <c r="G569" t="s">
        <v>16</v>
      </c>
      <c r="H569" t="s">
        <v>12</v>
      </c>
      <c r="I569" t="s">
        <v>13</v>
      </c>
      <c r="J569">
        <v>1</v>
      </c>
    </row>
    <row r="570" spans="1:10" x14ac:dyDescent="0.3">
      <c r="A570" t="s">
        <v>14</v>
      </c>
      <c r="B570">
        <v>31</v>
      </c>
      <c r="C570">
        <v>1</v>
      </c>
      <c r="D570">
        <v>1</v>
      </c>
      <c r="E570">
        <v>1</v>
      </c>
      <c r="F570" t="s">
        <v>50</v>
      </c>
      <c r="G570" t="s">
        <v>11</v>
      </c>
      <c r="H570" t="s">
        <v>23</v>
      </c>
      <c r="I570" t="s">
        <v>13</v>
      </c>
      <c r="J570">
        <v>1</v>
      </c>
    </row>
    <row r="571" spans="1:10" x14ac:dyDescent="0.3">
      <c r="A571" t="s">
        <v>14</v>
      </c>
      <c r="B571">
        <v>34</v>
      </c>
      <c r="C571">
        <v>0</v>
      </c>
      <c r="D571">
        <v>0</v>
      </c>
      <c r="E571">
        <v>0</v>
      </c>
      <c r="F571" t="s">
        <v>35</v>
      </c>
      <c r="G571" t="s">
        <v>16</v>
      </c>
      <c r="H571" t="s">
        <v>23</v>
      </c>
      <c r="I571" t="s">
        <v>13</v>
      </c>
      <c r="J571">
        <v>0</v>
      </c>
    </row>
    <row r="572" spans="1:10" x14ac:dyDescent="0.3">
      <c r="A572" t="s">
        <v>9</v>
      </c>
      <c r="B572">
        <v>61</v>
      </c>
      <c r="C572">
        <v>1</v>
      </c>
      <c r="D572">
        <v>1</v>
      </c>
      <c r="E572">
        <v>1</v>
      </c>
      <c r="F572" t="s">
        <v>52</v>
      </c>
      <c r="G572" t="s">
        <v>11</v>
      </c>
      <c r="H572" t="s">
        <v>23</v>
      </c>
      <c r="I572" t="s">
        <v>13</v>
      </c>
      <c r="J572">
        <v>1</v>
      </c>
    </row>
    <row r="573" spans="1:10" x14ac:dyDescent="0.3">
      <c r="A573" t="s">
        <v>9</v>
      </c>
      <c r="B573">
        <v>26</v>
      </c>
      <c r="C573">
        <v>1</v>
      </c>
      <c r="D573">
        <v>1</v>
      </c>
      <c r="E573">
        <v>1</v>
      </c>
      <c r="F573" t="s">
        <v>39</v>
      </c>
      <c r="G573" t="s">
        <v>16</v>
      </c>
      <c r="H573" t="s">
        <v>23</v>
      </c>
      <c r="I573" t="s">
        <v>13</v>
      </c>
      <c r="J573">
        <v>1</v>
      </c>
    </row>
    <row r="574" spans="1:10" x14ac:dyDescent="0.3">
      <c r="A574" t="s">
        <v>9</v>
      </c>
      <c r="B574">
        <v>52</v>
      </c>
      <c r="C574">
        <v>0</v>
      </c>
      <c r="D574">
        <v>0</v>
      </c>
      <c r="E574">
        <v>0</v>
      </c>
      <c r="F574" t="s">
        <v>35</v>
      </c>
      <c r="G574" t="s">
        <v>11</v>
      </c>
      <c r="H574" t="s">
        <v>18</v>
      </c>
      <c r="I574" t="s">
        <v>13</v>
      </c>
      <c r="J574">
        <v>0</v>
      </c>
    </row>
    <row r="575" spans="1:10" x14ac:dyDescent="0.3">
      <c r="A575" t="s">
        <v>9</v>
      </c>
      <c r="B575">
        <v>24</v>
      </c>
      <c r="C575">
        <v>0</v>
      </c>
      <c r="D575">
        <v>0</v>
      </c>
      <c r="E575">
        <v>0</v>
      </c>
      <c r="F575" t="s">
        <v>25</v>
      </c>
      <c r="G575" t="s">
        <v>16</v>
      </c>
      <c r="H575" t="s">
        <v>23</v>
      </c>
      <c r="I575" t="s">
        <v>13</v>
      </c>
      <c r="J575">
        <v>0</v>
      </c>
    </row>
    <row r="576" spans="1:10" x14ac:dyDescent="0.3">
      <c r="A576" t="s">
        <v>14</v>
      </c>
      <c r="B576">
        <v>19</v>
      </c>
      <c r="C576">
        <v>0</v>
      </c>
      <c r="D576">
        <v>0</v>
      </c>
      <c r="E576">
        <v>1</v>
      </c>
      <c r="F576" t="s">
        <v>36</v>
      </c>
      <c r="G576" t="s">
        <v>11</v>
      </c>
      <c r="H576" t="s">
        <v>12</v>
      </c>
      <c r="I576" t="s">
        <v>13</v>
      </c>
      <c r="J576">
        <v>0</v>
      </c>
    </row>
    <row r="577" spans="1:10" x14ac:dyDescent="0.3">
      <c r="A577" t="s">
        <v>9</v>
      </c>
      <c r="B577">
        <v>47</v>
      </c>
      <c r="C577">
        <v>1</v>
      </c>
      <c r="D577">
        <v>1</v>
      </c>
      <c r="E577">
        <v>0</v>
      </c>
      <c r="F577" t="s">
        <v>47</v>
      </c>
      <c r="G577" t="s">
        <v>16</v>
      </c>
      <c r="H577" t="s">
        <v>23</v>
      </c>
      <c r="I577" t="s">
        <v>13</v>
      </c>
      <c r="J577">
        <v>1</v>
      </c>
    </row>
    <row r="578" spans="1:10" x14ac:dyDescent="0.3">
      <c r="A578" t="s">
        <v>9</v>
      </c>
      <c r="B578">
        <v>14</v>
      </c>
      <c r="C578">
        <v>1</v>
      </c>
      <c r="D578">
        <v>1</v>
      </c>
      <c r="E578">
        <v>1</v>
      </c>
      <c r="F578" t="s">
        <v>27</v>
      </c>
      <c r="G578" t="s">
        <v>11</v>
      </c>
      <c r="H578" t="s">
        <v>23</v>
      </c>
      <c r="I578" t="s">
        <v>13</v>
      </c>
      <c r="J578">
        <v>1</v>
      </c>
    </row>
    <row r="579" spans="1:10" x14ac:dyDescent="0.3">
      <c r="A579" t="s">
        <v>14</v>
      </c>
      <c r="B579">
        <v>62</v>
      </c>
      <c r="C579">
        <v>1</v>
      </c>
      <c r="D579">
        <v>1</v>
      </c>
      <c r="E579">
        <v>0</v>
      </c>
      <c r="F579" t="s">
        <v>36</v>
      </c>
      <c r="G579" t="s">
        <v>16</v>
      </c>
      <c r="H579" t="s">
        <v>23</v>
      </c>
      <c r="I579" t="s">
        <v>13</v>
      </c>
      <c r="J579">
        <v>1</v>
      </c>
    </row>
    <row r="580" spans="1:10" x14ac:dyDescent="0.3">
      <c r="A580" t="s">
        <v>14</v>
      </c>
      <c r="B580">
        <v>53</v>
      </c>
      <c r="C580">
        <v>1</v>
      </c>
      <c r="D580">
        <v>1</v>
      </c>
      <c r="E580">
        <v>1</v>
      </c>
      <c r="F580" t="s">
        <v>10</v>
      </c>
      <c r="G580" t="s">
        <v>11</v>
      </c>
      <c r="H580" t="s">
        <v>23</v>
      </c>
      <c r="I580" t="s">
        <v>13</v>
      </c>
      <c r="J580">
        <v>1</v>
      </c>
    </row>
    <row r="581" spans="1:10" x14ac:dyDescent="0.3">
      <c r="A581" t="s">
        <v>14</v>
      </c>
      <c r="B581">
        <v>49</v>
      </c>
      <c r="C581">
        <v>0</v>
      </c>
      <c r="D581">
        <v>0</v>
      </c>
      <c r="E581">
        <v>1</v>
      </c>
      <c r="F581" t="s">
        <v>46</v>
      </c>
      <c r="G581" t="s">
        <v>16</v>
      </c>
      <c r="H581" t="s">
        <v>23</v>
      </c>
      <c r="I581" t="s">
        <v>13</v>
      </c>
      <c r="J581">
        <v>0</v>
      </c>
    </row>
    <row r="582" spans="1:10" x14ac:dyDescent="0.3">
      <c r="A582" t="s">
        <v>9</v>
      </c>
      <c r="B582">
        <v>51</v>
      </c>
      <c r="C582">
        <v>0</v>
      </c>
      <c r="D582">
        <v>0</v>
      </c>
      <c r="E582">
        <v>1</v>
      </c>
      <c r="F582" t="s">
        <v>28</v>
      </c>
      <c r="G582" t="s">
        <v>11</v>
      </c>
      <c r="H582" t="s">
        <v>12</v>
      </c>
      <c r="I582" t="s">
        <v>13</v>
      </c>
      <c r="J582">
        <v>0</v>
      </c>
    </row>
    <row r="583" spans="1:10" x14ac:dyDescent="0.3">
      <c r="A583" t="s">
        <v>9</v>
      </c>
      <c r="B583">
        <v>61</v>
      </c>
      <c r="C583">
        <v>0</v>
      </c>
      <c r="D583">
        <v>0</v>
      </c>
      <c r="E583">
        <v>0</v>
      </c>
      <c r="F583" t="s">
        <v>34</v>
      </c>
      <c r="G583" t="s">
        <v>16</v>
      </c>
      <c r="H583" t="s">
        <v>12</v>
      </c>
      <c r="I583" t="s">
        <v>13</v>
      </c>
      <c r="J583">
        <v>0</v>
      </c>
    </row>
    <row r="584" spans="1:10" x14ac:dyDescent="0.3">
      <c r="A584" t="s">
        <v>9</v>
      </c>
      <c r="B584">
        <v>35</v>
      </c>
      <c r="C584">
        <v>1</v>
      </c>
      <c r="D584">
        <v>1</v>
      </c>
      <c r="E584">
        <v>0</v>
      </c>
      <c r="F584" t="s">
        <v>34</v>
      </c>
      <c r="G584" t="s">
        <v>11</v>
      </c>
      <c r="H584" t="s">
        <v>12</v>
      </c>
      <c r="I584" t="s">
        <v>13</v>
      </c>
      <c r="J584">
        <v>1</v>
      </c>
    </row>
    <row r="585" spans="1:10" x14ac:dyDescent="0.3">
      <c r="A585" t="s">
        <v>9</v>
      </c>
      <c r="B585">
        <v>45</v>
      </c>
      <c r="C585">
        <v>0</v>
      </c>
      <c r="D585">
        <v>0</v>
      </c>
      <c r="E585">
        <v>1</v>
      </c>
      <c r="F585" t="s">
        <v>49</v>
      </c>
      <c r="G585" t="s">
        <v>16</v>
      </c>
      <c r="H585" t="s">
        <v>23</v>
      </c>
      <c r="I585" t="s">
        <v>13</v>
      </c>
      <c r="J585">
        <v>0</v>
      </c>
    </row>
    <row r="586" spans="1:10" x14ac:dyDescent="0.3">
      <c r="A586" t="s">
        <v>14</v>
      </c>
      <c r="B586">
        <v>25</v>
      </c>
      <c r="C586">
        <v>1</v>
      </c>
      <c r="D586">
        <v>1</v>
      </c>
      <c r="E586">
        <v>1</v>
      </c>
      <c r="F586" t="s">
        <v>38</v>
      </c>
      <c r="G586" t="s">
        <v>11</v>
      </c>
      <c r="H586" t="s">
        <v>12</v>
      </c>
      <c r="I586" t="s">
        <v>13</v>
      </c>
      <c r="J586">
        <v>1</v>
      </c>
    </row>
    <row r="587" spans="1:10" x14ac:dyDescent="0.3">
      <c r="A587" t="s">
        <v>9</v>
      </c>
      <c r="B587">
        <v>53</v>
      </c>
      <c r="C587">
        <v>1</v>
      </c>
      <c r="D587">
        <v>1</v>
      </c>
      <c r="E587">
        <v>0</v>
      </c>
      <c r="F587" t="s">
        <v>32</v>
      </c>
      <c r="G587" t="s">
        <v>16</v>
      </c>
      <c r="H587" t="s">
        <v>12</v>
      </c>
      <c r="I587" t="s">
        <v>13</v>
      </c>
      <c r="J587">
        <v>1</v>
      </c>
    </row>
    <row r="588" spans="1:10" x14ac:dyDescent="0.3">
      <c r="A588" t="s">
        <v>9</v>
      </c>
      <c r="B588">
        <v>37</v>
      </c>
      <c r="C588">
        <v>1</v>
      </c>
      <c r="D588">
        <v>1</v>
      </c>
      <c r="E588">
        <v>0</v>
      </c>
      <c r="F588" t="s">
        <v>20</v>
      </c>
      <c r="G588" t="s">
        <v>11</v>
      </c>
      <c r="H588" t="s">
        <v>12</v>
      </c>
      <c r="I588" t="s">
        <v>13</v>
      </c>
      <c r="J588">
        <v>1</v>
      </c>
    </row>
    <row r="589" spans="1:10" x14ac:dyDescent="0.3">
      <c r="A589" t="s">
        <v>14</v>
      </c>
      <c r="B589">
        <v>25</v>
      </c>
      <c r="C589">
        <v>0</v>
      </c>
      <c r="D589">
        <v>0</v>
      </c>
      <c r="E589">
        <v>1</v>
      </c>
      <c r="F589" t="s">
        <v>51</v>
      </c>
      <c r="G589" t="s">
        <v>16</v>
      </c>
      <c r="H589" t="s">
        <v>12</v>
      </c>
      <c r="I589" t="s">
        <v>13</v>
      </c>
      <c r="J589">
        <v>0</v>
      </c>
    </row>
    <row r="590" spans="1:10" x14ac:dyDescent="0.3">
      <c r="A590" t="s">
        <v>14</v>
      </c>
      <c r="B590">
        <v>38</v>
      </c>
      <c r="C590">
        <v>1</v>
      </c>
      <c r="D590">
        <v>1</v>
      </c>
      <c r="E590">
        <v>1</v>
      </c>
      <c r="F590" t="s">
        <v>37</v>
      </c>
      <c r="G590" t="s">
        <v>11</v>
      </c>
      <c r="H590" t="s">
        <v>23</v>
      </c>
      <c r="I590" t="s">
        <v>13</v>
      </c>
      <c r="J590">
        <v>1</v>
      </c>
    </row>
    <row r="591" spans="1:10" x14ac:dyDescent="0.3">
      <c r="A591" t="s">
        <v>9</v>
      </c>
      <c r="B591">
        <v>50</v>
      </c>
      <c r="C591">
        <v>1</v>
      </c>
      <c r="D591">
        <v>1</v>
      </c>
      <c r="E591">
        <v>0</v>
      </c>
      <c r="F591" t="s">
        <v>51</v>
      </c>
      <c r="G591" t="s">
        <v>16</v>
      </c>
      <c r="H591" t="s">
        <v>18</v>
      </c>
      <c r="I591" t="s">
        <v>13</v>
      </c>
      <c r="J591">
        <v>1</v>
      </c>
    </row>
    <row r="592" spans="1:10" x14ac:dyDescent="0.3">
      <c r="A592" t="s">
        <v>14</v>
      </c>
      <c r="B592">
        <v>30</v>
      </c>
      <c r="C592">
        <v>1</v>
      </c>
      <c r="D592">
        <v>1</v>
      </c>
      <c r="E592">
        <v>1</v>
      </c>
      <c r="F592" t="s">
        <v>47</v>
      </c>
      <c r="G592" t="s">
        <v>11</v>
      </c>
      <c r="H592" t="s">
        <v>12</v>
      </c>
      <c r="I592" t="s">
        <v>13</v>
      </c>
      <c r="J592">
        <v>1</v>
      </c>
    </row>
    <row r="593" spans="1:10" x14ac:dyDescent="0.3">
      <c r="A593" t="s">
        <v>9</v>
      </c>
      <c r="B593">
        <v>20</v>
      </c>
      <c r="C593">
        <v>0</v>
      </c>
      <c r="D593">
        <v>0</v>
      </c>
      <c r="E593">
        <v>0</v>
      </c>
      <c r="F593" t="s">
        <v>15</v>
      </c>
      <c r="G593" t="s">
        <v>16</v>
      </c>
      <c r="H593" t="s">
        <v>12</v>
      </c>
      <c r="I593" t="s">
        <v>13</v>
      </c>
      <c r="J593">
        <v>0</v>
      </c>
    </row>
    <row r="594" spans="1:10" x14ac:dyDescent="0.3">
      <c r="A594" t="s">
        <v>14</v>
      </c>
      <c r="B594">
        <v>44</v>
      </c>
      <c r="C594">
        <v>1</v>
      </c>
      <c r="D594">
        <v>1</v>
      </c>
      <c r="E594">
        <v>0</v>
      </c>
      <c r="F594" t="s">
        <v>30</v>
      </c>
      <c r="G594" t="s">
        <v>11</v>
      </c>
      <c r="H594" t="s">
        <v>18</v>
      </c>
      <c r="I594" t="s">
        <v>13</v>
      </c>
      <c r="J594">
        <v>1</v>
      </c>
    </row>
    <row r="595" spans="1:10" x14ac:dyDescent="0.3">
      <c r="A595" t="s">
        <v>9</v>
      </c>
      <c r="B595">
        <v>57</v>
      </c>
      <c r="C595">
        <v>0</v>
      </c>
      <c r="D595">
        <v>0</v>
      </c>
      <c r="E595">
        <v>1</v>
      </c>
      <c r="F595" t="s">
        <v>43</v>
      </c>
      <c r="G595" t="s">
        <v>16</v>
      </c>
      <c r="H595" t="s">
        <v>12</v>
      </c>
      <c r="I595" t="s">
        <v>13</v>
      </c>
      <c r="J595">
        <v>0</v>
      </c>
    </row>
    <row r="596" spans="1:10" x14ac:dyDescent="0.3">
      <c r="A596" t="s">
        <v>14</v>
      </c>
      <c r="B596">
        <v>19</v>
      </c>
      <c r="C596">
        <v>1</v>
      </c>
      <c r="D596">
        <v>1</v>
      </c>
      <c r="E596">
        <v>1</v>
      </c>
      <c r="F596" t="s">
        <v>33</v>
      </c>
      <c r="G596" t="s">
        <v>11</v>
      </c>
      <c r="H596" t="s">
        <v>18</v>
      </c>
      <c r="I596" t="s">
        <v>13</v>
      </c>
      <c r="J596">
        <v>1</v>
      </c>
    </row>
    <row r="597" spans="1:10" x14ac:dyDescent="0.3">
      <c r="A597" t="s">
        <v>9</v>
      </c>
      <c r="B597">
        <v>34</v>
      </c>
      <c r="C597">
        <v>0</v>
      </c>
      <c r="D597">
        <v>0</v>
      </c>
      <c r="E597">
        <v>0</v>
      </c>
      <c r="F597" t="s">
        <v>41</v>
      </c>
      <c r="G597" t="s">
        <v>16</v>
      </c>
      <c r="H597" t="s">
        <v>18</v>
      </c>
      <c r="I597" t="s">
        <v>13</v>
      </c>
      <c r="J597">
        <v>0</v>
      </c>
    </row>
    <row r="598" spans="1:10" x14ac:dyDescent="0.3">
      <c r="A598" t="s">
        <v>9</v>
      </c>
      <c r="B598">
        <v>42</v>
      </c>
      <c r="C598">
        <v>1</v>
      </c>
      <c r="D598">
        <v>1</v>
      </c>
      <c r="E598">
        <v>1</v>
      </c>
      <c r="F598" t="s">
        <v>29</v>
      </c>
      <c r="G598" t="s">
        <v>11</v>
      </c>
      <c r="H598" t="s">
        <v>18</v>
      </c>
      <c r="I598" t="s">
        <v>13</v>
      </c>
      <c r="J598">
        <v>1</v>
      </c>
    </row>
    <row r="599" spans="1:10" x14ac:dyDescent="0.3">
      <c r="A599" t="s">
        <v>9</v>
      </c>
      <c r="B599">
        <v>48</v>
      </c>
      <c r="C599">
        <v>1</v>
      </c>
      <c r="D599">
        <v>1</v>
      </c>
      <c r="E599">
        <v>1</v>
      </c>
      <c r="F599" t="s">
        <v>48</v>
      </c>
      <c r="G599" t="s">
        <v>16</v>
      </c>
      <c r="H599" t="s">
        <v>18</v>
      </c>
      <c r="I599" t="s">
        <v>13</v>
      </c>
      <c r="J599">
        <v>1</v>
      </c>
    </row>
    <row r="600" spans="1:10" x14ac:dyDescent="0.3">
      <c r="A600" t="s">
        <v>14</v>
      </c>
      <c r="B600">
        <v>45</v>
      </c>
      <c r="C600">
        <v>1</v>
      </c>
      <c r="D600">
        <v>1</v>
      </c>
      <c r="E600">
        <v>1</v>
      </c>
      <c r="F600" t="s">
        <v>27</v>
      </c>
      <c r="G600" t="s">
        <v>11</v>
      </c>
      <c r="H600" t="s">
        <v>12</v>
      </c>
      <c r="I600" t="s">
        <v>13</v>
      </c>
      <c r="J600">
        <v>1</v>
      </c>
    </row>
    <row r="601" spans="1:10" x14ac:dyDescent="0.3">
      <c r="A601" t="s">
        <v>9</v>
      </c>
      <c r="B601">
        <v>48</v>
      </c>
      <c r="C601">
        <v>0</v>
      </c>
      <c r="D601">
        <v>0</v>
      </c>
      <c r="E601">
        <v>1</v>
      </c>
      <c r="F601" t="s">
        <v>44</v>
      </c>
      <c r="G601" t="s">
        <v>16</v>
      </c>
      <c r="H601" t="s">
        <v>23</v>
      </c>
      <c r="I601" t="s">
        <v>13</v>
      </c>
      <c r="J601">
        <v>0</v>
      </c>
    </row>
    <row r="602" spans="1:10" x14ac:dyDescent="0.3">
      <c r="A602" t="s">
        <v>9</v>
      </c>
      <c r="B602">
        <v>50</v>
      </c>
      <c r="C602">
        <v>1</v>
      </c>
      <c r="D602">
        <v>1</v>
      </c>
      <c r="E602">
        <v>0</v>
      </c>
      <c r="F602" t="s">
        <v>22</v>
      </c>
      <c r="G602" t="s">
        <v>11</v>
      </c>
      <c r="H602" t="s">
        <v>18</v>
      </c>
      <c r="I602" t="s">
        <v>13</v>
      </c>
      <c r="J602">
        <v>1</v>
      </c>
    </row>
    <row r="603" spans="1:10" x14ac:dyDescent="0.3">
      <c r="A603" t="s">
        <v>9</v>
      </c>
      <c r="B603">
        <v>37</v>
      </c>
      <c r="C603">
        <v>0</v>
      </c>
      <c r="D603">
        <v>0</v>
      </c>
      <c r="E603">
        <v>1</v>
      </c>
      <c r="F603" t="s">
        <v>24</v>
      </c>
      <c r="G603" t="s">
        <v>16</v>
      </c>
      <c r="H603" t="s">
        <v>12</v>
      </c>
      <c r="I603" t="s">
        <v>13</v>
      </c>
      <c r="J603">
        <v>0</v>
      </c>
    </row>
    <row r="604" spans="1:10" x14ac:dyDescent="0.3">
      <c r="A604" t="s">
        <v>9</v>
      </c>
      <c r="B604">
        <v>28</v>
      </c>
      <c r="C604">
        <v>1</v>
      </c>
      <c r="D604">
        <v>1</v>
      </c>
      <c r="E604">
        <v>0</v>
      </c>
      <c r="F604" t="s">
        <v>36</v>
      </c>
      <c r="G604" t="s">
        <v>11</v>
      </c>
      <c r="H604" t="s">
        <v>23</v>
      </c>
      <c r="I604" t="s">
        <v>13</v>
      </c>
      <c r="J604">
        <v>1</v>
      </c>
    </row>
    <row r="605" spans="1:10" x14ac:dyDescent="0.3">
      <c r="A605" t="s">
        <v>14</v>
      </c>
      <c r="B605">
        <v>51</v>
      </c>
      <c r="C605">
        <v>1</v>
      </c>
      <c r="D605">
        <v>1</v>
      </c>
      <c r="E605">
        <v>1</v>
      </c>
      <c r="F605" t="s">
        <v>39</v>
      </c>
      <c r="G605" t="s">
        <v>16</v>
      </c>
      <c r="H605" t="s">
        <v>18</v>
      </c>
      <c r="I605" t="s">
        <v>13</v>
      </c>
      <c r="J605">
        <v>1</v>
      </c>
    </row>
    <row r="606" spans="1:10" x14ac:dyDescent="0.3">
      <c r="A606" t="s">
        <v>9</v>
      </c>
      <c r="B606">
        <v>37</v>
      </c>
      <c r="C606">
        <v>1</v>
      </c>
      <c r="D606">
        <v>1</v>
      </c>
      <c r="E606">
        <v>1</v>
      </c>
      <c r="F606" t="s">
        <v>32</v>
      </c>
      <c r="G606" t="s">
        <v>11</v>
      </c>
      <c r="H606" t="s">
        <v>12</v>
      </c>
      <c r="I606" t="s">
        <v>13</v>
      </c>
      <c r="J606">
        <v>1</v>
      </c>
    </row>
    <row r="607" spans="1:10" x14ac:dyDescent="0.3">
      <c r="A607" t="s">
        <v>9</v>
      </c>
      <c r="B607">
        <v>12</v>
      </c>
      <c r="C607">
        <v>0</v>
      </c>
      <c r="D607">
        <v>0</v>
      </c>
      <c r="E607">
        <v>1</v>
      </c>
      <c r="F607" t="s">
        <v>25</v>
      </c>
      <c r="G607" t="s">
        <v>16</v>
      </c>
      <c r="H607" t="s">
        <v>12</v>
      </c>
      <c r="I607" t="s">
        <v>13</v>
      </c>
      <c r="J607">
        <v>0</v>
      </c>
    </row>
    <row r="608" spans="1:10" x14ac:dyDescent="0.3">
      <c r="A608" t="s">
        <v>14</v>
      </c>
      <c r="B608">
        <v>65</v>
      </c>
      <c r="C608">
        <v>1</v>
      </c>
      <c r="D608">
        <v>1</v>
      </c>
      <c r="E608">
        <v>0</v>
      </c>
      <c r="F608" t="s">
        <v>32</v>
      </c>
      <c r="G608" t="s">
        <v>11</v>
      </c>
      <c r="H608" t="s">
        <v>18</v>
      </c>
      <c r="I608" t="s">
        <v>13</v>
      </c>
      <c r="J608">
        <v>1</v>
      </c>
    </row>
    <row r="609" spans="1:10" x14ac:dyDescent="0.3">
      <c r="A609" t="s">
        <v>9</v>
      </c>
      <c r="B609">
        <v>44</v>
      </c>
      <c r="C609">
        <v>1</v>
      </c>
      <c r="D609">
        <v>1</v>
      </c>
      <c r="E609">
        <v>0</v>
      </c>
      <c r="F609" t="s">
        <v>26</v>
      </c>
      <c r="G609" t="s">
        <v>16</v>
      </c>
      <c r="H609" t="s">
        <v>12</v>
      </c>
      <c r="I609" t="s">
        <v>13</v>
      </c>
      <c r="J609">
        <v>1</v>
      </c>
    </row>
    <row r="610" spans="1:10" x14ac:dyDescent="0.3">
      <c r="A610" t="s">
        <v>14</v>
      </c>
      <c r="B610">
        <v>52</v>
      </c>
      <c r="C610">
        <v>1</v>
      </c>
      <c r="D610">
        <v>1</v>
      </c>
      <c r="E610">
        <v>0</v>
      </c>
      <c r="F610" t="s">
        <v>22</v>
      </c>
      <c r="G610" t="s">
        <v>11</v>
      </c>
      <c r="H610" t="s">
        <v>12</v>
      </c>
      <c r="I610" t="s">
        <v>13</v>
      </c>
      <c r="J610">
        <v>1</v>
      </c>
    </row>
    <row r="611" spans="1:10" x14ac:dyDescent="0.3">
      <c r="A611" t="s">
        <v>9</v>
      </c>
      <c r="B611">
        <v>10</v>
      </c>
      <c r="C611">
        <v>1</v>
      </c>
      <c r="D611">
        <v>1</v>
      </c>
      <c r="E611">
        <v>1</v>
      </c>
      <c r="F611" t="s">
        <v>43</v>
      </c>
      <c r="G611" t="s">
        <v>16</v>
      </c>
      <c r="H611" t="s">
        <v>23</v>
      </c>
      <c r="I611" t="s">
        <v>13</v>
      </c>
      <c r="J611">
        <v>1</v>
      </c>
    </row>
    <row r="612" spans="1:10" x14ac:dyDescent="0.3">
      <c r="A612" t="s">
        <v>14</v>
      </c>
      <c r="B612">
        <v>16</v>
      </c>
      <c r="C612">
        <v>1</v>
      </c>
      <c r="D612">
        <v>1</v>
      </c>
      <c r="E612">
        <v>0</v>
      </c>
      <c r="F612" t="s">
        <v>39</v>
      </c>
      <c r="G612" t="s">
        <v>11</v>
      </c>
      <c r="H612" t="s">
        <v>12</v>
      </c>
      <c r="I612" t="s">
        <v>13</v>
      </c>
      <c r="J612">
        <v>1</v>
      </c>
    </row>
    <row r="613" spans="1:10" x14ac:dyDescent="0.3">
      <c r="A613" t="s">
        <v>9</v>
      </c>
      <c r="B613">
        <v>17</v>
      </c>
      <c r="C613">
        <v>1</v>
      </c>
      <c r="D613">
        <v>1</v>
      </c>
      <c r="E613">
        <v>0</v>
      </c>
      <c r="F613" t="s">
        <v>37</v>
      </c>
      <c r="G613" t="s">
        <v>16</v>
      </c>
      <c r="H613" t="s">
        <v>18</v>
      </c>
      <c r="I613" t="s">
        <v>13</v>
      </c>
      <c r="J613">
        <v>1</v>
      </c>
    </row>
    <row r="614" spans="1:10" x14ac:dyDescent="0.3">
      <c r="A614" t="s">
        <v>9</v>
      </c>
      <c r="B614">
        <v>63</v>
      </c>
      <c r="C614">
        <v>0</v>
      </c>
      <c r="D614">
        <v>0</v>
      </c>
      <c r="E614">
        <v>1</v>
      </c>
      <c r="F614" t="s">
        <v>42</v>
      </c>
      <c r="G614" t="s">
        <v>11</v>
      </c>
      <c r="H614" t="s">
        <v>18</v>
      </c>
      <c r="I614" t="s">
        <v>13</v>
      </c>
      <c r="J614">
        <v>0</v>
      </c>
    </row>
    <row r="615" spans="1:10" x14ac:dyDescent="0.3">
      <c r="A615" t="s">
        <v>9</v>
      </c>
      <c r="B615">
        <v>29</v>
      </c>
      <c r="C615">
        <v>1</v>
      </c>
      <c r="D615">
        <v>1</v>
      </c>
      <c r="E615">
        <v>1</v>
      </c>
      <c r="F615" t="s">
        <v>10</v>
      </c>
      <c r="G615" t="s">
        <v>16</v>
      </c>
      <c r="H615" t="s">
        <v>18</v>
      </c>
      <c r="I615" t="s">
        <v>13</v>
      </c>
      <c r="J615">
        <v>1</v>
      </c>
    </row>
    <row r="616" spans="1:10" x14ac:dyDescent="0.3">
      <c r="A616" t="s">
        <v>14</v>
      </c>
      <c r="B616">
        <v>62</v>
      </c>
      <c r="C616">
        <v>0</v>
      </c>
      <c r="D616">
        <v>0</v>
      </c>
      <c r="E616">
        <v>1</v>
      </c>
      <c r="F616" t="s">
        <v>36</v>
      </c>
      <c r="G616" t="s">
        <v>11</v>
      </c>
      <c r="H616" t="s">
        <v>12</v>
      </c>
      <c r="I616" t="s">
        <v>13</v>
      </c>
      <c r="J616">
        <v>0</v>
      </c>
    </row>
    <row r="617" spans="1:10" x14ac:dyDescent="0.3">
      <c r="A617" t="s">
        <v>9</v>
      </c>
      <c r="B617">
        <v>16</v>
      </c>
      <c r="C617">
        <v>0</v>
      </c>
      <c r="D617">
        <v>0</v>
      </c>
      <c r="E617">
        <v>0</v>
      </c>
      <c r="F617" t="s">
        <v>24</v>
      </c>
      <c r="G617" t="s">
        <v>16</v>
      </c>
      <c r="H617" t="s">
        <v>23</v>
      </c>
      <c r="I617" t="s">
        <v>13</v>
      </c>
      <c r="J617">
        <v>0</v>
      </c>
    </row>
    <row r="618" spans="1:10" x14ac:dyDescent="0.3">
      <c r="A618" t="s">
        <v>14</v>
      </c>
      <c r="B618">
        <v>8</v>
      </c>
      <c r="C618">
        <v>0</v>
      </c>
      <c r="D618">
        <v>0</v>
      </c>
      <c r="E618">
        <v>0</v>
      </c>
      <c r="F618" t="s">
        <v>20</v>
      </c>
      <c r="G618" t="s">
        <v>11</v>
      </c>
      <c r="H618" t="s">
        <v>12</v>
      </c>
      <c r="I618" t="s">
        <v>13</v>
      </c>
      <c r="J618">
        <v>0</v>
      </c>
    </row>
    <row r="619" spans="1:10" x14ac:dyDescent="0.3">
      <c r="A619" t="s">
        <v>9</v>
      </c>
      <c r="B619">
        <v>10</v>
      </c>
      <c r="C619">
        <v>1</v>
      </c>
      <c r="D619">
        <v>1</v>
      </c>
      <c r="E619">
        <v>0</v>
      </c>
      <c r="F619" t="s">
        <v>50</v>
      </c>
      <c r="G619" t="s">
        <v>16</v>
      </c>
      <c r="H619" t="s">
        <v>23</v>
      </c>
      <c r="I619" t="s">
        <v>13</v>
      </c>
      <c r="J619">
        <v>1</v>
      </c>
    </row>
    <row r="620" spans="1:10" x14ac:dyDescent="0.3">
      <c r="A620" t="s">
        <v>9</v>
      </c>
      <c r="B620">
        <v>40</v>
      </c>
      <c r="C620">
        <v>1</v>
      </c>
      <c r="D620">
        <v>1</v>
      </c>
      <c r="E620">
        <v>0</v>
      </c>
      <c r="F620" t="s">
        <v>30</v>
      </c>
      <c r="G620" t="s">
        <v>11</v>
      </c>
      <c r="H620" t="s">
        <v>23</v>
      </c>
      <c r="I620" t="s">
        <v>13</v>
      </c>
      <c r="J620">
        <v>1</v>
      </c>
    </row>
    <row r="621" spans="1:10" x14ac:dyDescent="0.3">
      <c r="A621" t="s">
        <v>9</v>
      </c>
      <c r="B621">
        <v>51</v>
      </c>
      <c r="C621">
        <v>0</v>
      </c>
      <c r="D621">
        <v>0</v>
      </c>
      <c r="E621">
        <v>1</v>
      </c>
      <c r="F621" t="s">
        <v>15</v>
      </c>
      <c r="G621" t="s">
        <v>16</v>
      </c>
      <c r="H621" t="s">
        <v>18</v>
      </c>
      <c r="I621" t="s">
        <v>13</v>
      </c>
      <c r="J621">
        <v>0</v>
      </c>
    </row>
    <row r="622" spans="1:10" x14ac:dyDescent="0.3">
      <c r="A622" t="s">
        <v>9</v>
      </c>
      <c r="B622">
        <v>40</v>
      </c>
      <c r="C622">
        <v>1</v>
      </c>
      <c r="D622">
        <v>1</v>
      </c>
      <c r="E622">
        <v>1</v>
      </c>
      <c r="F622" t="s">
        <v>43</v>
      </c>
      <c r="G622" t="s">
        <v>11</v>
      </c>
      <c r="H622" t="s">
        <v>12</v>
      </c>
      <c r="I622" t="s">
        <v>13</v>
      </c>
      <c r="J622">
        <v>1</v>
      </c>
    </row>
    <row r="623" spans="1:10" x14ac:dyDescent="0.3">
      <c r="A623" t="s">
        <v>9</v>
      </c>
      <c r="B623">
        <v>50</v>
      </c>
      <c r="C623">
        <v>0</v>
      </c>
      <c r="D623">
        <v>0</v>
      </c>
      <c r="E623">
        <v>0</v>
      </c>
      <c r="F623" t="s">
        <v>24</v>
      </c>
      <c r="G623" t="s">
        <v>16</v>
      </c>
      <c r="H623" t="s">
        <v>18</v>
      </c>
      <c r="I623" t="s">
        <v>13</v>
      </c>
      <c r="J623">
        <v>0</v>
      </c>
    </row>
    <row r="624" spans="1:10" x14ac:dyDescent="0.3">
      <c r="A624" t="s">
        <v>14</v>
      </c>
      <c r="B624">
        <v>20</v>
      </c>
      <c r="C624">
        <v>1</v>
      </c>
      <c r="D624">
        <v>1</v>
      </c>
      <c r="E624">
        <v>1</v>
      </c>
      <c r="F624" t="s">
        <v>10</v>
      </c>
      <c r="G624" t="s">
        <v>11</v>
      </c>
      <c r="H624" t="s">
        <v>23</v>
      </c>
      <c r="I624" t="s">
        <v>13</v>
      </c>
      <c r="J624">
        <v>1</v>
      </c>
    </row>
    <row r="625" spans="1:10" x14ac:dyDescent="0.3">
      <c r="A625" t="s">
        <v>9</v>
      </c>
      <c r="B625">
        <v>27</v>
      </c>
      <c r="C625">
        <v>0</v>
      </c>
      <c r="D625">
        <v>0</v>
      </c>
      <c r="E625">
        <v>0</v>
      </c>
      <c r="F625" t="s">
        <v>20</v>
      </c>
      <c r="G625" t="s">
        <v>16</v>
      </c>
      <c r="H625" t="s">
        <v>18</v>
      </c>
      <c r="I625" t="s">
        <v>13</v>
      </c>
      <c r="J625">
        <v>0</v>
      </c>
    </row>
    <row r="626" spans="1:10" x14ac:dyDescent="0.3">
      <c r="A626" t="s">
        <v>9</v>
      </c>
      <c r="B626">
        <v>65</v>
      </c>
      <c r="C626">
        <v>0</v>
      </c>
      <c r="D626">
        <v>0</v>
      </c>
      <c r="E626">
        <v>0</v>
      </c>
      <c r="F626" t="s">
        <v>19</v>
      </c>
      <c r="G626" t="s">
        <v>11</v>
      </c>
      <c r="H626" t="s">
        <v>23</v>
      </c>
      <c r="I626" t="s">
        <v>13</v>
      </c>
      <c r="J626">
        <v>0</v>
      </c>
    </row>
    <row r="627" spans="1:10" x14ac:dyDescent="0.3">
      <c r="A627" t="s">
        <v>9</v>
      </c>
      <c r="B627">
        <v>10</v>
      </c>
      <c r="C627">
        <v>1</v>
      </c>
      <c r="D627">
        <v>1</v>
      </c>
      <c r="E627">
        <v>1</v>
      </c>
      <c r="F627" t="s">
        <v>49</v>
      </c>
      <c r="G627" t="s">
        <v>16</v>
      </c>
      <c r="H627" t="s">
        <v>23</v>
      </c>
      <c r="I627" t="s">
        <v>13</v>
      </c>
      <c r="J627">
        <v>1</v>
      </c>
    </row>
    <row r="628" spans="1:10" x14ac:dyDescent="0.3">
      <c r="A628" t="s">
        <v>9</v>
      </c>
      <c r="B628">
        <v>33</v>
      </c>
      <c r="C628">
        <v>1</v>
      </c>
      <c r="D628">
        <v>1</v>
      </c>
      <c r="E628">
        <v>1</v>
      </c>
      <c r="F628" t="s">
        <v>19</v>
      </c>
      <c r="G628" t="s">
        <v>11</v>
      </c>
      <c r="H628" t="s">
        <v>23</v>
      </c>
      <c r="I628" t="s">
        <v>13</v>
      </c>
      <c r="J628">
        <v>1</v>
      </c>
    </row>
    <row r="629" spans="1:10" x14ac:dyDescent="0.3">
      <c r="A629" t="s">
        <v>14</v>
      </c>
      <c r="B629">
        <v>20</v>
      </c>
      <c r="C629">
        <v>1</v>
      </c>
      <c r="D629">
        <v>1</v>
      </c>
      <c r="E629">
        <v>1</v>
      </c>
      <c r="F629" t="s">
        <v>19</v>
      </c>
      <c r="G629" t="s">
        <v>16</v>
      </c>
      <c r="H629" t="s">
        <v>23</v>
      </c>
      <c r="I629" t="s">
        <v>13</v>
      </c>
      <c r="J629">
        <v>1</v>
      </c>
    </row>
    <row r="630" spans="1:10" x14ac:dyDescent="0.3">
      <c r="A630" t="s">
        <v>9</v>
      </c>
      <c r="B630">
        <v>44</v>
      </c>
      <c r="C630">
        <v>1</v>
      </c>
      <c r="D630">
        <v>1</v>
      </c>
      <c r="E630">
        <v>1</v>
      </c>
      <c r="F630" t="s">
        <v>24</v>
      </c>
      <c r="G630" t="s">
        <v>11</v>
      </c>
      <c r="H630" t="s">
        <v>12</v>
      </c>
      <c r="I630" t="s">
        <v>13</v>
      </c>
      <c r="J630">
        <v>1</v>
      </c>
    </row>
    <row r="631" spans="1:10" x14ac:dyDescent="0.3">
      <c r="A631" t="s">
        <v>14</v>
      </c>
      <c r="B631">
        <v>62</v>
      </c>
      <c r="C631">
        <v>0</v>
      </c>
      <c r="D631">
        <v>0</v>
      </c>
      <c r="E631">
        <v>0</v>
      </c>
      <c r="F631" t="s">
        <v>24</v>
      </c>
      <c r="G631" t="s">
        <v>16</v>
      </c>
      <c r="H631" t="s">
        <v>12</v>
      </c>
      <c r="I631" t="s">
        <v>13</v>
      </c>
      <c r="J631">
        <v>0</v>
      </c>
    </row>
    <row r="632" spans="1:10" x14ac:dyDescent="0.3">
      <c r="A632" t="s">
        <v>14</v>
      </c>
      <c r="B632">
        <v>62</v>
      </c>
      <c r="C632">
        <v>1</v>
      </c>
      <c r="D632">
        <v>1</v>
      </c>
      <c r="E632">
        <v>0</v>
      </c>
      <c r="F632" t="s">
        <v>49</v>
      </c>
      <c r="G632" t="s">
        <v>11</v>
      </c>
      <c r="H632" t="s">
        <v>18</v>
      </c>
      <c r="I632" t="s">
        <v>13</v>
      </c>
      <c r="J632">
        <v>1</v>
      </c>
    </row>
    <row r="633" spans="1:10" x14ac:dyDescent="0.3">
      <c r="A633" t="s">
        <v>14</v>
      </c>
      <c r="B633">
        <v>54</v>
      </c>
      <c r="C633">
        <v>1</v>
      </c>
      <c r="D633">
        <v>1</v>
      </c>
      <c r="E633">
        <v>1</v>
      </c>
      <c r="F633" t="s">
        <v>37</v>
      </c>
      <c r="G633" t="s">
        <v>16</v>
      </c>
      <c r="H633" t="s">
        <v>12</v>
      </c>
      <c r="I633" t="s">
        <v>13</v>
      </c>
      <c r="J633">
        <v>1</v>
      </c>
    </row>
    <row r="634" spans="1:10" x14ac:dyDescent="0.3">
      <c r="A634" t="s">
        <v>14</v>
      </c>
      <c r="B634">
        <v>62</v>
      </c>
      <c r="C634">
        <v>0</v>
      </c>
      <c r="D634">
        <v>0</v>
      </c>
      <c r="E634">
        <v>1</v>
      </c>
      <c r="F634" t="s">
        <v>17</v>
      </c>
      <c r="G634" t="s">
        <v>11</v>
      </c>
      <c r="H634" t="s">
        <v>23</v>
      </c>
      <c r="I634" t="s">
        <v>13</v>
      </c>
      <c r="J634">
        <v>0</v>
      </c>
    </row>
    <row r="635" spans="1:10" x14ac:dyDescent="0.3">
      <c r="A635" t="s">
        <v>14</v>
      </c>
      <c r="B635">
        <v>58</v>
      </c>
      <c r="C635">
        <v>1</v>
      </c>
      <c r="D635">
        <v>1</v>
      </c>
      <c r="E635">
        <v>0</v>
      </c>
      <c r="F635" t="s">
        <v>24</v>
      </c>
      <c r="G635" t="s">
        <v>16</v>
      </c>
      <c r="H635" t="s">
        <v>12</v>
      </c>
      <c r="I635" t="s">
        <v>13</v>
      </c>
      <c r="J635">
        <v>1</v>
      </c>
    </row>
    <row r="636" spans="1:10" x14ac:dyDescent="0.3">
      <c r="A636" t="s">
        <v>14</v>
      </c>
      <c r="B636">
        <v>10</v>
      </c>
      <c r="C636">
        <v>1</v>
      </c>
      <c r="D636">
        <v>1</v>
      </c>
      <c r="E636">
        <v>1</v>
      </c>
      <c r="F636" t="s">
        <v>25</v>
      </c>
      <c r="G636" t="s">
        <v>11</v>
      </c>
      <c r="H636" t="s">
        <v>18</v>
      </c>
      <c r="I636" t="s">
        <v>13</v>
      </c>
      <c r="J636">
        <v>1</v>
      </c>
    </row>
    <row r="637" spans="1:10" x14ac:dyDescent="0.3">
      <c r="A637" t="s">
        <v>9</v>
      </c>
      <c r="B637">
        <v>47</v>
      </c>
      <c r="C637">
        <v>0</v>
      </c>
      <c r="D637">
        <v>0</v>
      </c>
      <c r="E637">
        <v>1</v>
      </c>
      <c r="F637" t="s">
        <v>38</v>
      </c>
      <c r="G637" t="s">
        <v>16</v>
      </c>
      <c r="H637" t="s">
        <v>12</v>
      </c>
      <c r="I637" t="s">
        <v>13</v>
      </c>
      <c r="J637">
        <v>0</v>
      </c>
    </row>
    <row r="638" spans="1:10" x14ac:dyDescent="0.3">
      <c r="A638" t="s">
        <v>9</v>
      </c>
      <c r="B638">
        <v>20</v>
      </c>
      <c r="C638">
        <v>0</v>
      </c>
      <c r="D638">
        <v>0</v>
      </c>
      <c r="E638">
        <v>1</v>
      </c>
      <c r="F638" t="s">
        <v>35</v>
      </c>
      <c r="G638" t="s">
        <v>11</v>
      </c>
      <c r="H638" t="s">
        <v>23</v>
      </c>
      <c r="I638" t="s">
        <v>13</v>
      </c>
      <c r="J638">
        <v>0</v>
      </c>
    </row>
    <row r="639" spans="1:10" x14ac:dyDescent="0.3">
      <c r="A639" t="s">
        <v>14</v>
      </c>
      <c r="B639">
        <v>60</v>
      </c>
      <c r="C639">
        <v>0</v>
      </c>
      <c r="D639">
        <v>0</v>
      </c>
      <c r="E639">
        <v>1</v>
      </c>
      <c r="F639" t="s">
        <v>35</v>
      </c>
      <c r="G639" t="s">
        <v>16</v>
      </c>
      <c r="H639" t="s">
        <v>12</v>
      </c>
      <c r="I639" t="s">
        <v>13</v>
      </c>
      <c r="J639">
        <v>0</v>
      </c>
    </row>
    <row r="640" spans="1:10" x14ac:dyDescent="0.3">
      <c r="A640" t="s">
        <v>9</v>
      </c>
      <c r="B640">
        <v>28</v>
      </c>
      <c r="C640">
        <v>0</v>
      </c>
      <c r="D640">
        <v>0</v>
      </c>
      <c r="E640">
        <v>0</v>
      </c>
      <c r="F640" t="s">
        <v>48</v>
      </c>
      <c r="G640" t="s">
        <v>11</v>
      </c>
      <c r="H640" t="s">
        <v>23</v>
      </c>
      <c r="I640" t="s">
        <v>13</v>
      </c>
      <c r="J640">
        <v>0</v>
      </c>
    </row>
    <row r="641" spans="1:10" x14ac:dyDescent="0.3">
      <c r="A641" t="s">
        <v>9</v>
      </c>
      <c r="B641">
        <v>21</v>
      </c>
      <c r="C641">
        <v>1</v>
      </c>
      <c r="D641">
        <v>1</v>
      </c>
      <c r="E641">
        <v>1</v>
      </c>
      <c r="F641" t="s">
        <v>51</v>
      </c>
      <c r="G641" t="s">
        <v>16</v>
      </c>
      <c r="H641" t="s">
        <v>12</v>
      </c>
      <c r="I641" t="s">
        <v>13</v>
      </c>
      <c r="J641">
        <v>1</v>
      </c>
    </row>
    <row r="642" spans="1:10" x14ac:dyDescent="0.3">
      <c r="A642" t="s">
        <v>9</v>
      </c>
      <c r="B642">
        <v>48</v>
      </c>
      <c r="C642">
        <v>1</v>
      </c>
      <c r="D642">
        <v>1</v>
      </c>
      <c r="E642">
        <v>1</v>
      </c>
      <c r="F642" t="s">
        <v>52</v>
      </c>
      <c r="G642" t="s">
        <v>11</v>
      </c>
      <c r="H642" t="s">
        <v>18</v>
      </c>
      <c r="I642" t="s">
        <v>13</v>
      </c>
      <c r="J642">
        <v>1</v>
      </c>
    </row>
    <row r="643" spans="1:10" x14ac:dyDescent="0.3">
      <c r="A643" t="s">
        <v>14</v>
      </c>
      <c r="B643">
        <v>45</v>
      </c>
      <c r="C643">
        <v>0</v>
      </c>
      <c r="D643">
        <v>0</v>
      </c>
      <c r="E643">
        <v>0</v>
      </c>
      <c r="F643" t="s">
        <v>34</v>
      </c>
      <c r="G643" t="s">
        <v>16</v>
      </c>
      <c r="H643" t="s">
        <v>18</v>
      </c>
      <c r="I643" t="s">
        <v>13</v>
      </c>
      <c r="J643">
        <v>0</v>
      </c>
    </row>
    <row r="644" spans="1:10" x14ac:dyDescent="0.3">
      <c r="A644" t="s">
        <v>14</v>
      </c>
      <c r="B644">
        <v>23</v>
      </c>
      <c r="C644">
        <v>1</v>
      </c>
      <c r="D644">
        <v>1</v>
      </c>
      <c r="E644">
        <v>0</v>
      </c>
      <c r="F644" t="s">
        <v>47</v>
      </c>
      <c r="G644" t="s">
        <v>11</v>
      </c>
      <c r="H644" t="s">
        <v>12</v>
      </c>
      <c r="I644" t="s">
        <v>13</v>
      </c>
      <c r="J644">
        <v>1</v>
      </c>
    </row>
    <row r="645" spans="1:10" x14ac:dyDescent="0.3">
      <c r="A645" t="s">
        <v>9</v>
      </c>
      <c r="B645">
        <v>52</v>
      </c>
      <c r="C645">
        <v>0</v>
      </c>
      <c r="D645">
        <v>0</v>
      </c>
      <c r="E645">
        <v>0</v>
      </c>
      <c r="F645" t="s">
        <v>34</v>
      </c>
      <c r="G645" t="s">
        <v>16</v>
      </c>
      <c r="H645" t="s">
        <v>23</v>
      </c>
      <c r="I645" t="s">
        <v>13</v>
      </c>
      <c r="J645">
        <v>0</v>
      </c>
    </row>
    <row r="646" spans="1:10" x14ac:dyDescent="0.3">
      <c r="A646" t="s">
        <v>14</v>
      </c>
      <c r="B646">
        <v>28</v>
      </c>
      <c r="C646">
        <v>1</v>
      </c>
      <c r="D646">
        <v>1</v>
      </c>
      <c r="E646">
        <v>1</v>
      </c>
      <c r="F646" t="s">
        <v>51</v>
      </c>
      <c r="G646" t="s">
        <v>11</v>
      </c>
      <c r="H646" t="s">
        <v>12</v>
      </c>
      <c r="I646" t="s">
        <v>13</v>
      </c>
      <c r="J646">
        <v>1</v>
      </c>
    </row>
    <row r="647" spans="1:10" x14ac:dyDescent="0.3">
      <c r="A647" t="s">
        <v>14</v>
      </c>
      <c r="B647">
        <v>19</v>
      </c>
      <c r="C647">
        <v>0</v>
      </c>
      <c r="D647">
        <v>0</v>
      </c>
      <c r="E647">
        <v>0</v>
      </c>
      <c r="F647" t="s">
        <v>30</v>
      </c>
      <c r="G647" t="s">
        <v>16</v>
      </c>
      <c r="H647" t="s">
        <v>18</v>
      </c>
      <c r="I647" t="s">
        <v>13</v>
      </c>
      <c r="J647">
        <v>0</v>
      </c>
    </row>
    <row r="648" spans="1:10" x14ac:dyDescent="0.3">
      <c r="A648" t="s">
        <v>14</v>
      </c>
      <c r="B648">
        <v>46</v>
      </c>
      <c r="C648">
        <v>1</v>
      </c>
      <c r="D648">
        <v>1</v>
      </c>
      <c r="E648">
        <v>1</v>
      </c>
      <c r="F648" t="s">
        <v>33</v>
      </c>
      <c r="G648" t="s">
        <v>11</v>
      </c>
      <c r="H648" t="s">
        <v>12</v>
      </c>
      <c r="I648" t="s">
        <v>13</v>
      </c>
      <c r="J648">
        <v>1</v>
      </c>
    </row>
    <row r="649" spans="1:10" x14ac:dyDescent="0.3">
      <c r="A649" t="s">
        <v>9</v>
      </c>
      <c r="B649">
        <v>61</v>
      </c>
      <c r="C649">
        <v>0</v>
      </c>
      <c r="D649">
        <v>0</v>
      </c>
      <c r="E649">
        <v>0</v>
      </c>
      <c r="F649" t="s">
        <v>20</v>
      </c>
      <c r="G649" t="s">
        <v>16</v>
      </c>
      <c r="H649" t="s">
        <v>23</v>
      </c>
      <c r="I649" t="s">
        <v>13</v>
      </c>
      <c r="J649">
        <v>0</v>
      </c>
    </row>
    <row r="650" spans="1:10" x14ac:dyDescent="0.3">
      <c r="A650" t="s">
        <v>9</v>
      </c>
      <c r="B650">
        <v>32</v>
      </c>
      <c r="C650">
        <v>0</v>
      </c>
      <c r="D650">
        <v>0</v>
      </c>
      <c r="E650">
        <v>0</v>
      </c>
      <c r="F650" t="s">
        <v>17</v>
      </c>
      <c r="G650" t="s">
        <v>11</v>
      </c>
      <c r="H650" t="s">
        <v>12</v>
      </c>
      <c r="I650" t="s">
        <v>13</v>
      </c>
      <c r="J650">
        <v>0</v>
      </c>
    </row>
    <row r="651" spans="1:10" x14ac:dyDescent="0.3">
      <c r="A651" t="s">
        <v>14</v>
      </c>
      <c r="B651">
        <v>10</v>
      </c>
      <c r="C651">
        <v>1</v>
      </c>
      <c r="D651">
        <v>1</v>
      </c>
      <c r="E651">
        <v>1</v>
      </c>
      <c r="F651" t="s">
        <v>33</v>
      </c>
      <c r="G651" t="s">
        <v>16</v>
      </c>
      <c r="H651" t="s">
        <v>18</v>
      </c>
      <c r="I651" t="s">
        <v>13</v>
      </c>
      <c r="J651">
        <v>1</v>
      </c>
    </row>
    <row r="652" spans="1:10" x14ac:dyDescent="0.3">
      <c r="A652" t="s">
        <v>14</v>
      </c>
      <c r="B652">
        <v>27</v>
      </c>
      <c r="C652">
        <v>1</v>
      </c>
      <c r="D652">
        <v>1</v>
      </c>
      <c r="E652">
        <v>1</v>
      </c>
      <c r="F652" t="s">
        <v>22</v>
      </c>
      <c r="G652" t="s">
        <v>11</v>
      </c>
      <c r="H652" t="s">
        <v>18</v>
      </c>
      <c r="I652" t="s">
        <v>13</v>
      </c>
      <c r="J652">
        <v>1</v>
      </c>
    </row>
    <row r="653" spans="1:10" x14ac:dyDescent="0.3">
      <c r="A653" t="s">
        <v>9</v>
      </c>
      <c r="B653">
        <v>56</v>
      </c>
      <c r="C653">
        <v>0</v>
      </c>
      <c r="D653">
        <v>0</v>
      </c>
      <c r="E653">
        <v>0</v>
      </c>
      <c r="F653" t="s">
        <v>26</v>
      </c>
      <c r="G653" t="s">
        <v>16</v>
      </c>
      <c r="H653" t="s">
        <v>12</v>
      </c>
      <c r="I653" t="s">
        <v>13</v>
      </c>
      <c r="J653">
        <v>0</v>
      </c>
    </row>
    <row r="654" spans="1:10" x14ac:dyDescent="0.3">
      <c r="A654" t="s">
        <v>14</v>
      </c>
      <c r="B654">
        <v>26</v>
      </c>
      <c r="C654">
        <v>0</v>
      </c>
      <c r="D654">
        <v>0</v>
      </c>
      <c r="E654">
        <v>0</v>
      </c>
      <c r="F654" t="s">
        <v>41</v>
      </c>
      <c r="G654" t="s">
        <v>11</v>
      </c>
      <c r="H654" t="s">
        <v>12</v>
      </c>
      <c r="I654" t="s">
        <v>13</v>
      </c>
      <c r="J654">
        <v>0</v>
      </c>
    </row>
    <row r="655" spans="1:10" x14ac:dyDescent="0.3">
      <c r="A655" t="s">
        <v>14</v>
      </c>
      <c r="B655">
        <v>15</v>
      </c>
      <c r="C655">
        <v>1</v>
      </c>
      <c r="D655">
        <v>1</v>
      </c>
      <c r="E655">
        <v>0</v>
      </c>
      <c r="F655" t="s">
        <v>20</v>
      </c>
      <c r="G655" t="s">
        <v>16</v>
      </c>
      <c r="H655" t="s">
        <v>18</v>
      </c>
      <c r="I655" t="s">
        <v>13</v>
      </c>
      <c r="J655">
        <v>1</v>
      </c>
    </row>
    <row r="656" spans="1:10" x14ac:dyDescent="0.3">
      <c r="A656" t="s">
        <v>9</v>
      </c>
      <c r="B656">
        <v>10</v>
      </c>
      <c r="C656">
        <v>1</v>
      </c>
      <c r="D656">
        <v>1</v>
      </c>
      <c r="E656">
        <v>1</v>
      </c>
      <c r="F656" t="s">
        <v>20</v>
      </c>
      <c r="G656" t="s">
        <v>11</v>
      </c>
      <c r="H656" t="s">
        <v>18</v>
      </c>
      <c r="I656" t="s">
        <v>13</v>
      </c>
      <c r="J656">
        <v>1</v>
      </c>
    </row>
    <row r="657" spans="1:10" x14ac:dyDescent="0.3">
      <c r="A657" t="s">
        <v>14</v>
      </c>
      <c r="B657">
        <v>24</v>
      </c>
      <c r="C657">
        <v>1</v>
      </c>
      <c r="D657">
        <v>1</v>
      </c>
      <c r="E657">
        <v>1</v>
      </c>
      <c r="F657" t="s">
        <v>33</v>
      </c>
      <c r="G657" t="s">
        <v>16</v>
      </c>
      <c r="H657" t="s">
        <v>23</v>
      </c>
      <c r="I657" t="s">
        <v>13</v>
      </c>
      <c r="J657">
        <v>1</v>
      </c>
    </row>
    <row r="658" spans="1:10" x14ac:dyDescent="0.3">
      <c r="A658" t="s">
        <v>9</v>
      </c>
      <c r="B658">
        <v>51</v>
      </c>
      <c r="C658">
        <v>0</v>
      </c>
      <c r="D658">
        <v>0</v>
      </c>
      <c r="E658">
        <v>1</v>
      </c>
      <c r="F658" t="s">
        <v>45</v>
      </c>
      <c r="G658" t="s">
        <v>11</v>
      </c>
      <c r="H658" t="s">
        <v>23</v>
      </c>
      <c r="I658" t="s">
        <v>13</v>
      </c>
      <c r="J658">
        <v>0</v>
      </c>
    </row>
    <row r="659" spans="1:10" x14ac:dyDescent="0.3">
      <c r="A659" t="s">
        <v>9</v>
      </c>
      <c r="B659">
        <v>41</v>
      </c>
      <c r="C659">
        <v>0</v>
      </c>
      <c r="D659">
        <v>0</v>
      </c>
      <c r="E659">
        <v>1</v>
      </c>
      <c r="F659" t="s">
        <v>17</v>
      </c>
      <c r="G659" t="s">
        <v>16</v>
      </c>
      <c r="H659" t="s">
        <v>18</v>
      </c>
      <c r="I659" t="s">
        <v>13</v>
      </c>
      <c r="J659">
        <v>0</v>
      </c>
    </row>
    <row r="660" spans="1:10" x14ac:dyDescent="0.3">
      <c r="A660" t="s">
        <v>14</v>
      </c>
      <c r="B660">
        <v>65</v>
      </c>
      <c r="C660">
        <v>1</v>
      </c>
      <c r="D660">
        <v>1</v>
      </c>
      <c r="E660">
        <v>0</v>
      </c>
      <c r="F660" t="s">
        <v>45</v>
      </c>
      <c r="G660" t="s">
        <v>11</v>
      </c>
      <c r="H660" t="s">
        <v>12</v>
      </c>
      <c r="I660" t="s">
        <v>13</v>
      </c>
      <c r="J660">
        <v>1</v>
      </c>
    </row>
    <row r="661" spans="1:10" x14ac:dyDescent="0.3">
      <c r="A661" t="s">
        <v>9</v>
      </c>
      <c r="B661">
        <v>51</v>
      </c>
      <c r="C661">
        <v>0</v>
      </c>
      <c r="D661">
        <v>0</v>
      </c>
      <c r="E661">
        <v>1</v>
      </c>
      <c r="F661" t="s">
        <v>21</v>
      </c>
      <c r="G661" t="s">
        <v>16</v>
      </c>
      <c r="H661" t="s">
        <v>12</v>
      </c>
      <c r="I661" t="s">
        <v>13</v>
      </c>
      <c r="J661">
        <v>0</v>
      </c>
    </row>
    <row r="662" spans="1:10" x14ac:dyDescent="0.3">
      <c r="A662" t="s">
        <v>14</v>
      </c>
      <c r="B662">
        <v>18</v>
      </c>
      <c r="C662">
        <v>0</v>
      </c>
      <c r="D662">
        <v>0</v>
      </c>
      <c r="E662">
        <v>0</v>
      </c>
      <c r="F662" t="s">
        <v>22</v>
      </c>
      <c r="G662" t="s">
        <v>11</v>
      </c>
      <c r="H662" t="s">
        <v>12</v>
      </c>
      <c r="I662" t="s">
        <v>13</v>
      </c>
      <c r="J662">
        <v>0</v>
      </c>
    </row>
    <row r="663" spans="1:10" x14ac:dyDescent="0.3">
      <c r="A663" t="s">
        <v>14</v>
      </c>
      <c r="B663">
        <v>31</v>
      </c>
      <c r="C663">
        <v>0</v>
      </c>
      <c r="D663">
        <v>0</v>
      </c>
      <c r="E663">
        <v>1</v>
      </c>
      <c r="F663" t="s">
        <v>41</v>
      </c>
      <c r="G663" t="s">
        <v>16</v>
      </c>
      <c r="H663" t="s">
        <v>12</v>
      </c>
      <c r="I663" t="s">
        <v>13</v>
      </c>
      <c r="J663">
        <v>0</v>
      </c>
    </row>
    <row r="664" spans="1:10" x14ac:dyDescent="0.3">
      <c r="A664" t="s">
        <v>14</v>
      </c>
      <c r="B664">
        <v>30</v>
      </c>
      <c r="C664">
        <v>1</v>
      </c>
      <c r="D664">
        <v>1</v>
      </c>
      <c r="E664">
        <v>0</v>
      </c>
      <c r="F664" t="s">
        <v>47</v>
      </c>
      <c r="G664" t="s">
        <v>11</v>
      </c>
      <c r="H664" t="s">
        <v>12</v>
      </c>
      <c r="I664" t="s">
        <v>13</v>
      </c>
      <c r="J664">
        <v>1</v>
      </c>
    </row>
    <row r="665" spans="1:10" x14ac:dyDescent="0.3">
      <c r="A665" t="s">
        <v>14</v>
      </c>
      <c r="B665">
        <v>14</v>
      </c>
      <c r="C665">
        <v>1</v>
      </c>
      <c r="D665">
        <v>1</v>
      </c>
      <c r="E665">
        <v>1</v>
      </c>
      <c r="F665" t="s">
        <v>43</v>
      </c>
      <c r="G665" t="s">
        <v>16</v>
      </c>
      <c r="H665" t="s">
        <v>23</v>
      </c>
      <c r="I665" t="s">
        <v>13</v>
      </c>
      <c r="J665">
        <v>1</v>
      </c>
    </row>
    <row r="666" spans="1:10" x14ac:dyDescent="0.3">
      <c r="A666" t="s">
        <v>14</v>
      </c>
      <c r="B666">
        <v>17</v>
      </c>
      <c r="C666">
        <v>1</v>
      </c>
      <c r="D666">
        <v>1</v>
      </c>
      <c r="E666">
        <v>0</v>
      </c>
      <c r="F666" t="s">
        <v>22</v>
      </c>
      <c r="G666" t="s">
        <v>11</v>
      </c>
      <c r="H666" t="s">
        <v>18</v>
      </c>
      <c r="I666" t="s">
        <v>13</v>
      </c>
      <c r="J666">
        <v>1</v>
      </c>
    </row>
    <row r="667" spans="1:10" x14ac:dyDescent="0.3">
      <c r="A667" t="s">
        <v>14</v>
      </c>
      <c r="B667">
        <v>63</v>
      </c>
      <c r="C667">
        <v>1</v>
      </c>
      <c r="D667">
        <v>1</v>
      </c>
      <c r="E667">
        <v>0</v>
      </c>
      <c r="F667" t="s">
        <v>46</v>
      </c>
      <c r="G667" t="s">
        <v>16</v>
      </c>
      <c r="H667" t="s">
        <v>23</v>
      </c>
      <c r="I667" t="s">
        <v>13</v>
      </c>
      <c r="J667">
        <v>1</v>
      </c>
    </row>
    <row r="668" spans="1:10" x14ac:dyDescent="0.3">
      <c r="A668" t="s">
        <v>14</v>
      </c>
      <c r="B668">
        <v>49</v>
      </c>
      <c r="C668">
        <v>1</v>
      </c>
      <c r="D668">
        <v>1</v>
      </c>
      <c r="E668">
        <v>0</v>
      </c>
      <c r="F668" t="s">
        <v>15</v>
      </c>
      <c r="G668" t="s">
        <v>11</v>
      </c>
      <c r="H668" t="s">
        <v>12</v>
      </c>
      <c r="I668" t="s">
        <v>13</v>
      </c>
      <c r="J668">
        <v>1</v>
      </c>
    </row>
    <row r="669" spans="1:10" x14ac:dyDescent="0.3">
      <c r="A669" t="s">
        <v>9</v>
      </c>
      <c r="B669">
        <v>55</v>
      </c>
      <c r="C669">
        <v>0</v>
      </c>
      <c r="D669">
        <v>0</v>
      </c>
      <c r="E669">
        <v>0</v>
      </c>
      <c r="F669" t="s">
        <v>48</v>
      </c>
      <c r="G669" t="s">
        <v>16</v>
      </c>
      <c r="H669" t="s">
        <v>12</v>
      </c>
      <c r="I669" t="s">
        <v>13</v>
      </c>
      <c r="J669">
        <v>0</v>
      </c>
    </row>
    <row r="670" spans="1:10" x14ac:dyDescent="0.3">
      <c r="A670" t="s">
        <v>9</v>
      </c>
      <c r="B670">
        <v>17</v>
      </c>
      <c r="C670">
        <v>1</v>
      </c>
      <c r="D670">
        <v>1</v>
      </c>
      <c r="E670">
        <v>0</v>
      </c>
      <c r="F670" t="s">
        <v>38</v>
      </c>
      <c r="G670" t="s">
        <v>11</v>
      </c>
      <c r="H670" t="s">
        <v>18</v>
      </c>
      <c r="I670" t="s">
        <v>13</v>
      </c>
      <c r="J670">
        <v>1</v>
      </c>
    </row>
    <row r="671" spans="1:10" x14ac:dyDescent="0.3">
      <c r="A671" t="s">
        <v>14</v>
      </c>
      <c r="B671">
        <v>17</v>
      </c>
      <c r="C671">
        <v>0</v>
      </c>
      <c r="D671">
        <v>0</v>
      </c>
      <c r="E671">
        <v>1</v>
      </c>
      <c r="F671" t="s">
        <v>22</v>
      </c>
      <c r="G671" t="s">
        <v>16</v>
      </c>
      <c r="H671" t="s">
        <v>23</v>
      </c>
      <c r="I671" t="s">
        <v>13</v>
      </c>
      <c r="J671">
        <v>0</v>
      </c>
    </row>
    <row r="672" spans="1:10" x14ac:dyDescent="0.3">
      <c r="A672" t="s">
        <v>14</v>
      </c>
      <c r="B672">
        <v>55</v>
      </c>
      <c r="C672">
        <v>1</v>
      </c>
      <c r="D672">
        <v>1</v>
      </c>
      <c r="E672">
        <v>1</v>
      </c>
      <c r="F672" t="s">
        <v>33</v>
      </c>
      <c r="G672" t="s">
        <v>11</v>
      </c>
      <c r="H672" t="s">
        <v>12</v>
      </c>
      <c r="I672" t="s">
        <v>13</v>
      </c>
      <c r="J672">
        <v>1</v>
      </c>
    </row>
    <row r="673" spans="1:10" x14ac:dyDescent="0.3">
      <c r="A673" t="s">
        <v>9</v>
      </c>
      <c r="B673">
        <v>57</v>
      </c>
      <c r="C673">
        <v>1</v>
      </c>
      <c r="D673">
        <v>1</v>
      </c>
      <c r="E673">
        <v>0</v>
      </c>
      <c r="F673" t="s">
        <v>44</v>
      </c>
      <c r="G673" t="s">
        <v>16</v>
      </c>
      <c r="H673" t="s">
        <v>18</v>
      </c>
      <c r="I673" t="s">
        <v>13</v>
      </c>
      <c r="J673">
        <v>1</v>
      </c>
    </row>
    <row r="674" spans="1:10" x14ac:dyDescent="0.3">
      <c r="A674" t="s">
        <v>14</v>
      </c>
      <c r="B674">
        <v>45</v>
      </c>
      <c r="C674">
        <v>0</v>
      </c>
      <c r="D674">
        <v>0</v>
      </c>
      <c r="E674">
        <v>0</v>
      </c>
      <c r="F674" t="s">
        <v>26</v>
      </c>
      <c r="G674" t="s">
        <v>11</v>
      </c>
      <c r="H674" t="s">
        <v>23</v>
      </c>
      <c r="I674" t="s">
        <v>13</v>
      </c>
      <c r="J674">
        <v>0</v>
      </c>
    </row>
    <row r="675" spans="1:10" x14ac:dyDescent="0.3">
      <c r="A675" t="s">
        <v>9</v>
      </c>
      <c r="B675">
        <v>37</v>
      </c>
      <c r="C675">
        <v>0</v>
      </c>
      <c r="D675">
        <v>0</v>
      </c>
      <c r="E675">
        <v>0</v>
      </c>
      <c r="F675" t="s">
        <v>27</v>
      </c>
      <c r="G675" t="s">
        <v>16</v>
      </c>
      <c r="H675" t="s">
        <v>12</v>
      </c>
      <c r="I675" t="s">
        <v>13</v>
      </c>
      <c r="J675">
        <v>0</v>
      </c>
    </row>
    <row r="676" spans="1:10" x14ac:dyDescent="0.3">
      <c r="A676" t="s">
        <v>14</v>
      </c>
      <c r="B676">
        <v>47</v>
      </c>
      <c r="C676">
        <v>1</v>
      </c>
      <c r="D676">
        <v>1</v>
      </c>
      <c r="E676">
        <v>1</v>
      </c>
      <c r="F676" t="s">
        <v>33</v>
      </c>
      <c r="G676" t="s">
        <v>11</v>
      </c>
      <c r="H676" t="s">
        <v>18</v>
      </c>
      <c r="I676" t="s">
        <v>13</v>
      </c>
      <c r="J676">
        <v>1</v>
      </c>
    </row>
    <row r="677" spans="1:10" x14ac:dyDescent="0.3">
      <c r="A677" t="s">
        <v>9</v>
      </c>
      <c r="B677">
        <v>49</v>
      </c>
      <c r="C677">
        <v>1</v>
      </c>
      <c r="D677">
        <v>1</v>
      </c>
      <c r="E677">
        <v>1</v>
      </c>
      <c r="F677" t="s">
        <v>29</v>
      </c>
      <c r="G677" t="s">
        <v>16</v>
      </c>
      <c r="H677" t="s">
        <v>23</v>
      </c>
      <c r="I677" t="s">
        <v>13</v>
      </c>
      <c r="J677">
        <v>1</v>
      </c>
    </row>
    <row r="678" spans="1:10" x14ac:dyDescent="0.3">
      <c r="A678" t="s">
        <v>9</v>
      </c>
      <c r="B678">
        <v>32</v>
      </c>
      <c r="C678">
        <v>1</v>
      </c>
      <c r="D678">
        <v>1</v>
      </c>
      <c r="E678">
        <v>0</v>
      </c>
      <c r="F678" t="s">
        <v>30</v>
      </c>
      <c r="G678" t="s">
        <v>11</v>
      </c>
      <c r="H678" t="s">
        <v>23</v>
      </c>
      <c r="I678" t="s">
        <v>13</v>
      </c>
      <c r="J678">
        <v>1</v>
      </c>
    </row>
    <row r="679" spans="1:10" x14ac:dyDescent="0.3">
      <c r="A679" t="s">
        <v>14</v>
      </c>
      <c r="B679">
        <v>33</v>
      </c>
      <c r="C679">
        <v>1</v>
      </c>
      <c r="D679">
        <v>1</v>
      </c>
      <c r="E679">
        <v>0</v>
      </c>
      <c r="F679" t="s">
        <v>31</v>
      </c>
      <c r="G679" t="s">
        <v>16</v>
      </c>
      <c r="H679" t="s">
        <v>12</v>
      </c>
      <c r="I679" t="s">
        <v>13</v>
      </c>
      <c r="J679">
        <v>1</v>
      </c>
    </row>
    <row r="680" spans="1:10" x14ac:dyDescent="0.3">
      <c r="A680" t="s">
        <v>9</v>
      </c>
      <c r="B680">
        <v>25</v>
      </c>
      <c r="C680">
        <v>0</v>
      </c>
      <c r="D680">
        <v>0</v>
      </c>
      <c r="E680">
        <v>0</v>
      </c>
      <c r="F680" t="s">
        <v>33</v>
      </c>
      <c r="G680" t="s">
        <v>11</v>
      </c>
      <c r="H680" t="s">
        <v>18</v>
      </c>
      <c r="I680" t="s">
        <v>13</v>
      </c>
      <c r="J680">
        <v>0</v>
      </c>
    </row>
    <row r="681" spans="1:10" x14ac:dyDescent="0.3">
      <c r="A681" t="s">
        <v>14</v>
      </c>
      <c r="B681">
        <v>24</v>
      </c>
      <c r="C681">
        <v>0</v>
      </c>
      <c r="D681">
        <v>0</v>
      </c>
      <c r="E681">
        <v>0</v>
      </c>
      <c r="F681" t="s">
        <v>45</v>
      </c>
      <c r="G681" t="s">
        <v>16</v>
      </c>
      <c r="H681" t="s">
        <v>12</v>
      </c>
      <c r="I681" t="s">
        <v>13</v>
      </c>
      <c r="J681">
        <v>0</v>
      </c>
    </row>
    <row r="682" spans="1:10" x14ac:dyDescent="0.3">
      <c r="A682" t="s">
        <v>14</v>
      </c>
      <c r="B682">
        <v>22</v>
      </c>
      <c r="C682">
        <v>0</v>
      </c>
      <c r="D682">
        <v>0</v>
      </c>
      <c r="E682">
        <v>0</v>
      </c>
      <c r="F682" t="s">
        <v>49</v>
      </c>
      <c r="G682" t="s">
        <v>11</v>
      </c>
      <c r="H682" t="s">
        <v>12</v>
      </c>
      <c r="I682" t="s">
        <v>13</v>
      </c>
      <c r="J682">
        <v>0</v>
      </c>
    </row>
    <row r="683" spans="1:10" x14ac:dyDescent="0.3">
      <c r="A683" t="s">
        <v>9</v>
      </c>
      <c r="B683">
        <v>52</v>
      </c>
      <c r="C683">
        <v>1</v>
      </c>
      <c r="D683">
        <v>1</v>
      </c>
      <c r="E683">
        <v>1</v>
      </c>
      <c r="F683" t="s">
        <v>19</v>
      </c>
      <c r="G683" t="s">
        <v>16</v>
      </c>
      <c r="H683" t="s">
        <v>12</v>
      </c>
      <c r="I683" t="s">
        <v>13</v>
      </c>
      <c r="J683">
        <v>1</v>
      </c>
    </row>
    <row r="684" spans="1:10" x14ac:dyDescent="0.3">
      <c r="A684" t="s">
        <v>9</v>
      </c>
      <c r="B684">
        <v>16</v>
      </c>
      <c r="C684">
        <v>1</v>
      </c>
      <c r="D684">
        <v>1</v>
      </c>
      <c r="E684">
        <v>0</v>
      </c>
      <c r="F684" t="s">
        <v>25</v>
      </c>
      <c r="G684" t="s">
        <v>11</v>
      </c>
      <c r="H684" t="s">
        <v>23</v>
      </c>
      <c r="I684" t="s">
        <v>13</v>
      </c>
      <c r="J684">
        <v>1</v>
      </c>
    </row>
    <row r="685" spans="1:10" x14ac:dyDescent="0.3">
      <c r="A685" t="s">
        <v>9</v>
      </c>
      <c r="B685">
        <v>19</v>
      </c>
      <c r="C685">
        <v>0</v>
      </c>
      <c r="D685">
        <v>0</v>
      </c>
      <c r="E685">
        <v>0</v>
      </c>
      <c r="F685" t="s">
        <v>21</v>
      </c>
      <c r="G685" t="s">
        <v>16</v>
      </c>
      <c r="H685" t="s">
        <v>12</v>
      </c>
      <c r="I685" t="s">
        <v>13</v>
      </c>
      <c r="J685">
        <v>0</v>
      </c>
    </row>
    <row r="686" spans="1:10" x14ac:dyDescent="0.3">
      <c r="A686" t="s">
        <v>9</v>
      </c>
      <c r="B686">
        <v>31</v>
      </c>
      <c r="C686">
        <v>0</v>
      </c>
      <c r="D686">
        <v>0</v>
      </c>
      <c r="E686">
        <v>1</v>
      </c>
      <c r="F686" t="s">
        <v>22</v>
      </c>
      <c r="G686" t="s">
        <v>11</v>
      </c>
      <c r="H686" t="s">
        <v>18</v>
      </c>
      <c r="I686" t="s">
        <v>13</v>
      </c>
      <c r="J686">
        <v>0</v>
      </c>
    </row>
    <row r="687" spans="1:10" x14ac:dyDescent="0.3">
      <c r="A687" t="s">
        <v>14</v>
      </c>
      <c r="B687">
        <v>46</v>
      </c>
      <c r="C687">
        <v>0</v>
      </c>
      <c r="D687">
        <v>0</v>
      </c>
      <c r="E687">
        <v>1</v>
      </c>
      <c r="F687" t="s">
        <v>46</v>
      </c>
      <c r="G687" t="s">
        <v>16</v>
      </c>
      <c r="H687" t="s">
        <v>18</v>
      </c>
      <c r="I687" t="s">
        <v>13</v>
      </c>
      <c r="J687">
        <v>0</v>
      </c>
    </row>
    <row r="688" spans="1:10" x14ac:dyDescent="0.3">
      <c r="A688" t="s">
        <v>14</v>
      </c>
      <c r="B688">
        <v>61</v>
      </c>
      <c r="C688">
        <v>1</v>
      </c>
      <c r="D688">
        <v>1</v>
      </c>
      <c r="E688">
        <v>0</v>
      </c>
      <c r="F688" t="s">
        <v>35</v>
      </c>
      <c r="G688" t="s">
        <v>11</v>
      </c>
      <c r="H688" t="s">
        <v>23</v>
      </c>
      <c r="I688" t="s">
        <v>13</v>
      </c>
      <c r="J688">
        <v>1</v>
      </c>
    </row>
    <row r="689" spans="1:10" x14ac:dyDescent="0.3">
      <c r="A689" t="s">
        <v>9</v>
      </c>
      <c r="B689">
        <v>35</v>
      </c>
      <c r="C689">
        <v>0</v>
      </c>
      <c r="D689">
        <v>0</v>
      </c>
      <c r="E689">
        <v>0</v>
      </c>
      <c r="F689" t="s">
        <v>35</v>
      </c>
      <c r="G689" t="s">
        <v>16</v>
      </c>
      <c r="H689" t="s">
        <v>23</v>
      </c>
      <c r="I689" t="s">
        <v>13</v>
      </c>
      <c r="J689">
        <v>0</v>
      </c>
    </row>
    <row r="690" spans="1:10" x14ac:dyDescent="0.3">
      <c r="A690" t="s">
        <v>9</v>
      </c>
      <c r="B690">
        <v>44</v>
      </c>
      <c r="C690">
        <v>1</v>
      </c>
      <c r="D690">
        <v>1</v>
      </c>
      <c r="E690">
        <v>1</v>
      </c>
      <c r="F690" t="s">
        <v>25</v>
      </c>
      <c r="G690" t="s">
        <v>11</v>
      </c>
      <c r="H690" t="s">
        <v>18</v>
      </c>
      <c r="I690" t="s">
        <v>13</v>
      </c>
      <c r="J690">
        <v>1</v>
      </c>
    </row>
    <row r="691" spans="1:10" x14ac:dyDescent="0.3">
      <c r="A691" t="s">
        <v>9</v>
      </c>
      <c r="B691">
        <v>12</v>
      </c>
      <c r="C691">
        <v>0</v>
      </c>
      <c r="D691">
        <v>0</v>
      </c>
      <c r="E691">
        <v>1</v>
      </c>
      <c r="F691" t="s">
        <v>37</v>
      </c>
      <c r="G691" t="s">
        <v>16</v>
      </c>
      <c r="H691" t="s">
        <v>23</v>
      </c>
      <c r="I691" t="s">
        <v>13</v>
      </c>
      <c r="J691">
        <v>0</v>
      </c>
    </row>
    <row r="692" spans="1:10" x14ac:dyDescent="0.3">
      <c r="A692" t="s">
        <v>14</v>
      </c>
      <c r="B692">
        <v>51</v>
      </c>
      <c r="C692">
        <v>1</v>
      </c>
      <c r="D692">
        <v>1</v>
      </c>
      <c r="E692">
        <v>0</v>
      </c>
      <c r="F692" t="s">
        <v>26</v>
      </c>
      <c r="G692" t="s">
        <v>11</v>
      </c>
      <c r="H692" t="s">
        <v>18</v>
      </c>
      <c r="I692" t="s">
        <v>13</v>
      </c>
      <c r="J692">
        <v>1</v>
      </c>
    </row>
    <row r="693" spans="1:10" x14ac:dyDescent="0.3">
      <c r="A693" t="s">
        <v>9</v>
      </c>
      <c r="B693">
        <v>33</v>
      </c>
      <c r="C693">
        <v>1</v>
      </c>
      <c r="D693">
        <v>1</v>
      </c>
      <c r="E693">
        <v>1</v>
      </c>
      <c r="F693" t="s">
        <v>27</v>
      </c>
      <c r="G693" t="s">
        <v>16</v>
      </c>
      <c r="H693" t="s">
        <v>18</v>
      </c>
      <c r="I693" t="s">
        <v>13</v>
      </c>
      <c r="J693">
        <v>1</v>
      </c>
    </row>
    <row r="694" spans="1:10" x14ac:dyDescent="0.3">
      <c r="A694" t="s">
        <v>9</v>
      </c>
      <c r="B694">
        <v>53</v>
      </c>
      <c r="C694">
        <v>1</v>
      </c>
      <c r="D694">
        <v>1</v>
      </c>
      <c r="E694">
        <v>1</v>
      </c>
      <c r="F694" t="s">
        <v>32</v>
      </c>
      <c r="G694" t="s">
        <v>11</v>
      </c>
      <c r="H694" t="s">
        <v>12</v>
      </c>
      <c r="I694" t="s">
        <v>13</v>
      </c>
      <c r="J694">
        <v>1</v>
      </c>
    </row>
    <row r="695" spans="1:10" x14ac:dyDescent="0.3">
      <c r="A695" t="s">
        <v>14</v>
      </c>
      <c r="B695">
        <v>22</v>
      </c>
      <c r="C695">
        <v>0</v>
      </c>
      <c r="D695">
        <v>0</v>
      </c>
      <c r="E695">
        <v>0</v>
      </c>
      <c r="F695" t="s">
        <v>40</v>
      </c>
      <c r="G695" t="s">
        <v>16</v>
      </c>
      <c r="H695" t="s">
        <v>23</v>
      </c>
      <c r="I695" t="s">
        <v>13</v>
      </c>
      <c r="J695">
        <v>0</v>
      </c>
    </row>
    <row r="696" spans="1:10" x14ac:dyDescent="0.3">
      <c r="A696" t="s">
        <v>14</v>
      </c>
      <c r="B696">
        <v>32</v>
      </c>
      <c r="C696">
        <v>0</v>
      </c>
      <c r="D696">
        <v>0</v>
      </c>
      <c r="E696">
        <v>0</v>
      </c>
      <c r="F696" t="s">
        <v>34</v>
      </c>
      <c r="G696" t="s">
        <v>11</v>
      </c>
      <c r="H696" t="s">
        <v>18</v>
      </c>
      <c r="I696" t="s">
        <v>13</v>
      </c>
      <c r="J696">
        <v>0</v>
      </c>
    </row>
    <row r="697" spans="1:10" x14ac:dyDescent="0.3">
      <c r="A697" t="s">
        <v>14</v>
      </c>
      <c r="B697">
        <v>36</v>
      </c>
      <c r="C697">
        <v>0</v>
      </c>
      <c r="D697">
        <v>0</v>
      </c>
      <c r="E697">
        <v>1</v>
      </c>
      <c r="F697" t="s">
        <v>36</v>
      </c>
      <c r="G697" t="s">
        <v>16</v>
      </c>
      <c r="H697" t="s">
        <v>23</v>
      </c>
      <c r="I697" t="s">
        <v>13</v>
      </c>
      <c r="J697">
        <v>0</v>
      </c>
    </row>
    <row r="698" spans="1:10" x14ac:dyDescent="0.3">
      <c r="A698" t="s">
        <v>9</v>
      </c>
      <c r="B698">
        <v>14</v>
      </c>
      <c r="C698">
        <v>0</v>
      </c>
      <c r="D698">
        <v>0</v>
      </c>
      <c r="E698">
        <v>0</v>
      </c>
      <c r="F698" t="s">
        <v>22</v>
      </c>
      <c r="G698" t="s">
        <v>11</v>
      </c>
      <c r="H698" t="s">
        <v>23</v>
      </c>
      <c r="I698" t="s">
        <v>13</v>
      </c>
      <c r="J698">
        <v>0</v>
      </c>
    </row>
    <row r="699" spans="1:10" x14ac:dyDescent="0.3">
      <c r="A699" t="s">
        <v>14</v>
      </c>
      <c r="B699">
        <v>18</v>
      </c>
      <c r="C699">
        <v>1</v>
      </c>
      <c r="D699">
        <v>1</v>
      </c>
      <c r="E699">
        <v>0</v>
      </c>
      <c r="F699" t="s">
        <v>38</v>
      </c>
      <c r="G699" t="s">
        <v>16</v>
      </c>
      <c r="H699" t="s">
        <v>18</v>
      </c>
      <c r="I699" t="s">
        <v>13</v>
      </c>
      <c r="J699">
        <v>1</v>
      </c>
    </row>
    <row r="700" spans="1:10" x14ac:dyDescent="0.3">
      <c r="A700" t="s">
        <v>14</v>
      </c>
      <c r="B700">
        <v>52</v>
      </c>
      <c r="C700">
        <v>1</v>
      </c>
      <c r="D700">
        <v>1</v>
      </c>
      <c r="E700">
        <v>1</v>
      </c>
      <c r="F700" t="s">
        <v>46</v>
      </c>
      <c r="G700" t="s">
        <v>11</v>
      </c>
      <c r="H700" t="s">
        <v>12</v>
      </c>
      <c r="I700" t="s">
        <v>13</v>
      </c>
      <c r="J700">
        <v>1</v>
      </c>
    </row>
    <row r="701" spans="1:10" x14ac:dyDescent="0.3">
      <c r="A701" t="s">
        <v>9</v>
      </c>
      <c r="B701">
        <v>62</v>
      </c>
      <c r="C701">
        <v>0</v>
      </c>
      <c r="D701">
        <v>0</v>
      </c>
      <c r="E701">
        <v>1</v>
      </c>
      <c r="F701" t="s">
        <v>30</v>
      </c>
      <c r="G701" t="s">
        <v>16</v>
      </c>
      <c r="H701" t="s">
        <v>12</v>
      </c>
      <c r="I701" t="s">
        <v>13</v>
      </c>
      <c r="J701">
        <v>0</v>
      </c>
    </row>
    <row r="702" spans="1:10" x14ac:dyDescent="0.3">
      <c r="A702" t="s">
        <v>9</v>
      </c>
      <c r="B702">
        <v>41</v>
      </c>
      <c r="C702">
        <v>0</v>
      </c>
      <c r="D702">
        <v>0</v>
      </c>
      <c r="E702">
        <v>1</v>
      </c>
      <c r="F702" t="s">
        <v>46</v>
      </c>
      <c r="G702" t="s">
        <v>11</v>
      </c>
      <c r="H702" t="s">
        <v>18</v>
      </c>
      <c r="I702" t="s">
        <v>13</v>
      </c>
      <c r="J702">
        <v>0</v>
      </c>
    </row>
    <row r="703" spans="1:10" x14ac:dyDescent="0.3">
      <c r="A703" t="s">
        <v>9</v>
      </c>
      <c r="B703">
        <v>25</v>
      </c>
      <c r="C703">
        <v>0</v>
      </c>
      <c r="D703">
        <v>0</v>
      </c>
      <c r="E703">
        <v>1</v>
      </c>
      <c r="F703" t="s">
        <v>25</v>
      </c>
      <c r="G703" t="s">
        <v>16</v>
      </c>
      <c r="H703" t="s">
        <v>18</v>
      </c>
      <c r="I703" t="s">
        <v>13</v>
      </c>
      <c r="J703">
        <v>0</v>
      </c>
    </row>
    <row r="704" spans="1:10" x14ac:dyDescent="0.3">
      <c r="A704" t="s">
        <v>14</v>
      </c>
      <c r="B704">
        <v>31</v>
      </c>
      <c r="C704">
        <v>1</v>
      </c>
      <c r="D704">
        <v>1</v>
      </c>
      <c r="E704">
        <v>0</v>
      </c>
      <c r="F704" t="s">
        <v>43</v>
      </c>
      <c r="G704" t="s">
        <v>11</v>
      </c>
      <c r="H704" t="s">
        <v>18</v>
      </c>
      <c r="I704" t="s">
        <v>13</v>
      </c>
      <c r="J704">
        <v>1</v>
      </c>
    </row>
    <row r="705" spans="1:10" x14ac:dyDescent="0.3">
      <c r="A705" t="s">
        <v>9</v>
      </c>
      <c r="B705">
        <v>49</v>
      </c>
      <c r="C705">
        <v>0</v>
      </c>
      <c r="D705">
        <v>0</v>
      </c>
      <c r="E705">
        <v>0</v>
      </c>
      <c r="F705" t="s">
        <v>36</v>
      </c>
      <c r="G705" t="s">
        <v>16</v>
      </c>
      <c r="H705" t="s">
        <v>12</v>
      </c>
      <c r="I705" t="s">
        <v>13</v>
      </c>
      <c r="J705">
        <v>0</v>
      </c>
    </row>
    <row r="706" spans="1:10" x14ac:dyDescent="0.3">
      <c r="A706" t="s">
        <v>9</v>
      </c>
      <c r="B706">
        <v>39</v>
      </c>
      <c r="C706">
        <v>1</v>
      </c>
      <c r="D706">
        <v>1</v>
      </c>
      <c r="E706">
        <v>1</v>
      </c>
      <c r="F706" t="s">
        <v>37</v>
      </c>
      <c r="G706" t="s">
        <v>11</v>
      </c>
      <c r="H706" t="s">
        <v>18</v>
      </c>
      <c r="I706" t="s">
        <v>13</v>
      </c>
      <c r="J706">
        <v>1</v>
      </c>
    </row>
    <row r="707" spans="1:10" x14ac:dyDescent="0.3">
      <c r="A707" t="s">
        <v>9</v>
      </c>
      <c r="B707">
        <v>26</v>
      </c>
      <c r="C707">
        <v>0</v>
      </c>
      <c r="D707">
        <v>0</v>
      </c>
      <c r="E707">
        <v>0</v>
      </c>
      <c r="F707" t="s">
        <v>24</v>
      </c>
      <c r="G707" t="s">
        <v>16</v>
      </c>
      <c r="H707" t="s">
        <v>18</v>
      </c>
      <c r="I707" t="s">
        <v>13</v>
      </c>
      <c r="J707">
        <v>0</v>
      </c>
    </row>
    <row r="708" spans="1:10" x14ac:dyDescent="0.3">
      <c r="A708" t="s">
        <v>14</v>
      </c>
      <c r="B708">
        <v>24</v>
      </c>
      <c r="C708">
        <v>0</v>
      </c>
      <c r="D708">
        <v>0</v>
      </c>
      <c r="E708">
        <v>0</v>
      </c>
      <c r="F708" t="s">
        <v>39</v>
      </c>
      <c r="G708" t="s">
        <v>11</v>
      </c>
      <c r="H708" t="s">
        <v>23</v>
      </c>
      <c r="I708" t="s">
        <v>13</v>
      </c>
      <c r="J708">
        <v>0</v>
      </c>
    </row>
    <row r="709" spans="1:10" x14ac:dyDescent="0.3">
      <c r="A709" t="s">
        <v>14</v>
      </c>
      <c r="B709">
        <v>30</v>
      </c>
      <c r="C709">
        <v>0</v>
      </c>
      <c r="D709">
        <v>0</v>
      </c>
      <c r="E709">
        <v>0</v>
      </c>
      <c r="F709" t="s">
        <v>31</v>
      </c>
      <c r="G709" t="s">
        <v>16</v>
      </c>
      <c r="H709" t="s">
        <v>23</v>
      </c>
      <c r="I709" t="s">
        <v>13</v>
      </c>
      <c r="J709">
        <v>0</v>
      </c>
    </row>
    <row r="710" spans="1:10" x14ac:dyDescent="0.3">
      <c r="A710" t="s">
        <v>14</v>
      </c>
      <c r="B710">
        <v>20</v>
      </c>
      <c r="C710">
        <v>1</v>
      </c>
      <c r="D710">
        <v>1</v>
      </c>
      <c r="E710">
        <v>1</v>
      </c>
      <c r="F710" t="s">
        <v>26</v>
      </c>
      <c r="G710" t="s">
        <v>11</v>
      </c>
      <c r="H710" t="s">
        <v>12</v>
      </c>
      <c r="I710" t="s">
        <v>13</v>
      </c>
      <c r="J710">
        <v>1</v>
      </c>
    </row>
    <row r="711" spans="1:10" x14ac:dyDescent="0.3">
      <c r="A711" t="s">
        <v>9</v>
      </c>
      <c r="B711">
        <v>50</v>
      </c>
      <c r="C711">
        <v>1</v>
      </c>
      <c r="D711">
        <v>1</v>
      </c>
      <c r="E711">
        <v>1</v>
      </c>
      <c r="F711" t="s">
        <v>41</v>
      </c>
      <c r="G711" t="s">
        <v>16</v>
      </c>
      <c r="H711" t="s">
        <v>23</v>
      </c>
      <c r="I711" t="s">
        <v>13</v>
      </c>
      <c r="J711">
        <v>1</v>
      </c>
    </row>
    <row r="712" spans="1:10" x14ac:dyDescent="0.3">
      <c r="A712" t="s">
        <v>9</v>
      </c>
      <c r="B712">
        <v>13</v>
      </c>
      <c r="C712">
        <v>1</v>
      </c>
      <c r="D712">
        <v>1</v>
      </c>
      <c r="E712">
        <v>0</v>
      </c>
      <c r="F712" t="s">
        <v>30</v>
      </c>
      <c r="G712" t="s">
        <v>11</v>
      </c>
      <c r="H712" t="s">
        <v>18</v>
      </c>
      <c r="I712" t="s">
        <v>13</v>
      </c>
      <c r="J712">
        <v>1</v>
      </c>
    </row>
    <row r="713" spans="1:10" x14ac:dyDescent="0.3">
      <c r="A713" t="s">
        <v>14</v>
      </c>
      <c r="B713">
        <v>44</v>
      </c>
      <c r="C713">
        <v>1</v>
      </c>
      <c r="D713">
        <v>1</v>
      </c>
      <c r="E713">
        <v>0</v>
      </c>
      <c r="F713" t="s">
        <v>31</v>
      </c>
      <c r="G713" t="s">
        <v>16</v>
      </c>
      <c r="H713" t="s">
        <v>12</v>
      </c>
      <c r="I713" t="s">
        <v>13</v>
      </c>
      <c r="J713">
        <v>1</v>
      </c>
    </row>
    <row r="714" spans="1:10" x14ac:dyDescent="0.3">
      <c r="A714" t="s">
        <v>14</v>
      </c>
      <c r="B714">
        <v>19</v>
      </c>
      <c r="C714">
        <v>1</v>
      </c>
      <c r="D714">
        <v>1</v>
      </c>
      <c r="E714">
        <v>1</v>
      </c>
      <c r="F714" t="s">
        <v>26</v>
      </c>
      <c r="G714" t="s">
        <v>11</v>
      </c>
      <c r="H714" t="s">
        <v>18</v>
      </c>
      <c r="I714" t="s">
        <v>13</v>
      </c>
      <c r="J714">
        <v>1</v>
      </c>
    </row>
    <row r="715" spans="1:10" x14ac:dyDescent="0.3">
      <c r="A715" t="s">
        <v>9</v>
      </c>
      <c r="B715">
        <v>53</v>
      </c>
      <c r="C715">
        <v>1</v>
      </c>
      <c r="D715">
        <v>1</v>
      </c>
      <c r="E715">
        <v>1</v>
      </c>
      <c r="F715" t="s">
        <v>35</v>
      </c>
      <c r="G715" t="s">
        <v>16</v>
      </c>
      <c r="H715" t="s">
        <v>23</v>
      </c>
      <c r="I715" t="s">
        <v>13</v>
      </c>
      <c r="J715">
        <v>1</v>
      </c>
    </row>
    <row r="716" spans="1:10" x14ac:dyDescent="0.3">
      <c r="A716" t="s">
        <v>9</v>
      </c>
      <c r="B716">
        <v>12</v>
      </c>
      <c r="C716">
        <v>0</v>
      </c>
      <c r="D716">
        <v>0</v>
      </c>
      <c r="E716">
        <v>0</v>
      </c>
      <c r="F716" t="s">
        <v>48</v>
      </c>
      <c r="G716" t="s">
        <v>11</v>
      </c>
      <c r="H716" t="s">
        <v>12</v>
      </c>
      <c r="I716" t="s">
        <v>13</v>
      </c>
      <c r="J716">
        <v>0</v>
      </c>
    </row>
    <row r="717" spans="1:10" x14ac:dyDescent="0.3">
      <c r="A717" t="s">
        <v>9</v>
      </c>
      <c r="B717">
        <v>14</v>
      </c>
      <c r="C717">
        <v>0</v>
      </c>
      <c r="D717">
        <v>0</v>
      </c>
      <c r="E717">
        <v>0</v>
      </c>
      <c r="F717" t="s">
        <v>45</v>
      </c>
      <c r="G717" t="s">
        <v>16</v>
      </c>
      <c r="H717" t="s">
        <v>23</v>
      </c>
      <c r="I717" t="s">
        <v>13</v>
      </c>
      <c r="J717">
        <v>0</v>
      </c>
    </row>
    <row r="718" spans="1:10" x14ac:dyDescent="0.3">
      <c r="A718" t="s">
        <v>14</v>
      </c>
      <c r="B718">
        <v>30</v>
      </c>
      <c r="C718">
        <v>1</v>
      </c>
      <c r="D718">
        <v>1</v>
      </c>
      <c r="E718">
        <v>1</v>
      </c>
      <c r="F718" t="s">
        <v>28</v>
      </c>
      <c r="G718" t="s">
        <v>11</v>
      </c>
      <c r="H718" t="s">
        <v>12</v>
      </c>
      <c r="I718" t="s">
        <v>13</v>
      </c>
      <c r="J718">
        <v>1</v>
      </c>
    </row>
    <row r="719" spans="1:10" x14ac:dyDescent="0.3">
      <c r="A719" t="s">
        <v>9</v>
      </c>
      <c r="B719">
        <v>48</v>
      </c>
      <c r="C719">
        <v>0</v>
      </c>
      <c r="D719">
        <v>0</v>
      </c>
      <c r="E719">
        <v>1</v>
      </c>
      <c r="F719" t="s">
        <v>41</v>
      </c>
      <c r="G719" t="s">
        <v>16</v>
      </c>
      <c r="H719" t="s">
        <v>23</v>
      </c>
      <c r="I719" t="s">
        <v>13</v>
      </c>
      <c r="J719">
        <v>0</v>
      </c>
    </row>
    <row r="720" spans="1:10" x14ac:dyDescent="0.3">
      <c r="A720" t="s">
        <v>14</v>
      </c>
      <c r="B720">
        <v>31</v>
      </c>
      <c r="C720">
        <v>0</v>
      </c>
      <c r="D720">
        <v>0</v>
      </c>
      <c r="E720">
        <v>0</v>
      </c>
      <c r="F720" t="s">
        <v>41</v>
      </c>
      <c r="G720" t="s">
        <v>11</v>
      </c>
      <c r="H720" t="s">
        <v>12</v>
      </c>
      <c r="I720" t="s">
        <v>13</v>
      </c>
      <c r="J720">
        <v>0</v>
      </c>
    </row>
    <row r="721" spans="1:10" x14ac:dyDescent="0.3">
      <c r="A721" t="s">
        <v>14</v>
      </c>
      <c r="B721">
        <v>16</v>
      </c>
      <c r="C721">
        <v>1</v>
      </c>
      <c r="D721">
        <v>1</v>
      </c>
      <c r="E721">
        <v>0</v>
      </c>
      <c r="F721" t="s">
        <v>43</v>
      </c>
      <c r="G721" t="s">
        <v>16</v>
      </c>
      <c r="H721" t="s">
        <v>12</v>
      </c>
      <c r="I721" t="s">
        <v>13</v>
      </c>
      <c r="J721">
        <v>1</v>
      </c>
    </row>
    <row r="722" spans="1:10" x14ac:dyDescent="0.3">
      <c r="A722" t="s">
        <v>14</v>
      </c>
      <c r="B722">
        <v>38</v>
      </c>
      <c r="C722">
        <v>1</v>
      </c>
      <c r="D722">
        <v>1</v>
      </c>
      <c r="E722">
        <v>1</v>
      </c>
      <c r="F722" t="s">
        <v>21</v>
      </c>
      <c r="G722" t="s">
        <v>11</v>
      </c>
      <c r="H722" t="s">
        <v>23</v>
      </c>
      <c r="I722" t="s">
        <v>13</v>
      </c>
      <c r="J722">
        <v>1</v>
      </c>
    </row>
    <row r="723" spans="1:10" x14ac:dyDescent="0.3">
      <c r="A723" t="s">
        <v>9</v>
      </c>
      <c r="B723">
        <v>24</v>
      </c>
      <c r="C723">
        <v>1</v>
      </c>
      <c r="D723">
        <v>1</v>
      </c>
      <c r="E723">
        <v>1</v>
      </c>
      <c r="F723" t="s">
        <v>40</v>
      </c>
      <c r="G723" t="s">
        <v>16</v>
      </c>
      <c r="H723" t="s">
        <v>18</v>
      </c>
      <c r="I723" t="s">
        <v>13</v>
      </c>
      <c r="J723">
        <v>1</v>
      </c>
    </row>
    <row r="724" spans="1:10" x14ac:dyDescent="0.3">
      <c r="A724" t="s">
        <v>9</v>
      </c>
      <c r="B724">
        <v>28</v>
      </c>
      <c r="C724">
        <v>0</v>
      </c>
      <c r="D724">
        <v>0</v>
      </c>
      <c r="E724">
        <v>1</v>
      </c>
      <c r="F724" t="s">
        <v>25</v>
      </c>
      <c r="G724" t="s">
        <v>11</v>
      </c>
      <c r="H724" t="s">
        <v>23</v>
      </c>
      <c r="I724" t="s">
        <v>13</v>
      </c>
      <c r="J724">
        <v>0</v>
      </c>
    </row>
    <row r="725" spans="1:10" x14ac:dyDescent="0.3">
      <c r="A725" t="s">
        <v>9</v>
      </c>
      <c r="B725">
        <v>52</v>
      </c>
      <c r="C725">
        <v>1</v>
      </c>
      <c r="D725">
        <v>1</v>
      </c>
      <c r="E725">
        <v>0</v>
      </c>
      <c r="F725" t="s">
        <v>49</v>
      </c>
      <c r="G725" t="s">
        <v>16</v>
      </c>
      <c r="H725" t="s">
        <v>23</v>
      </c>
      <c r="I725" t="s">
        <v>13</v>
      </c>
      <c r="J725">
        <v>1</v>
      </c>
    </row>
    <row r="726" spans="1:10" x14ac:dyDescent="0.3">
      <c r="A726" t="s">
        <v>14</v>
      </c>
      <c r="B726">
        <v>8</v>
      </c>
      <c r="C726">
        <v>1</v>
      </c>
      <c r="D726">
        <v>1</v>
      </c>
      <c r="E726">
        <v>0</v>
      </c>
      <c r="F726" t="s">
        <v>31</v>
      </c>
      <c r="G726" t="s">
        <v>11</v>
      </c>
      <c r="H726" t="s">
        <v>12</v>
      </c>
      <c r="I726" t="s">
        <v>13</v>
      </c>
      <c r="J726">
        <v>1</v>
      </c>
    </row>
    <row r="727" spans="1:10" x14ac:dyDescent="0.3">
      <c r="A727" t="s">
        <v>9</v>
      </c>
      <c r="B727">
        <v>54</v>
      </c>
      <c r="C727">
        <v>0</v>
      </c>
      <c r="D727">
        <v>0</v>
      </c>
      <c r="E727">
        <v>0</v>
      </c>
      <c r="F727" t="s">
        <v>10</v>
      </c>
      <c r="G727" t="s">
        <v>16</v>
      </c>
      <c r="H727" t="s">
        <v>12</v>
      </c>
      <c r="I727" t="s">
        <v>13</v>
      </c>
      <c r="J727">
        <v>0</v>
      </c>
    </row>
    <row r="728" spans="1:10" x14ac:dyDescent="0.3">
      <c r="A728" t="s">
        <v>9</v>
      </c>
      <c r="B728">
        <v>9</v>
      </c>
      <c r="C728">
        <v>1</v>
      </c>
      <c r="D728">
        <v>1</v>
      </c>
      <c r="E728">
        <v>1</v>
      </c>
      <c r="F728" t="s">
        <v>30</v>
      </c>
      <c r="G728" t="s">
        <v>11</v>
      </c>
      <c r="H728" t="s">
        <v>12</v>
      </c>
      <c r="I728" t="s">
        <v>13</v>
      </c>
      <c r="J728">
        <v>1</v>
      </c>
    </row>
    <row r="729" spans="1:10" x14ac:dyDescent="0.3">
      <c r="A729" t="s">
        <v>9</v>
      </c>
      <c r="B729">
        <v>14</v>
      </c>
      <c r="C729">
        <v>1</v>
      </c>
      <c r="D729">
        <v>1</v>
      </c>
      <c r="E729">
        <v>0</v>
      </c>
      <c r="F729" t="s">
        <v>32</v>
      </c>
      <c r="G729" t="s">
        <v>16</v>
      </c>
      <c r="H729" t="s">
        <v>18</v>
      </c>
      <c r="I729" t="s">
        <v>13</v>
      </c>
      <c r="J729">
        <v>1</v>
      </c>
    </row>
    <row r="730" spans="1:10" x14ac:dyDescent="0.3">
      <c r="A730" t="s">
        <v>9</v>
      </c>
      <c r="B730">
        <v>12</v>
      </c>
      <c r="C730">
        <v>1</v>
      </c>
      <c r="D730">
        <v>1</v>
      </c>
      <c r="E730">
        <v>0</v>
      </c>
      <c r="F730" t="s">
        <v>15</v>
      </c>
      <c r="G730" t="s">
        <v>11</v>
      </c>
      <c r="H730" t="s">
        <v>18</v>
      </c>
      <c r="I730" t="s">
        <v>13</v>
      </c>
      <c r="J730">
        <v>1</v>
      </c>
    </row>
    <row r="731" spans="1:10" x14ac:dyDescent="0.3">
      <c r="A731" t="s">
        <v>9</v>
      </c>
      <c r="B731">
        <v>49</v>
      </c>
      <c r="C731">
        <v>0</v>
      </c>
      <c r="D731">
        <v>0</v>
      </c>
      <c r="E731">
        <v>1</v>
      </c>
      <c r="F731" t="s">
        <v>47</v>
      </c>
      <c r="G731" t="s">
        <v>16</v>
      </c>
      <c r="H731" t="s">
        <v>18</v>
      </c>
      <c r="I731" t="s">
        <v>13</v>
      </c>
      <c r="J731">
        <v>0</v>
      </c>
    </row>
    <row r="732" spans="1:10" x14ac:dyDescent="0.3">
      <c r="A732" t="s">
        <v>14</v>
      </c>
      <c r="B732">
        <v>46</v>
      </c>
      <c r="C732">
        <v>0</v>
      </c>
      <c r="D732">
        <v>0</v>
      </c>
      <c r="E732">
        <v>0</v>
      </c>
      <c r="F732" t="s">
        <v>32</v>
      </c>
      <c r="G732" t="s">
        <v>11</v>
      </c>
      <c r="H732" t="s">
        <v>18</v>
      </c>
      <c r="I732" t="s">
        <v>13</v>
      </c>
      <c r="J732">
        <v>0</v>
      </c>
    </row>
    <row r="733" spans="1:10" x14ac:dyDescent="0.3">
      <c r="A733" t="s">
        <v>14</v>
      </c>
      <c r="B733">
        <v>35</v>
      </c>
      <c r="C733">
        <v>0</v>
      </c>
      <c r="D733">
        <v>0</v>
      </c>
      <c r="E733">
        <v>1</v>
      </c>
      <c r="F733" t="s">
        <v>43</v>
      </c>
      <c r="G733" t="s">
        <v>16</v>
      </c>
      <c r="H733" t="s">
        <v>12</v>
      </c>
      <c r="I733" t="s">
        <v>13</v>
      </c>
      <c r="J733">
        <v>0</v>
      </c>
    </row>
    <row r="734" spans="1:10" x14ac:dyDescent="0.3">
      <c r="A734" t="s">
        <v>9</v>
      </c>
      <c r="B734">
        <v>45</v>
      </c>
      <c r="C734">
        <v>1</v>
      </c>
      <c r="D734">
        <v>1</v>
      </c>
      <c r="E734">
        <v>0</v>
      </c>
      <c r="F734" t="s">
        <v>22</v>
      </c>
      <c r="G734" t="s">
        <v>11</v>
      </c>
      <c r="H734" t="s">
        <v>12</v>
      </c>
      <c r="I734" t="s">
        <v>13</v>
      </c>
      <c r="J734">
        <v>1</v>
      </c>
    </row>
    <row r="735" spans="1:10" x14ac:dyDescent="0.3">
      <c r="A735" t="s">
        <v>14</v>
      </c>
      <c r="B735">
        <v>48</v>
      </c>
      <c r="C735">
        <v>0</v>
      </c>
      <c r="D735">
        <v>0</v>
      </c>
      <c r="E735">
        <v>0</v>
      </c>
      <c r="F735" t="s">
        <v>51</v>
      </c>
      <c r="G735" t="s">
        <v>16</v>
      </c>
      <c r="H735" t="s">
        <v>18</v>
      </c>
      <c r="I735" t="s">
        <v>13</v>
      </c>
      <c r="J735">
        <v>0</v>
      </c>
    </row>
    <row r="736" spans="1:10" x14ac:dyDescent="0.3">
      <c r="A736" t="s">
        <v>14</v>
      </c>
      <c r="B736">
        <v>50</v>
      </c>
      <c r="C736">
        <v>0</v>
      </c>
      <c r="D736">
        <v>0</v>
      </c>
      <c r="E736">
        <v>0</v>
      </c>
      <c r="F736" t="s">
        <v>37</v>
      </c>
      <c r="G736" t="s">
        <v>11</v>
      </c>
      <c r="H736" t="s">
        <v>18</v>
      </c>
      <c r="I736" t="s">
        <v>13</v>
      </c>
      <c r="J736">
        <v>0</v>
      </c>
    </row>
    <row r="737" spans="1:10" x14ac:dyDescent="0.3">
      <c r="A737" t="s">
        <v>14</v>
      </c>
      <c r="B737">
        <v>37</v>
      </c>
      <c r="C737">
        <v>0</v>
      </c>
      <c r="D737">
        <v>0</v>
      </c>
      <c r="E737">
        <v>0</v>
      </c>
      <c r="F737" t="s">
        <v>24</v>
      </c>
      <c r="G737" t="s">
        <v>16</v>
      </c>
      <c r="H737" t="s">
        <v>12</v>
      </c>
      <c r="I737" t="s">
        <v>13</v>
      </c>
      <c r="J737">
        <v>0</v>
      </c>
    </row>
    <row r="738" spans="1:10" x14ac:dyDescent="0.3">
      <c r="A738" t="s">
        <v>9</v>
      </c>
      <c r="B738">
        <v>39</v>
      </c>
      <c r="C738">
        <v>0</v>
      </c>
      <c r="D738">
        <v>0</v>
      </c>
      <c r="E738">
        <v>1</v>
      </c>
      <c r="F738" t="s">
        <v>39</v>
      </c>
      <c r="G738" t="s">
        <v>11</v>
      </c>
      <c r="H738" t="s">
        <v>12</v>
      </c>
      <c r="I738" t="s">
        <v>13</v>
      </c>
      <c r="J738">
        <v>0</v>
      </c>
    </row>
    <row r="739" spans="1:10" x14ac:dyDescent="0.3">
      <c r="A739" t="s">
        <v>14</v>
      </c>
      <c r="B739">
        <v>56</v>
      </c>
      <c r="C739">
        <v>1</v>
      </c>
      <c r="D739">
        <v>1</v>
      </c>
      <c r="E739">
        <v>0</v>
      </c>
      <c r="F739" t="s">
        <v>30</v>
      </c>
      <c r="G739" t="s">
        <v>16</v>
      </c>
      <c r="H739" t="s">
        <v>12</v>
      </c>
      <c r="I739" t="s">
        <v>13</v>
      </c>
      <c r="J739">
        <v>1</v>
      </c>
    </row>
    <row r="740" spans="1:10" x14ac:dyDescent="0.3">
      <c r="A740" t="s">
        <v>9</v>
      </c>
      <c r="B740">
        <v>11</v>
      </c>
      <c r="C740">
        <v>0</v>
      </c>
      <c r="D740">
        <v>0</v>
      </c>
      <c r="E740">
        <v>1</v>
      </c>
      <c r="F740" t="s">
        <v>15</v>
      </c>
      <c r="G740" t="s">
        <v>11</v>
      </c>
      <c r="H740" t="s">
        <v>23</v>
      </c>
      <c r="I740" t="s">
        <v>13</v>
      </c>
      <c r="J740">
        <v>0</v>
      </c>
    </row>
    <row r="741" spans="1:10" x14ac:dyDescent="0.3">
      <c r="A741" t="s">
        <v>14</v>
      </c>
      <c r="B741">
        <v>46</v>
      </c>
      <c r="C741">
        <v>1</v>
      </c>
      <c r="D741">
        <v>1</v>
      </c>
      <c r="E741">
        <v>0</v>
      </c>
      <c r="F741" t="s">
        <v>47</v>
      </c>
      <c r="G741" t="s">
        <v>16</v>
      </c>
      <c r="H741" t="s">
        <v>12</v>
      </c>
      <c r="I741" t="s">
        <v>13</v>
      </c>
      <c r="J741">
        <v>1</v>
      </c>
    </row>
    <row r="742" spans="1:10" x14ac:dyDescent="0.3">
      <c r="A742" t="s">
        <v>9</v>
      </c>
      <c r="B742">
        <v>32</v>
      </c>
      <c r="C742">
        <v>0</v>
      </c>
      <c r="D742">
        <v>0</v>
      </c>
      <c r="E742">
        <v>1</v>
      </c>
      <c r="F742" t="s">
        <v>28</v>
      </c>
      <c r="G742" t="s">
        <v>11</v>
      </c>
      <c r="H742" t="s">
        <v>23</v>
      </c>
      <c r="I742" t="s">
        <v>13</v>
      </c>
      <c r="J742">
        <v>0</v>
      </c>
    </row>
    <row r="743" spans="1:10" x14ac:dyDescent="0.3">
      <c r="A743" t="s">
        <v>14</v>
      </c>
      <c r="B743">
        <v>65</v>
      </c>
      <c r="C743">
        <v>0</v>
      </c>
      <c r="D743">
        <v>0</v>
      </c>
      <c r="E743">
        <v>0</v>
      </c>
      <c r="F743" t="s">
        <v>52</v>
      </c>
      <c r="G743" t="s">
        <v>16</v>
      </c>
      <c r="H743" t="s">
        <v>23</v>
      </c>
      <c r="I743" t="s">
        <v>13</v>
      </c>
      <c r="J743">
        <v>0</v>
      </c>
    </row>
    <row r="744" spans="1:10" x14ac:dyDescent="0.3">
      <c r="A744" t="s">
        <v>14</v>
      </c>
      <c r="B744">
        <v>55</v>
      </c>
      <c r="C744">
        <v>1</v>
      </c>
      <c r="D744">
        <v>1</v>
      </c>
      <c r="E744">
        <v>1</v>
      </c>
      <c r="F744" t="s">
        <v>38</v>
      </c>
      <c r="G744" t="s">
        <v>11</v>
      </c>
      <c r="H744" t="s">
        <v>18</v>
      </c>
      <c r="I744" t="s">
        <v>13</v>
      </c>
      <c r="J744">
        <v>1</v>
      </c>
    </row>
    <row r="745" spans="1:10" x14ac:dyDescent="0.3">
      <c r="A745" t="s">
        <v>14</v>
      </c>
      <c r="B745">
        <v>34</v>
      </c>
      <c r="C745">
        <v>0</v>
      </c>
      <c r="D745">
        <v>0</v>
      </c>
      <c r="E745">
        <v>1</v>
      </c>
      <c r="F745" t="s">
        <v>41</v>
      </c>
      <c r="G745" t="s">
        <v>16</v>
      </c>
      <c r="H745" t="s">
        <v>18</v>
      </c>
      <c r="I745" t="s">
        <v>13</v>
      </c>
      <c r="J745">
        <v>0</v>
      </c>
    </row>
    <row r="746" spans="1:10" x14ac:dyDescent="0.3">
      <c r="A746" t="s">
        <v>14</v>
      </c>
      <c r="B746">
        <v>21</v>
      </c>
      <c r="C746">
        <v>0</v>
      </c>
      <c r="D746">
        <v>0</v>
      </c>
      <c r="E746">
        <v>0</v>
      </c>
      <c r="F746" t="s">
        <v>40</v>
      </c>
      <c r="G746" t="s">
        <v>11</v>
      </c>
      <c r="H746" t="s">
        <v>23</v>
      </c>
      <c r="I746" t="s">
        <v>13</v>
      </c>
      <c r="J746">
        <v>0</v>
      </c>
    </row>
    <row r="747" spans="1:10" x14ac:dyDescent="0.3">
      <c r="A747" t="s">
        <v>9</v>
      </c>
      <c r="B747">
        <v>11</v>
      </c>
      <c r="C747">
        <v>0</v>
      </c>
      <c r="D747">
        <v>0</v>
      </c>
      <c r="E747">
        <v>0</v>
      </c>
      <c r="F747" t="s">
        <v>22</v>
      </c>
      <c r="G747" t="s">
        <v>16</v>
      </c>
      <c r="H747" t="s">
        <v>18</v>
      </c>
      <c r="I747" t="s">
        <v>13</v>
      </c>
      <c r="J747">
        <v>0</v>
      </c>
    </row>
    <row r="748" spans="1:10" x14ac:dyDescent="0.3">
      <c r="A748" t="s">
        <v>14</v>
      </c>
      <c r="B748">
        <v>46</v>
      </c>
      <c r="C748">
        <v>0</v>
      </c>
      <c r="D748">
        <v>0</v>
      </c>
      <c r="E748">
        <v>0</v>
      </c>
      <c r="F748" t="s">
        <v>27</v>
      </c>
      <c r="G748" t="s">
        <v>11</v>
      </c>
      <c r="H748" t="s">
        <v>12</v>
      </c>
      <c r="I748" t="s">
        <v>13</v>
      </c>
      <c r="J748">
        <v>0</v>
      </c>
    </row>
    <row r="749" spans="1:10" x14ac:dyDescent="0.3">
      <c r="A749" t="s">
        <v>14</v>
      </c>
      <c r="B749">
        <v>21</v>
      </c>
      <c r="C749">
        <v>1</v>
      </c>
      <c r="D749">
        <v>1</v>
      </c>
      <c r="E749">
        <v>0</v>
      </c>
      <c r="F749" t="s">
        <v>35</v>
      </c>
      <c r="G749" t="s">
        <v>16</v>
      </c>
      <c r="H749" t="s">
        <v>18</v>
      </c>
      <c r="I749" t="s">
        <v>13</v>
      </c>
      <c r="J749">
        <v>1</v>
      </c>
    </row>
    <row r="750" spans="1:10" x14ac:dyDescent="0.3">
      <c r="A750" t="s">
        <v>9</v>
      </c>
      <c r="B750">
        <v>61</v>
      </c>
      <c r="C750">
        <v>0</v>
      </c>
      <c r="D750">
        <v>0</v>
      </c>
      <c r="E750">
        <v>0</v>
      </c>
      <c r="F750" t="s">
        <v>21</v>
      </c>
      <c r="G750" t="s">
        <v>11</v>
      </c>
      <c r="H750" t="s">
        <v>23</v>
      </c>
      <c r="I750" t="s">
        <v>13</v>
      </c>
      <c r="J750">
        <v>0</v>
      </c>
    </row>
    <row r="751" spans="1:10" x14ac:dyDescent="0.3">
      <c r="A751" t="s">
        <v>14</v>
      </c>
      <c r="B751">
        <v>35</v>
      </c>
      <c r="C751">
        <v>1</v>
      </c>
      <c r="D751">
        <v>1</v>
      </c>
      <c r="E751">
        <v>1</v>
      </c>
      <c r="F751" t="s">
        <v>33</v>
      </c>
      <c r="G751" t="s">
        <v>16</v>
      </c>
      <c r="H751" t="s">
        <v>12</v>
      </c>
      <c r="I751" t="s">
        <v>13</v>
      </c>
      <c r="J751">
        <v>1</v>
      </c>
    </row>
    <row r="752" spans="1:10" x14ac:dyDescent="0.3">
      <c r="A752" t="s">
        <v>9</v>
      </c>
      <c r="B752">
        <v>46</v>
      </c>
      <c r="C752">
        <v>1</v>
      </c>
      <c r="D752">
        <v>1</v>
      </c>
      <c r="E752">
        <v>1</v>
      </c>
      <c r="F752" t="s">
        <v>48</v>
      </c>
      <c r="G752" t="s">
        <v>11</v>
      </c>
      <c r="H752" t="s">
        <v>23</v>
      </c>
      <c r="I752" t="s">
        <v>13</v>
      </c>
      <c r="J752">
        <v>1</v>
      </c>
    </row>
    <row r="753" spans="1:10" x14ac:dyDescent="0.3">
      <c r="A753" t="s">
        <v>9</v>
      </c>
      <c r="B753">
        <v>11</v>
      </c>
      <c r="C753">
        <v>0</v>
      </c>
      <c r="D753">
        <v>0</v>
      </c>
      <c r="E753">
        <v>0</v>
      </c>
      <c r="F753" t="s">
        <v>35</v>
      </c>
      <c r="G753" t="s">
        <v>16</v>
      </c>
      <c r="H753" t="s">
        <v>18</v>
      </c>
      <c r="I753" t="s">
        <v>13</v>
      </c>
      <c r="J753">
        <v>0</v>
      </c>
    </row>
    <row r="754" spans="1:10" x14ac:dyDescent="0.3">
      <c r="A754" t="s">
        <v>14</v>
      </c>
      <c r="B754">
        <v>49</v>
      </c>
      <c r="C754">
        <v>1</v>
      </c>
      <c r="D754">
        <v>1</v>
      </c>
      <c r="E754">
        <v>0</v>
      </c>
      <c r="F754" t="s">
        <v>25</v>
      </c>
      <c r="G754" t="s">
        <v>11</v>
      </c>
      <c r="H754" t="s">
        <v>12</v>
      </c>
      <c r="I754" t="s">
        <v>13</v>
      </c>
      <c r="J754">
        <v>1</v>
      </c>
    </row>
    <row r="755" spans="1:10" x14ac:dyDescent="0.3">
      <c r="A755" t="s">
        <v>9</v>
      </c>
      <c r="B755">
        <v>43</v>
      </c>
      <c r="C755">
        <v>1</v>
      </c>
      <c r="D755">
        <v>1</v>
      </c>
      <c r="E755">
        <v>1</v>
      </c>
      <c r="F755" t="s">
        <v>21</v>
      </c>
      <c r="G755" t="s">
        <v>16</v>
      </c>
      <c r="H755" t="s">
        <v>18</v>
      </c>
      <c r="I755" t="s">
        <v>13</v>
      </c>
      <c r="J755">
        <v>1</v>
      </c>
    </row>
    <row r="756" spans="1:10" x14ac:dyDescent="0.3">
      <c r="A756" t="s">
        <v>9</v>
      </c>
      <c r="B756">
        <v>49</v>
      </c>
      <c r="C756">
        <v>1</v>
      </c>
      <c r="D756">
        <v>1</v>
      </c>
      <c r="E756">
        <v>0</v>
      </c>
      <c r="F756" t="s">
        <v>45</v>
      </c>
      <c r="G756" t="s">
        <v>11</v>
      </c>
      <c r="H756" t="s">
        <v>23</v>
      </c>
      <c r="I756" t="s">
        <v>13</v>
      </c>
      <c r="J756">
        <v>1</v>
      </c>
    </row>
    <row r="757" spans="1:10" x14ac:dyDescent="0.3">
      <c r="A757" t="s">
        <v>14</v>
      </c>
      <c r="B757">
        <v>46</v>
      </c>
      <c r="C757">
        <v>1</v>
      </c>
      <c r="D757">
        <v>1</v>
      </c>
      <c r="E757">
        <v>0</v>
      </c>
      <c r="F757" t="s">
        <v>43</v>
      </c>
      <c r="G757" t="s">
        <v>16</v>
      </c>
      <c r="H757" t="s">
        <v>23</v>
      </c>
      <c r="I757" t="s">
        <v>13</v>
      </c>
      <c r="J757">
        <v>1</v>
      </c>
    </row>
    <row r="758" spans="1:10" x14ac:dyDescent="0.3">
      <c r="A758" t="s">
        <v>9</v>
      </c>
      <c r="B758">
        <v>50</v>
      </c>
      <c r="C758">
        <v>0</v>
      </c>
      <c r="D758">
        <v>0</v>
      </c>
      <c r="E758">
        <v>1</v>
      </c>
      <c r="F758" t="s">
        <v>10</v>
      </c>
      <c r="G758" t="s">
        <v>11</v>
      </c>
      <c r="H758" t="s">
        <v>12</v>
      </c>
      <c r="I758" t="s">
        <v>13</v>
      </c>
      <c r="J758">
        <v>0</v>
      </c>
    </row>
    <row r="759" spans="1:10" x14ac:dyDescent="0.3">
      <c r="A759" t="s">
        <v>14</v>
      </c>
      <c r="B759">
        <v>20</v>
      </c>
      <c r="C759">
        <v>0</v>
      </c>
      <c r="D759">
        <v>0</v>
      </c>
      <c r="E759">
        <v>0</v>
      </c>
      <c r="F759" t="s">
        <v>26</v>
      </c>
      <c r="G759" t="s">
        <v>16</v>
      </c>
      <c r="H759" t="s">
        <v>12</v>
      </c>
      <c r="I759" t="s">
        <v>13</v>
      </c>
      <c r="J759">
        <v>0</v>
      </c>
    </row>
    <row r="760" spans="1:10" x14ac:dyDescent="0.3">
      <c r="A760" t="s">
        <v>14</v>
      </c>
      <c r="B760">
        <v>58</v>
      </c>
      <c r="C760">
        <v>1</v>
      </c>
      <c r="D760">
        <v>1</v>
      </c>
      <c r="E760">
        <v>1</v>
      </c>
      <c r="F760" t="s">
        <v>25</v>
      </c>
      <c r="G760" t="s">
        <v>11</v>
      </c>
      <c r="H760" t="s">
        <v>23</v>
      </c>
      <c r="I760" t="s">
        <v>13</v>
      </c>
      <c r="J760">
        <v>1</v>
      </c>
    </row>
    <row r="761" spans="1:10" x14ac:dyDescent="0.3">
      <c r="A761" t="s">
        <v>9</v>
      </c>
      <c r="B761">
        <v>46</v>
      </c>
      <c r="C761">
        <v>0</v>
      </c>
      <c r="D761">
        <v>0</v>
      </c>
      <c r="E761">
        <v>0</v>
      </c>
      <c r="F761" t="s">
        <v>45</v>
      </c>
      <c r="G761" t="s">
        <v>16</v>
      </c>
      <c r="H761" t="s">
        <v>23</v>
      </c>
      <c r="I761" t="s">
        <v>13</v>
      </c>
      <c r="J761">
        <v>0</v>
      </c>
    </row>
    <row r="762" spans="1:10" x14ac:dyDescent="0.3">
      <c r="A762" t="s">
        <v>14</v>
      </c>
      <c r="B762">
        <v>24</v>
      </c>
      <c r="C762">
        <v>0</v>
      </c>
      <c r="D762">
        <v>0</v>
      </c>
      <c r="E762">
        <v>1</v>
      </c>
      <c r="F762" t="s">
        <v>26</v>
      </c>
      <c r="G762" t="s">
        <v>11</v>
      </c>
      <c r="H762" t="s">
        <v>12</v>
      </c>
      <c r="I762" t="s">
        <v>13</v>
      </c>
      <c r="J762">
        <v>0</v>
      </c>
    </row>
    <row r="763" spans="1:10" x14ac:dyDescent="0.3">
      <c r="A763" t="s">
        <v>14</v>
      </c>
      <c r="B763">
        <v>29</v>
      </c>
      <c r="C763">
        <v>0</v>
      </c>
      <c r="D763">
        <v>0</v>
      </c>
      <c r="E763">
        <v>0</v>
      </c>
      <c r="F763" t="s">
        <v>41</v>
      </c>
      <c r="G763" t="s">
        <v>16</v>
      </c>
      <c r="H763" t="s">
        <v>18</v>
      </c>
      <c r="I763" t="s">
        <v>13</v>
      </c>
      <c r="J763">
        <v>0</v>
      </c>
    </row>
    <row r="764" spans="1:10" x14ac:dyDescent="0.3">
      <c r="A764" t="s">
        <v>14</v>
      </c>
      <c r="B764">
        <v>46</v>
      </c>
      <c r="C764">
        <v>0</v>
      </c>
      <c r="D764">
        <v>0</v>
      </c>
      <c r="E764">
        <v>1</v>
      </c>
      <c r="F764" t="s">
        <v>49</v>
      </c>
      <c r="G764" t="s">
        <v>11</v>
      </c>
      <c r="H764" t="s">
        <v>23</v>
      </c>
      <c r="I764" t="s">
        <v>13</v>
      </c>
      <c r="J764">
        <v>0</v>
      </c>
    </row>
    <row r="765" spans="1:10" x14ac:dyDescent="0.3">
      <c r="A765" t="s">
        <v>14</v>
      </c>
      <c r="B765">
        <v>42</v>
      </c>
      <c r="C765">
        <v>1</v>
      </c>
      <c r="D765">
        <v>1</v>
      </c>
      <c r="E765">
        <v>1</v>
      </c>
      <c r="F765" t="s">
        <v>50</v>
      </c>
      <c r="G765" t="s">
        <v>16</v>
      </c>
      <c r="H765" t="s">
        <v>12</v>
      </c>
      <c r="I765" t="s">
        <v>13</v>
      </c>
      <c r="J765">
        <v>1</v>
      </c>
    </row>
    <row r="766" spans="1:10" x14ac:dyDescent="0.3">
      <c r="A766" t="s">
        <v>9</v>
      </c>
      <c r="B766">
        <v>56</v>
      </c>
      <c r="C766">
        <v>0</v>
      </c>
      <c r="D766">
        <v>0</v>
      </c>
      <c r="E766">
        <v>0</v>
      </c>
      <c r="F766" t="s">
        <v>41</v>
      </c>
      <c r="G766" t="s">
        <v>11</v>
      </c>
      <c r="H766" t="s">
        <v>18</v>
      </c>
      <c r="I766" t="s">
        <v>13</v>
      </c>
      <c r="J766">
        <v>0</v>
      </c>
    </row>
    <row r="767" spans="1:10" x14ac:dyDescent="0.3">
      <c r="A767" t="s">
        <v>14</v>
      </c>
      <c r="B767">
        <v>8</v>
      </c>
      <c r="C767">
        <v>0</v>
      </c>
      <c r="D767">
        <v>0</v>
      </c>
      <c r="E767">
        <v>0</v>
      </c>
      <c r="F767" t="s">
        <v>17</v>
      </c>
      <c r="G767" t="s">
        <v>16</v>
      </c>
      <c r="H767" t="s">
        <v>23</v>
      </c>
      <c r="I767" t="s">
        <v>13</v>
      </c>
      <c r="J767">
        <v>0</v>
      </c>
    </row>
    <row r="768" spans="1:10" x14ac:dyDescent="0.3">
      <c r="A768" t="s">
        <v>14</v>
      </c>
      <c r="B768">
        <v>13</v>
      </c>
      <c r="C768">
        <v>0</v>
      </c>
      <c r="D768">
        <v>0</v>
      </c>
      <c r="E768">
        <v>0</v>
      </c>
      <c r="F768" t="s">
        <v>40</v>
      </c>
      <c r="G768" t="s">
        <v>11</v>
      </c>
      <c r="H768" t="s">
        <v>12</v>
      </c>
      <c r="I768" t="s">
        <v>13</v>
      </c>
      <c r="J768">
        <v>0</v>
      </c>
    </row>
    <row r="769" spans="1:10" x14ac:dyDescent="0.3">
      <c r="A769" t="s">
        <v>14</v>
      </c>
      <c r="B769">
        <v>10</v>
      </c>
      <c r="C769">
        <v>1</v>
      </c>
      <c r="D769">
        <v>1</v>
      </c>
      <c r="E769">
        <v>0</v>
      </c>
      <c r="F769" t="s">
        <v>28</v>
      </c>
      <c r="G769" t="s">
        <v>16</v>
      </c>
      <c r="H769" t="s">
        <v>23</v>
      </c>
      <c r="I769" t="s">
        <v>13</v>
      </c>
      <c r="J769">
        <v>1</v>
      </c>
    </row>
    <row r="770" spans="1:10" x14ac:dyDescent="0.3">
      <c r="A770" t="s">
        <v>14</v>
      </c>
      <c r="B770">
        <v>34</v>
      </c>
      <c r="C770">
        <v>0</v>
      </c>
      <c r="D770">
        <v>0</v>
      </c>
      <c r="E770">
        <v>1</v>
      </c>
      <c r="F770" t="s">
        <v>51</v>
      </c>
      <c r="G770" t="s">
        <v>11</v>
      </c>
      <c r="H770" t="s">
        <v>18</v>
      </c>
      <c r="I770" t="s">
        <v>13</v>
      </c>
      <c r="J770">
        <v>0</v>
      </c>
    </row>
    <row r="771" spans="1:10" x14ac:dyDescent="0.3">
      <c r="A771" t="s">
        <v>9</v>
      </c>
      <c r="B771">
        <v>33</v>
      </c>
      <c r="C771">
        <v>1</v>
      </c>
      <c r="D771">
        <v>1</v>
      </c>
      <c r="E771">
        <v>1</v>
      </c>
      <c r="F771" t="s">
        <v>43</v>
      </c>
      <c r="G771" t="s">
        <v>16</v>
      </c>
      <c r="H771" t="s">
        <v>23</v>
      </c>
      <c r="I771" t="s">
        <v>13</v>
      </c>
      <c r="J771">
        <v>1</v>
      </c>
    </row>
    <row r="772" spans="1:10" x14ac:dyDescent="0.3">
      <c r="A772" t="s">
        <v>14</v>
      </c>
      <c r="B772">
        <v>43</v>
      </c>
      <c r="C772">
        <v>1</v>
      </c>
      <c r="D772">
        <v>1</v>
      </c>
      <c r="E772">
        <v>0</v>
      </c>
      <c r="F772" t="s">
        <v>36</v>
      </c>
      <c r="G772" t="s">
        <v>11</v>
      </c>
      <c r="H772" t="s">
        <v>18</v>
      </c>
      <c r="I772" t="s">
        <v>13</v>
      </c>
      <c r="J772">
        <v>1</v>
      </c>
    </row>
    <row r="773" spans="1:10" x14ac:dyDescent="0.3">
      <c r="A773" t="s">
        <v>9</v>
      </c>
      <c r="B773">
        <v>36</v>
      </c>
      <c r="C773">
        <v>1</v>
      </c>
      <c r="D773">
        <v>1</v>
      </c>
      <c r="E773">
        <v>0</v>
      </c>
      <c r="F773" t="s">
        <v>38</v>
      </c>
      <c r="G773" t="s">
        <v>16</v>
      </c>
      <c r="H773" t="s">
        <v>18</v>
      </c>
      <c r="I773" t="s">
        <v>13</v>
      </c>
      <c r="J773">
        <v>1</v>
      </c>
    </row>
    <row r="774" spans="1:10" x14ac:dyDescent="0.3">
      <c r="A774" t="s">
        <v>9</v>
      </c>
      <c r="B774">
        <v>50</v>
      </c>
      <c r="C774">
        <v>1</v>
      </c>
      <c r="D774">
        <v>1</v>
      </c>
      <c r="E774">
        <v>0</v>
      </c>
      <c r="F774" t="s">
        <v>26</v>
      </c>
      <c r="G774" t="s">
        <v>11</v>
      </c>
      <c r="H774" t="s">
        <v>18</v>
      </c>
      <c r="I774" t="s">
        <v>13</v>
      </c>
      <c r="J774">
        <v>1</v>
      </c>
    </row>
    <row r="775" spans="1:10" x14ac:dyDescent="0.3">
      <c r="A775" t="s">
        <v>14</v>
      </c>
      <c r="B775">
        <v>14</v>
      </c>
      <c r="C775">
        <v>1</v>
      </c>
      <c r="D775">
        <v>1</v>
      </c>
      <c r="E775">
        <v>0</v>
      </c>
      <c r="F775" t="s">
        <v>39</v>
      </c>
      <c r="G775" t="s">
        <v>16</v>
      </c>
      <c r="H775" t="s">
        <v>12</v>
      </c>
      <c r="I775" t="s">
        <v>13</v>
      </c>
      <c r="J775">
        <v>1</v>
      </c>
    </row>
    <row r="776" spans="1:10" x14ac:dyDescent="0.3">
      <c r="A776" t="s">
        <v>14</v>
      </c>
      <c r="B776">
        <v>10</v>
      </c>
      <c r="C776">
        <v>0</v>
      </c>
      <c r="D776">
        <v>0</v>
      </c>
      <c r="E776">
        <v>1</v>
      </c>
      <c r="F776" t="s">
        <v>36</v>
      </c>
      <c r="G776" t="s">
        <v>11</v>
      </c>
      <c r="H776" t="s">
        <v>18</v>
      </c>
      <c r="I776" t="s">
        <v>13</v>
      </c>
      <c r="J776">
        <v>0</v>
      </c>
    </row>
    <row r="777" spans="1:10" x14ac:dyDescent="0.3">
      <c r="A777" t="s">
        <v>14</v>
      </c>
      <c r="B777">
        <v>50</v>
      </c>
      <c r="C777">
        <v>1</v>
      </c>
      <c r="D777">
        <v>1</v>
      </c>
      <c r="E777">
        <v>0</v>
      </c>
      <c r="F777" t="s">
        <v>35</v>
      </c>
      <c r="G777" t="s">
        <v>16</v>
      </c>
      <c r="H777" t="s">
        <v>18</v>
      </c>
      <c r="I777" t="s">
        <v>13</v>
      </c>
      <c r="J777">
        <v>1</v>
      </c>
    </row>
    <row r="778" spans="1:10" x14ac:dyDescent="0.3">
      <c r="A778" t="s">
        <v>14</v>
      </c>
      <c r="B778">
        <v>62</v>
      </c>
      <c r="C778">
        <v>1</v>
      </c>
      <c r="D778">
        <v>1</v>
      </c>
      <c r="E778">
        <v>0</v>
      </c>
      <c r="F778" t="s">
        <v>28</v>
      </c>
      <c r="G778" t="s">
        <v>11</v>
      </c>
      <c r="H778" t="s">
        <v>18</v>
      </c>
      <c r="I778" t="s">
        <v>13</v>
      </c>
      <c r="J778">
        <v>1</v>
      </c>
    </row>
    <row r="779" spans="1:10" x14ac:dyDescent="0.3">
      <c r="A779" t="s">
        <v>9</v>
      </c>
      <c r="B779">
        <v>11</v>
      </c>
      <c r="C779">
        <v>0</v>
      </c>
      <c r="D779">
        <v>0</v>
      </c>
      <c r="E779">
        <v>0</v>
      </c>
      <c r="F779" t="s">
        <v>38</v>
      </c>
      <c r="G779" t="s">
        <v>16</v>
      </c>
      <c r="H779" t="s">
        <v>12</v>
      </c>
      <c r="I779" t="s">
        <v>13</v>
      </c>
      <c r="J779">
        <v>0</v>
      </c>
    </row>
    <row r="780" spans="1:10" x14ac:dyDescent="0.3">
      <c r="A780" t="s">
        <v>14</v>
      </c>
      <c r="B780">
        <v>40</v>
      </c>
      <c r="C780">
        <v>1</v>
      </c>
      <c r="D780">
        <v>1</v>
      </c>
      <c r="E780">
        <v>1</v>
      </c>
      <c r="F780" t="s">
        <v>47</v>
      </c>
      <c r="G780" t="s">
        <v>11</v>
      </c>
      <c r="H780" t="s">
        <v>12</v>
      </c>
      <c r="I780" t="s">
        <v>13</v>
      </c>
      <c r="J780">
        <v>1</v>
      </c>
    </row>
    <row r="781" spans="1:10" x14ac:dyDescent="0.3">
      <c r="A781" t="s">
        <v>14</v>
      </c>
      <c r="B781">
        <v>50</v>
      </c>
      <c r="C781">
        <v>1</v>
      </c>
      <c r="D781">
        <v>1</v>
      </c>
      <c r="E781">
        <v>1</v>
      </c>
      <c r="F781" t="s">
        <v>15</v>
      </c>
      <c r="G781" t="s">
        <v>16</v>
      </c>
      <c r="H781" t="s">
        <v>12</v>
      </c>
      <c r="I781" t="s">
        <v>13</v>
      </c>
      <c r="J781">
        <v>1</v>
      </c>
    </row>
    <row r="782" spans="1:10" x14ac:dyDescent="0.3">
      <c r="A782" t="s">
        <v>14</v>
      </c>
      <c r="B782">
        <v>17</v>
      </c>
      <c r="C782">
        <v>0</v>
      </c>
      <c r="D782">
        <v>0</v>
      </c>
      <c r="E782">
        <v>0</v>
      </c>
      <c r="F782" t="s">
        <v>37</v>
      </c>
      <c r="G782" t="s">
        <v>11</v>
      </c>
      <c r="H782" t="s">
        <v>18</v>
      </c>
      <c r="I782" t="s">
        <v>13</v>
      </c>
      <c r="J782">
        <v>0</v>
      </c>
    </row>
    <row r="783" spans="1:10" x14ac:dyDescent="0.3">
      <c r="A783" t="s">
        <v>9</v>
      </c>
      <c r="B783">
        <v>31</v>
      </c>
      <c r="C783">
        <v>1</v>
      </c>
      <c r="D783">
        <v>1</v>
      </c>
      <c r="E783">
        <v>1</v>
      </c>
      <c r="F783" t="s">
        <v>50</v>
      </c>
      <c r="G783" t="s">
        <v>16</v>
      </c>
      <c r="H783" t="s">
        <v>12</v>
      </c>
      <c r="I783" t="s">
        <v>13</v>
      </c>
      <c r="J783">
        <v>1</v>
      </c>
    </row>
    <row r="784" spans="1:10" x14ac:dyDescent="0.3">
      <c r="A784" t="s">
        <v>9</v>
      </c>
      <c r="B784">
        <v>53</v>
      </c>
      <c r="C784">
        <v>1</v>
      </c>
      <c r="D784">
        <v>1</v>
      </c>
      <c r="E784">
        <v>1</v>
      </c>
      <c r="F784" t="s">
        <v>19</v>
      </c>
      <c r="G784" t="s">
        <v>11</v>
      </c>
      <c r="H784" t="s">
        <v>12</v>
      </c>
      <c r="I784" t="s">
        <v>13</v>
      </c>
      <c r="J784">
        <v>1</v>
      </c>
    </row>
    <row r="785" spans="1:10" x14ac:dyDescent="0.3">
      <c r="A785" t="s">
        <v>14</v>
      </c>
      <c r="B785">
        <v>29</v>
      </c>
      <c r="C785">
        <v>0</v>
      </c>
      <c r="D785">
        <v>0</v>
      </c>
      <c r="E785">
        <v>1</v>
      </c>
      <c r="F785" t="s">
        <v>41</v>
      </c>
      <c r="G785" t="s">
        <v>16</v>
      </c>
      <c r="H785" t="s">
        <v>18</v>
      </c>
      <c r="I785" t="s">
        <v>13</v>
      </c>
      <c r="J785">
        <v>0</v>
      </c>
    </row>
    <row r="786" spans="1:10" x14ac:dyDescent="0.3">
      <c r="A786" t="s">
        <v>9</v>
      </c>
      <c r="B786">
        <v>32</v>
      </c>
      <c r="C786">
        <v>1</v>
      </c>
      <c r="D786">
        <v>1</v>
      </c>
      <c r="E786">
        <v>1</v>
      </c>
      <c r="F786" t="s">
        <v>27</v>
      </c>
      <c r="G786" t="s">
        <v>11</v>
      </c>
      <c r="H786" t="s">
        <v>23</v>
      </c>
      <c r="I786" t="s">
        <v>13</v>
      </c>
      <c r="J786">
        <v>1</v>
      </c>
    </row>
    <row r="787" spans="1:10" x14ac:dyDescent="0.3">
      <c r="A787" t="s">
        <v>9</v>
      </c>
      <c r="B787">
        <v>45</v>
      </c>
      <c r="C787">
        <v>0</v>
      </c>
      <c r="D787">
        <v>0</v>
      </c>
      <c r="E787">
        <v>0</v>
      </c>
      <c r="F787" t="s">
        <v>52</v>
      </c>
      <c r="G787" t="s">
        <v>16</v>
      </c>
      <c r="H787" t="s">
        <v>18</v>
      </c>
      <c r="I787" t="s">
        <v>13</v>
      </c>
      <c r="J787">
        <v>0</v>
      </c>
    </row>
    <row r="788" spans="1:10" x14ac:dyDescent="0.3">
      <c r="A788" t="s">
        <v>14</v>
      </c>
      <c r="B788">
        <v>63</v>
      </c>
      <c r="C788">
        <v>0</v>
      </c>
      <c r="D788">
        <v>0</v>
      </c>
      <c r="E788">
        <v>1</v>
      </c>
      <c r="F788" t="s">
        <v>31</v>
      </c>
      <c r="G788" t="s">
        <v>11</v>
      </c>
      <c r="H788" t="s">
        <v>23</v>
      </c>
      <c r="I788" t="s">
        <v>13</v>
      </c>
      <c r="J788">
        <v>0</v>
      </c>
    </row>
    <row r="789" spans="1:10" x14ac:dyDescent="0.3">
      <c r="A789" t="s">
        <v>14</v>
      </c>
      <c r="B789">
        <v>22</v>
      </c>
      <c r="C789">
        <v>1</v>
      </c>
      <c r="D789">
        <v>1</v>
      </c>
      <c r="E789">
        <v>1</v>
      </c>
      <c r="F789" t="s">
        <v>46</v>
      </c>
      <c r="G789" t="s">
        <v>16</v>
      </c>
      <c r="H789" t="s">
        <v>18</v>
      </c>
      <c r="I789" t="s">
        <v>13</v>
      </c>
      <c r="J789">
        <v>1</v>
      </c>
    </row>
    <row r="790" spans="1:10" x14ac:dyDescent="0.3">
      <c r="A790" t="s">
        <v>14</v>
      </c>
      <c r="B790">
        <v>46</v>
      </c>
      <c r="C790">
        <v>0</v>
      </c>
      <c r="D790">
        <v>0</v>
      </c>
      <c r="E790">
        <v>0</v>
      </c>
      <c r="F790" t="s">
        <v>17</v>
      </c>
      <c r="G790" t="s">
        <v>11</v>
      </c>
      <c r="H790" t="s">
        <v>23</v>
      </c>
      <c r="I790" t="s">
        <v>13</v>
      </c>
      <c r="J790">
        <v>0</v>
      </c>
    </row>
    <row r="791" spans="1:10" x14ac:dyDescent="0.3">
      <c r="A791" t="s">
        <v>14</v>
      </c>
      <c r="B791">
        <v>31</v>
      </c>
      <c r="C791">
        <v>1</v>
      </c>
      <c r="D791">
        <v>1</v>
      </c>
      <c r="E791">
        <v>0</v>
      </c>
      <c r="F791" t="s">
        <v>29</v>
      </c>
      <c r="G791" t="s">
        <v>16</v>
      </c>
      <c r="H791" t="s">
        <v>18</v>
      </c>
      <c r="I791" t="s">
        <v>13</v>
      </c>
      <c r="J791">
        <v>1</v>
      </c>
    </row>
    <row r="792" spans="1:10" x14ac:dyDescent="0.3">
      <c r="A792" t="s">
        <v>14</v>
      </c>
      <c r="B792">
        <v>42</v>
      </c>
      <c r="C792">
        <v>1</v>
      </c>
      <c r="D792">
        <v>1</v>
      </c>
      <c r="E792">
        <v>1</v>
      </c>
      <c r="F792" t="s">
        <v>51</v>
      </c>
      <c r="G792" t="s">
        <v>11</v>
      </c>
      <c r="H792" t="s">
        <v>23</v>
      </c>
      <c r="I792" t="s">
        <v>13</v>
      </c>
      <c r="J792">
        <v>1</v>
      </c>
    </row>
    <row r="793" spans="1:10" x14ac:dyDescent="0.3">
      <c r="A793" t="s">
        <v>14</v>
      </c>
      <c r="B793">
        <v>54</v>
      </c>
      <c r="C793">
        <v>0</v>
      </c>
      <c r="D793">
        <v>0</v>
      </c>
      <c r="E793">
        <v>0</v>
      </c>
      <c r="F793" t="s">
        <v>34</v>
      </c>
      <c r="G793" t="s">
        <v>16</v>
      </c>
      <c r="H793" t="s">
        <v>18</v>
      </c>
      <c r="I793" t="s">
        <v>13</v>
      </c>
      <c r="J793">
        <v>0</v>
      </c>
    </row>
    <row r="794" spans="1:10" x14ac:dyDescent="0.3">
      <c r="A794" t="s">
        <v>9</v>
      </c>
      <c r="B794">
        <v>27</v>
      </c>
      <c r="C794">
        <v>0</v>
      </c>
      <c r="D794">
        <v>0</v>
      </c>
      <c r="E794">
        <v>1</v>
      </c>
      <c r="F794" t="s">
        <v>36</v>
      </c>
      <c r="G794" t="s">
        <v>11</v>
      </c>
      <c r="H794" t="s">
        <v>18</v>
      </c>
      <c r="I794" t="s">
        <v>13</v>
      </c>
      <c r="J794">
        <v>0</v>
      </c>
    </row>
    <row r="795" spans="1:10" x14ac:dyDescent="0.3">
      <c r="A795" t="s">
        <v>14</v>
      </c>
      <c r="B795">
        <v>57</v>
      </c>
      <c r="C795">
        <v>1</v>
      </c>
      <c r="D795">
        <v>1</v>
      </c>
      <c r="E795">
        <v>1</v>
      </c>
      <c r="F795" t="s">
        <v>22</v>
      </c>
      <c r="G795" t="s">
        <v>16</v>
      </c>
      <c r="H795" t="s">
        <v>18</v>
      </c>
      <c r="I795" t="s">
        <v>13</v>
      </c>
      <c r="J795">
        <v>1</v>
      </c>
    </row>
    <row r="796" spans="1:10" x14ac:dyDescent="0.3">
      <c r="A796" t="s">
        <v>14</v>
      </c>
      <c r="B796">
        <v>46</v>
      </c>
      <c r="C796">
        <v>1</v>
      </c>
      <c r="D796">
        <v>1</v>
      </c>
      <c r="E796">
        <v>1</v>
      </c>
      <c r="F796" t="s">
        <v>32</v>
      </c>
      <c r="G796" t="s">
        <v>11</v>
      </c>
      <c r="H796" t="s">
        <v>23</v>
      </c>
      <c r="I796" t="s">
        <v>13</v>
      </c>
      <c r="J796">
        <v>1</v>
      </c>
    </row>
    <row r="797" spans="1:10" x14ac:dyDescent="0.3">
      <c r="A797" t="s">
        <v>14</v>
      </c>
      <c r="B797">
        <v>29</v>
      </c>
      <c r="C797">
        <v>0</v>
      </c>
      <c r="D797">
        <v>0</v>
      </c>
      <c r="E797">
        <v>1</v>
      </c>
      <c r="F797" t="s">
        <v>50</v>
      </c>
      <c r="G797" t="s">
        <v>16</v>
      </c>
      <c r="H797" t="s">
        <v>12</v>
      </c>
      <c r="I797" t="s">
        <v>13</v>
      </c>
      <c r="J797">
        <v>0</v>
      </c>
    </row>
    <row r="798" spans="1:10" x14ac:dyDescent="0.3">
      <c r="A798" t="s">
        <v>14</v>
      </c>
      <c r="B798">
        <v>34</v>
      </c>
      <c r="C798">
        <v>1</v>
      </c>
      <c r="D798">
        <v>1</v>
      </c>
      <c r="E798">
        <v>0</v>
      </c>
      <c r="F798" t="s">
        <v>25</v>
      </c>
      <c r="G798" t="s">
        <v>11</v>
      </c>
      <c r="H798" t="s">
        <v>18</v>
      </c>
      <c r="I798" t="s">
        <v>13</v>
      </c>
      <c r="J798">
        <v>1</v>
      </c>
    </row>
    <row r="799" spans="1:10" x14ac:dyDescent="0.3">
      <c r="A799" t="s">
        <v>9</v>
      </c>
      <c r="B799">
        <v>41</v>
      </c>
      <c r="C799">
        <v>1</v>
      </c>
      <c r="D799">
        <v>1</v>
      </c>
      <c r="E799">
        <v>1</v>
      </c>
      <c r="F799" t="s">
        <v>36</v>
      </c>
      <c r="G799" t="s">
        <v>16</v>
      </c>
      <c r="H799" t="s">
        <v>18</v>
      </c>
      <c r="I799" t="s">
        <v>13</v>
      </c>
      <c r="J799">
        <v>1</v>
      </c>
    </row>
    <row r="800" spans="1:10" x14ac:dyDescent="0.3">
      <c r="A800" t="s">
        <v>9</v>
      </c>
      <c r="B800">
        <v>10</v>
      </c>
      <c r="C800">
        <v>0</v>
      </c>
      <c r="D800">
        <v>0</v>
      </c>
      <c r="E800">
        <v>1</v>
      </c>
      <c r="F800" t="s">
        <v>22</v>
      </c>
      <c r="G800" t="s">
        <v>11</v>
      </c>
      <c r="H800" t="s">
        <v>12</v>
      </c>
      <c r="I800" t="s">
        <v>13</v>
      </c>
      <c r="J800">
        <v>0</v>
      </c>
    </row>
    <row r="801" spans="1:10" x14ac:dyDescent="0.3">
      <c r="A801" t="s">
        <v>9</v>
      </c>
      <c r="B801">
        <v>27</v>
      </c>
      <c r="C801">
        <v>1</v>
      </c>
      <c r="D801">
        <v>1</v>
      </c>
      <c r="E801">
        <v>0</v>
      </c>
      <c r="F801" t="s">
        <v>19</v>
      </c>
      <c r="G801" t="s">
        <v>16</v>
      </c>
      <c r="H801" t="s">
        <v>12</v>
      </c>
      <c r="I801" t="s">
        <v>13</v>
      </c>
      <c r="J801">
        <v>1</v>
      </c>
    </row>
    <row r="802" spans="1:10" x14ac:dyDescent="0.3">
      <c r="A802" t="s">
        <v>9</v>
      </c>
      <c r="B802">
        <v>26</v>
      </c>
      <c r="C802">
        <v>1</v>
      </c>
      <c r="D802">
        <v>1</v>
      </c>
      <c r="E802">
        <v>1</v>
      </c>
      <c r="F802" t="s">
        <v>38</v>
      </c>
      <c r="G802" t="s">
        <v>11</v>
      </c>
      <c r="H802" t="s">
        <v>23</v>
      </c>
      <c r="I802" t="s">
        <v>13</v>
      </c>
      <c r="J802">
        <v>1</v>
      </c>
    </row>
    <row r="803" spans="1:10" x14ac:dyDescent="0.3">
      <c r="A803" t="s">
        <v>9</v>
      </c>
      <c r="B803">
        <v>62</v>
      </c>
      <c r="C803">
        <v>1</v>
      </c>
      <c r="D803">
        <v>1</v>
      </c>
      <c r="E803">
        <v>1</v>
      </c>
      <c r="F803" t="s">
        <v>32</v>
      </c>
      <c r="G803" t="s">
        <v>16</v>
      </c>
      <c r="H803" t="s">
        <v>18</v>
      </c>
      <c r="I803" t="s">
        <v>13</v>
      </c>
      <c r="J803">
        <v>1</v>
      </c>
    </row>
    <row r="804" spans="1:10" x14ac:dyDescent="0.3">
      <c r="A804" t="s">
        <v>14</v>
      </c>
      <c r="B804">
        <v>28</v>
      </c>
      <c r="C804">
        <v>1</v>
      </c>
      <c r="D804">
        <v>1</v>
      </c>
      <c r="E804">
        <v>1</v>
      </c>
      <c r="F804" t="s">
        <v>26</v>
      </c>
      <c r="G804" t="s">
        <v>11</v>
      </c>
      <c r="H804" t="s">
        <v>18</v>
      </c>
      <c r="I804" t="s">
        <v>13</v>
      </c>
      <c r="J804">
        <v>1</v>
      </c>
    </row>
    <row r="805" spans="1:10" x14ac:dyDescent="0.3">
      <c r="A805" t="s">
        <v>14</v>
      </c>
      <c r="B805">
        <v>44</v>
      </c>
      <c r="C805">
        <v>1</v>
      </c>
      <c r="D805">
        <v>1</v>
      </c>
      <c r="E805">
        <v>0</v>
      </c>
      <c r="F805" t="s">
        <v>48</v>
      </c>
      <c r="G805" t="s">
        <v>16</v>
      </c>
      <c r="H805" t="s">
        <v>18</v>
      </c>
      <c r="I805" t="s">
        <v>13</v>
      </c>
      <c r="J805">
        <v>1</v>
      </c>
    </row>
    <row r="806" spans="1:10" x14ac:dyDescent="0.3">
      <c r="A806" t="s">
        <v>14</v>
      </c>
      <c r="B806">
        <v>39</v>
      </c>
      <c r="C806">
        <v>1</v>
      </c>
      <c r="D806">
        <v>1</v>
      </c>
      <c r="E806">
        <v>1</v>
      </c>
      <c r="F806" t="s">
        <v>31</v>
      </c>
      <c r="G806" t="s">
        <v>11</v>
      </c>
      <c r="H806" t="s">
        <v>12</v>
      </c>
      <c r="I806" t="s">
        <v>13</v>
      </c>
      <c r="J806">
        <v>1</v>
      </c>
    </row>
    <row r="807" spans="1:10" x14ac:dyDescent="0.3">
      <c r="A807" t="s">
        <v>9</v>
      </c>
      <c r="B807">
        <v>11</v>
      </c>
      <c r="C807">
        <v>0</v>
      </c>
      <c r="D807">
        <v>0</v>
      </c>
      <c r="E807">
        <v>1</v>
      </c>
      <c r="F807" t="s">
        <v>49</v>
      </c>
      <c r="G807" t="s">
        <v>16</v>
      </c>
      <c r="H807" t="s">
        <v>23</v>
      </c>
      <c r="I807" t="s">
        <v>13</v>
      </c>
      <c r="J807">
        <v>0</v>
      </c>
    </row>
    <row r="808" spans="1:10" x14ac:dyDescent="0.3">
      <c r="A808" t="s">
        <v>9</v>
      </c>
      <c r="B808">
        <v>51</v>
      </c>
      <c r="C808">
        <v>0</v>
      </c>
      <c r="D808">
        <v>0</v>
      </c>
      <c r="E808">
        <v>1</v>
      </c>
      <c r="F808" t="s">
        <v>47</v>
      </c>
      <c r="G808" t="s">
        <v>11</v>
      </c>
      <c r="H808" t="s">
        <v>18</v>
      </c>
      <c r="I808" t="s">
        <v>13</v>
      </c>
      <c r="J808">
        <v>0</v>
      </c>
    </row>
    <row r="809" spans="1:10" x14ac:dyDescent="0.3">
      <c r="A809" t="s">
        <v>9</v>
      </c>
      <c r="B809">
        <v>34</v>
      </c>
      <c r="C809">
        <v>1</v>
      </c>
      <c r="D809">
        <v>1</v>
      </c>
      <c r="E809">
        <v>0</v>
      </c>
      <c r="F809" t="s">
        <v>21</v>
      </c>
      <c r="G809" t="s">
        <v>16</v>
      </c>
      <c r="H809" t="s">
        <v>23</v>
      </c>
      <c r="I809" t="s">
        <v>13</v>
      </c>
      <c r="J809">
        <v>1</v>
      </c>
    </row>
    <row r="810" spans="1:10" x14ac:dyDescent="0.3">
      <c r="A810" t="s">
        <v>9</v>
      </c>
      <c r="B810">
        <v>17</v>
      </c>
      <c r="C810">
        <v>0</v>
      </c>
      <c r="D810">
        <v>0</v>
      </c>
      <c r="E810">
        <v>0</v>
      </c>
      <c r="F810" t="s">
        <v>44</v>
      </c>
      <c r="G810" t="s">
        <v>11</v>
      </c>
      <c r="H810" t="s">
        <v>12</v>
      </c>
      <c r="I810" t="s">
        <v>13</v>
      </c>
      <c r="J810">
        <v>0</v>
      </c>
    </row>
    <row r="811" spans="1:10" x14ac:dyDescent="0.3">
      <c r="A811" t="s">
        <v>9</v>
      </c>
      <c r="B811">
        <v>12</v>
      </c>
      <c r="C811">
        <v>1</v>
      </c>
      <c r="D811">
        <v>1</v>
      </c>
      <c r="E811">
        <v>0</v>
      </c>
      <c r="F811" t="s">
        <v>51</v>
      </c>
      <c r="G811" t="s">
        <v>16</v>
      </c>
      <c r="H811" t="s">
        <v>18</v>
      </c>
      <c r="I811" t="s">
        <v>13</v>
      </c>
      <c r="J811">
        <v>1</v>
      </c>
    </row>
    <row r="812" spans="1:10" x14ac:dyDescent="0.3">
      <c r="A812" t="s">
        <v>14</v>
      </c>
      <c r="B812">
        <v>51</v>
      </c>
      <c r="C812">
        <v>0</v>
      </c>
      <c r="D812">
        <v>0</v>
      </c>
      <c r="E812">
        <v>1</v>
      </c>
      <c r="F812" t="s">
        <v>50</v>
      </c>
      <c r="G812" t="s">
        <v>11</v>
      </c>
      <c r="H812" t="s">
        <v>18</v>
      </c>
      <c r="I812" t="s">
        <v>13</v>
      </c>
      <c r="J812">
        <v>0</v>
      </c>
    </row>
    <row r="813" spans="1:10" x14ac:dyDescent="0.3">
      <c r="A813" t="s">
        <v>9</v>
      </c>
      <c r="B813">
        <v>49</v>
      </c>
      <c r="C813">
        <v>0</v>
      </c>
      <c r="D813">
        <v>0</v>
      </c>
      <c r="E813">
        <v>1</v>
      </c>
      <c r="F813" t="s">
        <v>29</v>
      </c>
      <c r="G813" t="s">
        <v>16</v>
      </c>
      <c r="H813" t="s">
        <v>23</v>
      </c>
      <c r="I813" t="s">
        <v>13</v>
      </c>
      <c r="J813">
        <v>0</v>
      </c>
    </row>
    <row r="814" spans="1:10" x14ac:dyDescent="0.3">
      <c r="A814" t="s">
        <v>14</v>
      </c>
      <c r="B814">
        <v>40</v>
      </c>
      <c r="C814">
        <v>1</v>
      </c>
      <c r="D814">
        <v>1</v>
      </c>
      <c r="E814">
        <v>0</v>
      </c>
      <c r="F814" t="s">
        <v>47</v>
      </c>
      <c r="G814" t="s">
        <v>11</v>
      </c>
      <c r="H814" t="s">
        <v>18</v>
      </c>
      <c r="I814" t="s">
        <v>13</v>
      </c>
      <c r="J814">
        <v>1</v>
      </c>
    </row>
    <row r="815" spans="1:10" x14ac:dyDescent="0.3">
      <c r="A815" t="s">
        <v>14</v>
      </c>
      <c r="B815">
        <v>50</v>
      </c>
      <c r="C815">
        <v>0</v>
      </c>
      <c r="D815">
        <v>0</v>
      </c>
      <c r="E815">
        <v>1</v>
      </c>
      <c r="F815" t="s">
        <v>32</v>
      </c>
      <c r="G815" t="s">
        <v>16</v>
      </c>
      <c r="H815" t="s">
        <v>23</v>
      </c>
      <c r="I815" t="s">
        <v>13</v>
      </c>
      <c r="J815">
        <v>0</v>
      </c>
    </row>
    <row r="816" spans="1:10" x14ac:dyDescent="0.3">
      <c r="A816" t="s">
        <v>9</v>
      </c>
      <c r="B816">
        <v>31</v>
      </c>
      <c r="C816">
        <v>1</v>
      </c>
      <c r="D816">
        <v>1</v>
      </c>
      <c r="E816">
        <v>1</v>
      </c>
      <c r="F816" t="s">
        <v>24</v>
      </c>
      <c r="G816" t="s">
        <v>11</v>
      </c>
      <c r="H816" t="s">
        <v>12</v>
      </c>
      <c r="I816" t="s">
        <v>13</v>
      </c>
      <c r="J816">
        <v>1</v>
      </c>
    </row>
    <row r="817" spans="1:10" x14ac:dyDescent="0.3">
      <c r="A817" t="s">
        <v>14</v>
      </c>
      <c r="B817">
        <v>49</v>
      </c>
      <c r="C817">
        <v>1</v>
      </c>
      <c r="D817">
        <v>1</v>
      </c>
      <c r="E817">
        <v>1</v>
      </c>
      <c r="F817" t="s">
        <v>47</v>
      </c>
      <c r="G817" t="s">
        <v>16</v>
      </c>
      <c r="H817" t="s">
        <v>12</v>
      </c>
      <c r="I817" t="s">
        <v>13</v>
      </c>
      <c r="J817">
        <v>1</v>
      </c>
    </row>
    <row r="818" spans="1:10" x14ac:dyDescent="0.3">
      <c r="A818" t="s">
        <v>14</v>
      </c>
      <c r="B818">
        <v>35</v>
      </c>
      <c r="C818">
        <v>1</v>
      </c>
      <c r="D818">
        <v>1</v>
      </c>
      <c r="E818">
        <v>0</v>
      </c>
      <c r="F818" t="s">
        <v>27</v>
      </c>
      <c r="G818" t="s">
        <v>11</v>
      </c>
      <c r="H818" t="s">
        <v>23</v>
      </c>
      <c r="I818" t="s">
        <v>13</v>
      </c>
      <c r="J818">
        <v>1</v>
      </c>
    </row>
    <row r="819" spans="1:10" x14ac:dyDescent="0.3">
      <c r="A819" t="s">
        <v>9</v>
      </c>
      <c r="B819">
        <v>16</v>
      </c>
      <c r="C819">
        <v>1</v>
      </c>
      <c r="D819">
        <v>1</v>
      </c>
      <c r="E819">
        <v>0</v>
      </c>
      <c r="F819" t="s">
        <v>37</v>
      </c>
      <c r="G819" t="s">
        <v>16</v>
      </c>
      <c r="H819" t="s">
        <v>23</v>
      </c>
      <c r="I819" t="s">
        <v>13</v>
      </c>
      <c r="J819">
        <v>1</v>
      </c>
    </row>
    <row r="820" spans="1:10" x14ac:dyDescent="0.3">
      <c r="A820" t="s">
        <v>9</v>
      </c>
      <c r="B820">
        <v>37</v>
      </c>
      <c r="C820">
        <v>0</v>
      </c>
      <c r="D820">
        <v>0</v>
      </c>
      <c r="E820">
        <v>0</v>
      </c>
      <c r="F820" t="s">
        <v>28</v>
      </c>
      <c r="G820" t="s">
        <v>11</v>
      </c>
      <c r="H820" t="s">
        <v>18</v>
      </c>
      <c r="I820" t="s">
        <v>13</v>
      </c>
      <c r="J820">
        <v>0</v>
      </c>
    </row>
    <row r="821" spans="1:10" x14ac:dyDescent="0.3">
      <c r="A821" t="s">
        <v>9</v>
      </c>
      <c r="B821">
        <v>48</v>
      </c>
      <c r="C821">
        <v>0</v>
      </c>
      <c r="D821">
        <v>0</v>
      </c>
      <c r="E821">
        <v>0</v>
      </c>
      <c r="F821" t="s">
        <v>35</v>
      </c>
      <c r="G821" t="s">
        <v>16</v>
      </c>
      <c r="H821" t="s">
        <v>18</v>
      </c>
      <c r="I821" t="s">
        <v>13</v>
      </c>
      <c r="J821">
        <v>0</v>
      </c>
    </row>
    <row r="822" spans="1:10" x14ac:dyDescent="0.3">
      <c r="A822" t="s">
        <v>14</v>
      </c>
      <c r="B822">
        <v>11</v>
      </c>
      <c r="C822">
        <v>0</v>
      </c>
      <c r="D822">
        <v>0</v>
      </c>
      <c r="E822">
        <v>0</v>
      </c>
      <c r="F822" t="s">
        <v>37</v>
      </c>
      <c r="G822" t="s">
        <v>11</v>
      </c>
      <c r="H822" t="s">
        <v>23</v>
      </c>
      <c r="I822" t="s">
        <v>13</v>
      </c>
      <c r="J822">
        <v>0</v>
      </c>
    </row>
    <row r="823" spans="1:10" x14ac:dyDescent="0.3">
      <c r="A823" t="s">
        <v>14</v>
      </c>
      <c r="B823">
        <v>21</v>
      </c>
      <c r="C823">
        <v>1</v>
      </c>
      <c r="D823">
        <v>1</v>
      </c>
      <c r="E823">
        <v>1</v>
      </c>
      <c r="F823" t="s">
        <v>29</v>
      </c>
      <c r="G823" t="s">
        <v>16</v>
      </c>
      <c r="H823" t="s">
        <v>18</v>
      </c>
      <c r="I823" t="s">
        <v>13</v>
      </c>
      <c r="J823">
        <v>1</v>
      </c>
    </row>
    <row r="824" spans="1:10" x14ac:dyDescent="0.3">
      <c r="A824" t="s">
        <v>14</v>
      </c>
      <c r="B824">
        <v>45</v>
      </c>
      <c r="C824">
        <v>1</v>
      </c>
      <c r="D824">
        <v>1</v>
      </c>
      <c r="E824">
        <v>0</v>
      </c>
      <c r="F824" t="s">
        <v>29</v>
      </c>
      <c r="G824" t="s">
        <v>11</v>
      </c>
      <c r="H824" t="s">
        <v>18</v>
      </c>
      <c r="I824" t="s">
        <v>13</v>
      </c>
      <c r="J824">
        <v>1</v>
      </c>
    </row>
    <row r="825" spans="1:10" x14ac:dyDescent="0.3">
      <c r="A825" t="s">
        <v>14</v>
      </c>
      <c r="B825">
        <v>53</v>
      </c>
      <c r="C825">
        <v>0</v>
      </c>
      <c r="D825">
        <v>0</v>
      </c>
      <c r="E825">
        <v>1</v>
      </c>
      <c r="F825" t="s">
        <v>37</v>
      </c>
      <c r="G825" t="s">
        <v>16</v>
      </c>
      <c r="H825" t="s">
        <v>18</v>
      </c>
      <c r="I825" t="s">
        <v>13</v>
      </c>
      <c r="J825">
        <v>0</v>
      </c>
    </row>
    <row r="826" spans="1:10" x14ac:dyDescent="0.3">
      <c r="A826" t="s">
        <v>9</v>
      </c>
      <c r="B826">
        <v>13</v>
      </c>
      <c r="C826">
        <v>1</v>
      </c>
      <c r="D826">
        <v>1</v>
      </c>
      <c r="E826">
        <v>1</v>
      </c>
      <c r="F826" t="s">
        <v>43</v>
      </c>
      <c r="G826" t="s">
        <v>11</v>
      </c>
      <c r="H826" t="s">
        <v>23</v>
      </c>
      <c r="I826" t="s">
        <v>13</v>
      </c>
      <c r="J826">
        <v>1</v>
      </c>
    </row>
    <row r="827" spans="1:10" x14ac:dyDescent="0.3">
      <c r="A827" t="s">
        <v>9</v>
      </c>
      <c r="B827">
        <v>18</v>
      </c>
      <c r="C827">
        <v>0</v>
      </c>
      <c r="D827">
        <v>0</v>
      </c>
      <c r="E827">
        <v>1</v>
      </c>
      <c r="F827" t="s">
        <v>37</v>
      </c>
      <c r="G827" t="s">
        <v>16</v>
      </c>
      <c r="H827" t="s">
        <v>12</v>
      </c>
      <c r="I827" t="s">
        <v>13</v>
      </c>
      <c r="J827">
        <v>0</v>
      </c>
    </row>
    <row r="828" spans="1:10" x14ac:dyDescent="0.3">
      <c r="A828" t="s">
        <v>14</v>
      </c>
      <c r="B828">
        <v>34</v>
      </c>
      <c r="C828">
        <v>1</v>
      </c>
      <c r="D828">
        <v>1</v>
      </c>
      <c r="E828">
        <v>1</v>
      </c>
      <c r="F828" t="s">
        <v>40</v>
      </c>
      <c r="G828" t="s">
        <v>11</v>
      </c>
      <c r="H828" t="s">
        <v>18</v>
      </c>
      <c r="I828" t="s">
        <v>13</v>
      </c>
      <c r="J828">
        <v>1</v>
      </c>
    </row>
    <row r="829" spans="1:10" x14ac:dyDescent="0.3">
      <c r="A829" t="s">
        <v>14</v>
      </c>
      <c r="B829">
        <v>22</v>
      </c>
      <c r="C829">
        <v>0</v>
      </c>
      <c r="D829">
        <v>0</v>
      </c>
      <c r="E829">
        <v>0</v>
      </c>
      <c r="F829" t="s">
        <v>34</v>
      </c>
      <c r="G829" t="s">
        <v>16</v>
      </c>
      <c r="H829" t="s">
        <v>18</v>
      </c>
      <c r="I829" t="s">
        <v>13</v>
      </c>
      <c r="J829">
        <v>0</v>
      </c>
    </row>
    <row r="830" spans="1:10" x14ac:dyDescent="0.3">
      <c r="A830" t="s">
        <v>14</v>
      </c>
      <c r="B830">
        <v>39</v>
      </c>
      <c r="C830">
        <v>1</v>
      </c>
      <c r="D830">
        <v>1</v>
      </c>
      <c r="E830">
        <v>1</v>
      </c>
      <c r="F830" t="s">
        <v>49</v>
      </c>
      <c r="G830" t="s">
        <v>11</v>
      </c>
      <c r="H830" t="s">
        <v>18</v>
      </c>
      <c r="I830" t="s">
        <v>13</v>
      </c>
      <c r="J830">
        <v>1</v>
      </c>
    </row>
    <row r="831" spans="1:10" x14ac:dyDescent="0.3">
      <c r="A831" t="s">
        <v>14</v>
      </c>
      <c r="B831">
        <v>21</v>
      </c>
      <c r="C831">
        <v>0</v>
      </c>
      <c r="D831">
        <v>0</v>
      </c>
      <c r="E831">
        <v>0</v>
      </c>
      <c r="F831" t="s">
        <v>41</v>
      </c>
      <c r="G831" t="s">
        <v>16</v>
      </c>
      <c r="H831" t="s">
        <v>23</v>
      </c>
      <c r="I831" t="s">
        <v>13</v>
      </c>
      <c r="J831">
        <v>0</v>
      </c>
    </row>
    <row r="832" spans="1:10" x14ac:dyDescent="0.3">
      <c r="A832" t="s">
        <v>14</v>
      </c>
      <c r="B832">
        <v>64</v>
      </c>
      <c r="C832">
        <v>0</v>
      </c>
      <c r="D832">
        <v>0</v>
      </c>
      <c r="E832">
        <v>0</v>
      </c>
      <c r="F832" t="s">
        <v>17</v>
      </c>
      <c r="G832" t="s">
        <v>11</v>
      </c>
      <c r="H832" t="s">
        <v>12</v>
      </c>
      <c r="I832" t="s">
        <v>13</v>
      </c>
      <c r="J832">
        <v>0</v>
      </c>
    </row>
    <row r="833" spans="1:10" x14ac:dyDescent="0.3">
      <c r="A833" t="s">
        <v>9</v>
      </c>
      <c r="B833">
        <v>53</v>
      </c>
      <c r="C833">
        <v>0</v>
      </c>
      <c r="D833">
        <v>0</v>
      </c>
      <c r="E833">
        <v>0</v>
      </c>
      <c r="F833" t="s">
        <v>17</v>
      </c>
      <c r="G833" t="s">
        <v>16</v>
      </c>
      <c r="H833" t="s">
        <v>18</v>
      </c>
      <c r="I833" t="s">
        <v>13</v>
      </c>
      <c r="J833">
        <v>0</v>
      </c>
    </row>
    <row r="834" spans="1:10" x14ac:dyDescent="0.3">
      <c r="A834" t="s">
        <v>9</v>
      </c>
      <c r="B834">
        <v>21</v>
      </c>
      <c r="C834">
        <v>1</v>
      </c>
      <c r="D834">
        <v>1</v>
      </c>
      <c r="E834">
        <v>1</v>
      </c>
      <c r="F834" t="s">
        <v>19</v>
      </c>
      <c r="G834" t="s">
        <v>11</v>
      </c>
      <c r="H834" t="s">
        <v>12</v>
      </c>
      <c r="I834" t="s">
        <v>13</v>
      </c>
      <c r="J834">
        <v>1</v>
      </c>
    </row>
    <row r="835" spans="1:10" x14ac:dyDescent="0.3">
      <c r="A835" t="s">
        <v>9</v>
      </c>
      <c r="B835">
        <v>40</v>
      </c>
      <c r="C835">
        <v>1</v>
      </c>
      <c r="D835">
        <v>1</v>
      </c>
      <c r="E835">
        <v>1</v>
      </c>
      <c r="F835" t="s">
        <v>32</v>
      </c>
      <c r="G835" t="s">
        <v>16</v>
      </c>
      <c r="H835" t="s">
        <v>12</v>
      </c>
      <c r="I835" t="s">
        <v>13</v>
      </c>
      <c r="J835">
        <v>1</v>
      </c>
    </row>
    <row r="836" spans="1:10" x14ac:dyDescent="0.3">
      <c r="A836" t="s">
        <v>14</v>
      </c>
      <c r="B836">
        <v>39</v>
      </c>
      <c r="C836">
        <v>1</v>
      </c>
      <c r="D836">
        <v>1</v>
      </c>
      <c r="E836">
        <v>1</v>
      </c>
      <c r="F836" t="s">
        <v>21</v>
      </c>
      <c r="G836" t="s">
        <v>11</v>
      </c>
      <c r="H836" t="s">
        <v>12</v>
      </c>
      <c r="I836" t="s">
        <v>13</v>
      </c>
      <c r="J836">
        <v>1</v>
      </c>
    </row>
    <row r="837" spans="1:10" x14ac:dyDescent="0.3">
      <c r="A837" t="s">
        <v>9</v>
      </c>
      <c r="B837">
        <v>47</v>
      </c>
      <c r="C837">
        <v>1</v>
      </c>
      <c r="D837">
        <v>1</v>
      </c>
      <c r="E837">
        <v>1</v>
      </c>
      <c r="F837" t="s">
        <v>21</v>
      </c>
      <c r="G837" t="s">
        <v>16</v>
      </c>
      <c r="H837" t="s">
        <v>23</v>
      </c>
      <c r="I837" t="s">
        <v>13</v>
      </c>
      <c r="J837">
        <v>1</v>
      </c>
    </row>
    <row r="838" spans="1:10" x14ac:dyDescent="0.3">
      <c r="A838" t="s">
        <v>14</v>
      </c>
      <c r="B838">
        <v>52</v>
      </c>
      <c r="C838">
        <v>0</v>
      </c>
      <c r="D838">
        <v>0</v>
      </c>
      <c r="E838">
        <v>1</v>
      </c>
      <c r="F838" t="s">
        <v>27</v>
      </c>
      <c r="G838" t="s">
        <v>11</v>
      </c>
      <c r="H838" t="s">
        <v>18</v>
      </c>
      <c r="I838" t="s">
        <v>13</v>
      </c>
      <c r="J838">
        <v>0</v>
      </c>
    </row>
    <row r="839" spans="1:10" x14ac:dyDescent="0.3">
      <c r="A839" t="s">
        <v>9</v>
      </c>
      <c r="B839">
        <v>17</v>
      </c>
      <c r="C839">
        <v>1</v>
      </c>
      <c r="D839">
        <v>1</v>
      </c>
      <c r="E839">
        <v>1</v>
      </c>
      <c r="F839" t="s">
        <v>27</v>
      </c>
      <c r="G839" t="s">
        <v>16</v>
      </c>
      <c r="H839" t="s">
        <v>12</v>
      </c>
      <c r="I839" t="s">
        <v>13</v>
      </c>
      <c r="J839">
        <v>1</v>
      </c>
    </row>
    <row r="840" spans="1:10" x14ac:dyDescent="0.3">
      <c r="A840" t="s">
        <v>14</v>
      </c>
      <c r="B840">
        <v>65</v>
      </c>
      <c r="C840">
        <v>0</v>
      </c>
      <c r="D840">
        <v>0</v>
      </c>
      <c r="E840">
        <v>0</v>
      </c>
      <c r="F840" t="s">
        <v>30</v>
      </c>
      <c r="G840" t="s">
        <v>11</v>
      </c>
      <c r="H840" t="s">
        <v>23</v>
      </c>
      <c r="I840" t="s">
        <v>13</v>
      </c>
      <c r="J840">
        <v>0</v>
      </c>
    </row>
    <row r="841" spans="1:10" x14ac:dyDescent="0.3">
      <c r="A841" t="s">
        <v>14</v>
      </c>
      <c r="B841">
        <v>32</v>
      </c>
      <c r="C841">
        <v>0</v>
      </c>
      <c r="D841">
        <v>0</v>
      </c>
      <c r="E841">
        <v>1</v>
      </c>
      <c r="F841" t="s">
        <v>15</v>
      </c>
      <c r="G841" t="s">
        <v>16</v>
      </c>
      <c r="H841" t="s">
        <v>23</v>
      </c>
      <c r="I841" t="s">
        <v>13</v>
      </c>
      <c r="J841">
        <v>0</v>
      </c>
    </row>
    <row r="842" spans="1:10" x14ac:dyDescent="0.3">
      <c r="A842" t="s">
        <v>14</v>
      </c>
      <c r="B842">
        <v>8</v>
      </c>
      <c r="C842">
        <v>1</v>
      </c>
      <c r="D842">
        <v>1</v>
      </c>
      <c r="E842">
        <v>0</v>
      </c>
      <c r="F842" t="s">
        <v>43</v>
      </c>
      <c r="G842" t="s">
        <v>11</v>
      </c>
      <c r="H842" t="s">
        <v>12</v>
      </c>
      <c r="I842" t="s">
        <v>13</v>
      </c>
      <c r="J842">
        <v>1</v>
      </c>
    </row>
    <row r="843" spans="1:10" x14ac:dyDescent="0.3">
      <c r="A843" t="s">
        <v>9</v>
      </c>
      <c r="B843">
        <v>55</v>
      </c>
      <c r="C843">
        <v>0</v>
      </c>
      <c r="D843">
        <v>0</v>
      </c>
      <c r="E843">
        <v>1</v>
      </c>
      <c r="F843" t="s">
        <v>34</v>
      </c>
      <c r="G843" t="s">
        <v>16</v>
      </c>
      <c r="H843" t="s">
        <v>12</v>
      </c>
      <c r="I843" t="s">
        <v>13</v>
      </c>
      <c r="J843">
        <v>0</v>
      </c>
    </row>
    <row r="844" spans="1:10" x14ac:dyDescent="0.3">
      <c r="A844" t="s">
        <v>14</v>
      </c>
      <c r="B844">
        <v>47</v>
      </c>
      <c r="C844">
        <v>0</v>
      </c>
      <c r="D844">
        <v>0</v>
      </c>
      <c r="E844">
        <v>0</v>
      </c>
      <c r="F844" t="s">
        <v>50</v>
      </c>
      <c r="G844" t="s">
        <v>11</v>
      </c>
      <c r="H844" t="s">
        <v>18</v>
      </c>
      <c r="I844" t="s">
        <v>13</v>
      </c>
      <c r="J844">
        <v>0</v>
      </c>
    </row>
    <row r="845" spans="1:10" x14ac:dyDescent="0.3">
      <c r="A845" t="s">
        <v>14</v>
      </c>
      <c r="B845">
        <v>47</v>
      </c>
      <c r="C845">
        <v>0</v>
      </c>
      <c r="D845">
        <v>0</v>
      </c>
      <c r="E845">
        <v>0</v>
      </c>
      <c r="F845" t="s">
        <v>31</v>
      </c>
      <c r="G845" t="s">
        <v>16</v>
      </c>
      <c r="H845" t="s">
        <v>18</v>
      </c>
      <c r="I845" t="s">
        <v>13</v>
      </c>
      <c r="J845">
        <v>0</v>
      </c>
    </row>
    <row r="846" spans="1:10" x14ac:dyDescent="0.3">
      <c r="A846" t="s">
        <v>14</v>
      </c>
      <c r="B846">
        <v>47</v>
      </c>
      <c r="C846">
        <v>0</v>
      </c>
      <c r="D846">
        <v>0</v>
      </c>
      <c r="E846">
        <v>0</v>
      </c>
      <c r="F846" t="s">
        <v>52</v>
      </c>
      <c r="G846" t="s">
        <v>11</v>
      </c>
      <c r="H846" t="s">
        <v>12</v>
      </c>
      <c r="I846" t="s">
        <v>13</v>
      </c>
      <c r="J846">
        <v>0</v>
      </c>
    </row>
    <row r="847" spans="1:10" x14ac:dyDescent="0.3">
      <c r="A847" t="s">
        <v>9</v>
      </c>
      <c r="B847">
        <v>26</v>
      </c>
      <c r="C847">
        <v>1</v>
      </c>
      <c r="D847">
        <v>1</v>
      </c>
      <c r="E847">
        <v>0</v>
      </c>
      <c r="F847" t="s">
        <v>45</v>
      </c>
      <c r="G847" t="s">
        <v>16</v>
      </c>
      <c r="H847" t="s">
        <v>18</v>
      </c>
      <c r="I847" t="s">
        <v>13</v>
      </c>
      <c r="J847">
        <v>1</v>
      </c>
    </row>
    <row r="848" spans="1:10" x14ac:dyDescent="0.3">
      <c r="A848" t="s">
        <v>14</v>
      </c>
      <c r="B848">
        <v>36</v>
      </c>
      <c r="C848">
        <v>0</v>
      </c>
      <c r="D848">
        <v>0</v>
      </c>
      <c r="E848">
        <v>0</v>
      </c>
      <c r="F848" t="s">
        <v>37</v>
      </c>
      <c r="G848" t="s">
        <v>11</v>
      </c>
      <c r="H848" t="s">
        <v>18</v>
      </c>
      <c r="I848" t="s">
        <v>13</v>
      </c>
      <c r="J848">
        <v>0</v>
      </c>
    </row>
    <row r="849" spans="1:10" x14ac:dyDescent="0.3">
      <c r="A849" t="s">
        <v>14</v>
      </c>
      <c r="B849">
        <v>45</v>
      </c>
      <c r="C849">
        <v>1</v>
      </c>
      <c r="D849">
        <v>1</v>
      </c>
      <c r="E849">
        <v>0</v>
      </c>
      <c r="F849" t="s">
        <v>47</v>
      </c>
      <c r="G849" t="s">
        <v>16</v>
      </c>
      <c r="H849" t="s">
        <v>12</v>
      </c>
      <c r="I849" t="s">
        <v>13</v>
      </c>
      <c r="J849">
        <v>1</v>
      </c>
    </row>
    <row r="850" spans="1:10" x14ac:dyDescent="0.3">
      <c r="A850" t="s">
        <v>9</v>
      </c>
      <c r="B850">
        <v>24</v>
      </c>
      <c r="C850">
        <v>0</v>
      </c>
      <c r="D850">
        <v>0</v>
      </c>
      <c r="E850">
        <v>0</v>
      </c>
      <c r="F850" t="s">
        <v>10</v>
      </c>
      <c r="G850" t="s">
        <v>11</v>
      </c>
      <c r="H850" t="s">
        <v>12</v>
      </c>
      <c r="I850" t="s">
        <v>13</v>
      </c>
      <c r="J850">
        <v>0</v>
      </c>
    </row>
    <row r="851" spans="1:10" x14ac:dyDescent="0.3">
      <c r="A851" t="s">
        <v>9</v>
      </c>
      <c r="B851">
        <v>15</v>
      </c>
      <c r="C851">
        <v>0</v>
      </c>
      <c r="D851">
        <v>0</v>
      </c>
      <c r="E851">
        <v>1</v>
      </c>
      <c r="F851" t="s">
        <v>27</v>
      </c>
      <c r="G851" t="s">
        <v>16</v>
      </c>
      <c r="H851" t="s">
        <v>12</v>
      </c>
      <c r="I851" t="s">
        <v>13</v>
      </c>
      <c r="J851">
        <v>0</v>
      </c>
    </row>
    <row r="852" spans="1:10" x14ac:dyDescent="0.3">
      <c r="A852" t="s">
        <v>14</v>
      </c>
      <c r="B852">
        <v>32</v>
      </c>
      <c r="C852">
        <v>1</v>
      </c>
      <c r="D852">
        <v>1</v>
      </c>
      <c r="E852">
        <v>0</v>
      </c>
      <c r="F852" t="s">
        <v>37</v>
      </c>
      <c r="G852" t="s">
        <v>11</v>
      </c>
      <c r="H852" t="s">
        <v>23</v>
      </c>
      <c r="I852" t="s">
        <v>13</v>
      </c>
      <c r="J852">
        <v>1</v>
      </c>
    </row>
    <row r="853" spans="1:10" x14ac:dyDescent="0.3">
      <c r="A853" t="s">
        <v>9</v>
      </c>
      <c r="B853">
        <v>28</v>
      </c>
      <c r="C853">
        <v>1</v>
      </c>
      <c r="D853">
        <v>1</v>
      </c>
      <c r="E853">
        <v>0</v>
      </c>
      <c r="F853" t="s">
        <v>10</v>
      </c>
      <c r="G853" t="s">
        <v>16</v>
      </c>
      <c r="H853" t="s">
        <v>23</v>
      </c>
      <c r="I853" t="s">
        <v>13</v>
      </c>
      <c r="J853">
        <v>1</v>
      </c>
    </row>
    <row r="854" spans="1:10" x14ac:dyDescent="0.3">
      <c r="A854" t="s">
        <v>14</v>
      </c>
      <c r="B854">
        <v>53</v>
      </c>
      <c r="C854">
        <v>1</v>
      </c>
      <c r="D854">
        <v>1</v>
      </c>
      <c r="E854">
        <v>1</v>
      </c>
      <c r="F854" t="s">
        <v>52</v>
      </c>
      <c r="G854" t="s">
        <v>11</v>
      </c>
      <c r="H854" t="s">
        <v>12</v>
      </c>
      <c r="I854" t="s">
        <v>13</v>
      </c>
      <c r="J854">
        <v>1</v>
      </c>
    </row>
    <row r="855" spans="1:10" x14ac:dyDescent="0.3">
      <c r="A855" t="s">
        <v>14</v>
      </c>
      <c r="B855">
        <v>58</v>
      </c>
      <c r="C855">
        <v>1</v>
      </c>
      <c r="D855">
        <v>1</v>
      </c>
      <c r="E855">
        <v>0</v>
      </c>
      <c r="F855" t="s">
        <v>15</v>
      </c>
      <c r="G855" t="s">
        <v>16</v>
      </c>
      <c r="H855" t="s">
        <v>23</v>
      </c>
      <c r="I855" t="s">
        <v>13</v>
      </c>
      <c r="J855">
        <v>1</v>
      </c>
    </row>
    <row r="856" spans="1:10" x14ac:dyDescent="0.3">
      <c r="A856" t="s">
        <v>9</v>
      </c>
      <c r="B856">
        <v>8</v>
      </c>
      <c r="C856">
        <v>0</v>
      </c>
      <c r="D856">
        <v>0</v>
      </c>
      <c r="E856">
        <v>1</v>
      </c>
      <c r="F856" t="s">
        <v>25</v>
      </c>
      <c r="G856" t="s">
        <v>11</v>
      </c>
      <c r="H856" t="s">
        <v>23</v>
      </c>
      <c r="I856" t="s">
        <v>13</v>
      </c>
      <c r="J856">
        <v>0</v>
      </c>
    </row>
    <row r="857" spans="1:10" x14ac:dyDescent="0.3">
      <c r="A857" t="s">
        <v>14</v>
      </c>
      <c r="B857">
        <v>35</v>
      </c>
      <c r="C857">
        <v>0</v>
      </c>
      <c r="D857">
        <v>0</v>
      </c>
      <c r="E857">
        <v>1</v>
      </c>
      <c r="F857" t="s">
        <v>15</v>
      </c>
      <c r="G857" t="s">
        <v>16</v>
      </c>
      <c r="H857" t="s">
        <v>23</v>
      </c>
      <c r="I857" t="s">
        <v>13</v>
      </c>
      <c r="J857">
        <v>0</v>
      </c>
    </row>
    <row r="858" spans="1:10" x14ac:dyDescent="0.3">
      <c r="A858" t="s">
        <v>14</v>
      </c>
      <c r="B858">
        <v>44</v>
      </c>
      <c r="C858">
        <v>1</v>
      </c>
      <c r="D858">
        <v>1</v>
      </c>
      <c r="E858">
        <v>1</v>
      </c>
      <c r="F858" t="s">
        <v>48</v>
      </c>
      <c r="G858" t="s">
        <v>11</v>
      </c>
      <c r="H858" t="s">
        <v>18</v>
      </c>
      <c r="I858" t="s">
        <v>13</v>
      </c>
      <c r="J858">
        <v>1</v>
      </c>
    </row>
    <row r="859" spans="1:10" x14ac:dyDescent="0.3">
      <c r="A859" t="s">
        <v>9</v>
      </c>
      <c r="B859">
        <v>30</v>
      </c>
      <c r="C859">
        <v>1</v>
      </c>
      <c r="D859">
        <v>1</v>
      </c>
      <c r="E859">
        <v>1</v>
      </c>
      <c r="F859" t="s">
        <v>17</v>
      </c>
      <c r="G859" t="s">
        <v>16</v>
      </c>
      <c r="H859" t="s">
        <v>18</v>
      </c>
      <c r="I859" t="s">
        <v>13</v>
      </c>
      <c r="J859">
        <v>1</v>
      </c>
    </row>
    <row r="860" spans="1:10" x14ac:dyDescent="0.3">
      <c r="A860" t="s">
        <v>14</v>
      </c>
      <c r="B860">
        <v>16</v>
      </c>
      <c r="C860">
        <v>0</v>
      </c>
      <c r="D860">
        <v>0</v>
      </c>
      <c r="E860">
        <v>1</v>
      </c>
      <c r="F860" t="s">
        <v>46</v>
      </c>
      <c r="G860" t="s">
        <v>11</v>
      </c>
      <c r="H860" t="s">
        <v>18</v>
      </c>
      <c r="I860" t="s">
        <v>13</v>
      </c>
      <c r="J860">
        <v>0</v>
      </c>
    </row>
    <row r="861" spans="1:10" x14ac:dyDescent="0.3">
      <c r="A861" t="s">
        <v>14</v>
      </c>
      <c r="B861">
        <v>54</v>
      </c>
      <c r="C861">
        <v>1</v>
      </c>
      <c r="D861">
        <v>1</v>
      </c>
      <c r="E861">
        <v>1</v>
      </c>
      <c r="F861" t="s">
        <v>15</v>
      </c>
      <c r="G861" t="s">
        <v>16</v>
      </c>
      <c r="H861" t="s">
        <v>12</v>
      </c>
      <c r="I861" t="s">
        <v>13</v>
      </c>
      <c r="J861">
        <v>1</v>
      </c>
    </row>
    <row r="862" spans="1:10" x14ac:dyDescent="0.3">
      <c r="A862" t="s">
        <v>14</v>
      </c>
      <c r="B862">
        <v>54</v>
      </c>
      <c r="C862">
        <v>1</v>
      </c>
      <c r="D862">
        <v>1</v>
      </c>
      <c r="E862">
        <v>1</v>
      </c>
      <c r="F862" t="s">
        <v>39</v>
      </c>
      <c r="G862" t="s">
        <v>11</v>
      </c>
      <c r="H862" t="s">
        <v>23</v>
      </c>
      <c r="I862" t="s">
        <v>13</v>
      </c>
      <c r="J862">
        <v>1</v>
      </c>
    </row>
    <row r="863" spans="1:10" x14ac:dyDescent="0.3">
      <c r="A863" t="s">
        <v>14</v>
      </c>
      <c r="B863">
        <v>18</v>
      </c>
      <c r="C863">
        <v>1</v>
      </c>
      <c r="D863">
        <v>1</v>
      </c>
      <c r="E863">
        <v>1</v>
      </c>
      <c r="F863" t="s">
        <v>10</v>
      </c>
      <c r="G863" t="s">
        <v>16</v>
      </c>
      <c r="H863" t="s">
        <v>12</v>
      </c>
      <c r="I863" t="s">
        <v>13</v>
      </c>
      <c r="J863">
        <v>1</v>
      </c>
    </row>
    <row r="864" spans="1:10" x14ac:dyDescent="0.3">
      <c r="A864" t="s">
        <v>9</v>
      </c>
      <c r="B864">
        <v>19</v>
      </c>
      <c r="C864">
        <v>1</v>
      </c>
      <c r="D864">
        <v>1</v>
      </c>
      <c r="E864">
        <v>1</v>
      </c>
      <c r="F864" t="s">
        <v>42</v>
      </c>
      <c r="G864" t="s">
        <v>11</v>
      </c>
      <c r="H864" t="s">
        <v>23</v>
      </c>
      <c r="I864" t="s">
        <v>13</v>
      </c>
      <c r="J864">
        <v>1</v>
      </c>
    </row>
    <row r="865" spans="1:10" x14ac:dyDescent="0.3">
      <c r="A865" t="s">
        <v>9</v>
      </c>
      <c r="B865">
        <v>47</v>
      </c>
      <c r="C865">
        <v>0</v>
      </c>
      <c r="D865">
        <v>0</v>
      </c>
      <c r="E865">
        <v>1</v>
      </c>
      <c r="F865" t="s">
        <v>22</v>
      </c>
      <c r="G865" t="s">
        <v>16</v>
      </c>
      <c r="H865" t="s">
        <v>23</v>
      </c>
      <c r="I865" t="s">
        <v>13</v>
      </c>
      <c r="J865">
        <v>0</v>
      </c>
    </row>
    <row r="866" spans="1:10" x14ac:dyDescent="0.3">
      <c r="A866" t="s">
        <v>9</v>
      </c>
      <c r="B866">
        <v>38</v>
      </c>
      <c r="C866">
        <v>0</v>
      </c>
      <c r="D866">
        <v>0</v>
      </c>
      <c r="E866">
        <v>1</v>
      </c>
      <c r="F866" t="s">
        <v>22</v>
      </c>
      <c r="G866" t="s">
        <v>11</v>
      </c>
      <c r="H866" t="s">
        <v>18</v>
      </c>
      <c r="I866" t="s">
        <v>13</v>
      </c>
      <c r="J866">
        <v>0</v>
      </c>
    </row>
    <row r="867" spans="1:10" x14ac:dyDescent="0.3">
      <c r="A867" t="s">
        <v>14</v>
      </c>
      <c r="B867">
        <v>20</v>
      </c>
      <c r="C867">
        <v>0</v>
      </c>
      <c r="D867">
        <v>0</v>
      </c>
      <c r="E867">
        <v>0</v>
      </c>
      <c r="F867" t="s">
        <v>37</v>
      </c>
      <c r="G867" t="s">
        <v>16</v>
      </c>
      <c r="H867" t="s">
        <v>12</v>
      </c>
      <c r="I867" t="s">
        <v>13</v>
      </c>
      <c r="J867">
        <v>0</v>
      </c>
    </row>
    <row r="868" spans="1:10" x14ac:dyDescent="0.3">
      <c r="A868" t="s">
        <v>14</v>
      </c>
      <c r="B868">
        <v>65</v>
      </c>
      <c r="C868">
        <v>1</v>
      </c>
      <c r="D868">
        <v>1</v>
      </c>
      <c r="E868">
        <v>0</v>
      </c>
      <c r="F868" t="s">
        <v>27</v>
      </c>
      <c r="G868" t="s">
        <v>11</v>
      </c>
      <c r="H868" t="s">
        <v>23</v>
      </c>
      <c r="I868" t="s">
        <v>13</v>
      </c>
      <c r="J868">
        <v>1</v>
      </c>
    </row>
    <row r="869" spans="1:10" x14ac:dyDescent="0.3">
      <c r="A869" t="s">
        <v>9</v>
      </c>
      <c r="B869">
        <v>29</v>
      </c>
      <c r="C869">
        <v>1</v>
      </c>
      <c r="D869">
        <v>1</v>
      </c>
      <c r="E869">
        <v>0</v>
      </c>
      <c r="F869" t="s">
        <v>38</v>
      </c>
      <c r="G869" t="s">
        <v>16</v>
      </c>
      <c r="H869" t="s">
        <v>12</v>
      </c>
      <c r="I869" t="s">
        <v>13</v>
      </c>
      <c r="J869">
        <v>1</v>
      </c>
    </row>
    <row r="870" spans="1:10" x14ac:dyDescent="0.3">
      <c r="A870" t="s">
        <v>9</v>
      </c>
      <c r="B870">
        <v>8</v>
      </c>
      <c r="C870">
        <v>0</v>
      </c>
      <c r="D870">
        <v>0</v>
      </c>
      <c r="E870">
        <v>0</v>
      </c>
      <c r="F870" t="s">
        <v>44</v>
      </c>
      <c r="G870" t="s">
        <v>11</v>
      </c>
      <c r="H870" t="s">
        <v>12</v>
      </c>
      <c r="I870" t="s">
        <v>13</v>
      </c>
      <c r="J870">
        <v>0</v>
      </c>
    </row>
    <row r="871" spans="1:10" x14ac:dyDescent="0.3">
      <c r="A871" t="s">
        <v>9</v>
      </c>
      <c r="B871">
        <v>45</v>
      </c>
      <c r="C871">
        <v>1</v>
      </c>
      <c r="D871">
        <v>1</v>
      </c>
      <c r="E871">
        <v>1</v>
      </c>
      <c r="F871" t="s">
        <v>21</v>
      </c>
      <c r="G871" t="s">
        <v>16</v>
      </c>
      <c r="H871" t="s">
        <v>12</v>
      </c>
      <c r="I871" t="s">
        <v>13</v>
      </c>
      <c r="J871">
        <v>1</v>
      </c>
    </row>
    <row r="872" spans="1:10" x14ac:dyDescent="0.3">
      <c r="A872" t="s">
        <v>9</v>
      </c>
      <c r="B872">
        <v>9</v>
      </c>
      <c r="C872">
        <v>1</v>
      </c>
      <c r="D872">
        <v>1</v>
      </c>
      <c r="E872">
        <v>0</v>
      </c>
      <c r="F872" t="s">
        <v>40</v>
      </c>
      <c r="G872" t="s">
        <v>11</v>
      </c>
      <c r="H872" t="s">
        <v>12</v>
      </c>
      <c r="I872" t="s">
        <v>13</v>
      </c>
      <c r="J872">
        <v>1</v>
      </c>
    </row>
    <row r="873" spans="1:10" x14ac:dyDescent="0.3">
      <c r="A873" t="s">
        <v>14</v>
      </c>
      <c r="B873">
        <v>27</v>
      </c>
      <c r="C873">
        <v>0</v>
      </c>
      <c r="D873">
        <v>0</v>
      </c>
      <c r="E873">
        <v>0</v>
      </c>
      <c r="F873" t="s">
        <v>45</v>
      </c>
      <c r="G873" t="s">
        <v>16</v>
      </c>
      <c r="H873" t="s">
        <v>12</v>
      </c>
      <c r="I873" t="s">
        <v>13</v>
      </c>
      <c r="J873">
        <v>0</v>
      </c>
    </row>
    <row r="874" spans="1:10" x14ac:dyDescent="0.3">
      <c r="A874" t="s">
        <v>14</v>
      </c>
      <c r="B874">
        <v>59</v>
      </c>
      <c r="C874">
        <v>1</v>
      </c>
      <c r="D874">
        <v>1</v>
      </c>
      <c r="E874">
        <v>1</v>
      </c>
      <c r="F874" t="s">
        <v>48</v>
      </c>
      <c r="G874" t="s">
        <v>11</v>
      </c>
      <c r="H874" t="s">
        <v>18</v>
      </c>
      <c r="I874" t="s">
        <v>13</v>
      </c>
      <c r="J874">
        <v>1</v>
      </c>
    </row>
    <row r="875" spans="1:10" x14ac:dyDescent="0.3">
      <c r="A875" t="s">
        <v>9</v>
      </c>
      <c r="B875">
        <v>16</v>
      </c>
      <c r="C875">
        <v>1</v>
      </c>
      <c r="D875">
        <v>1</v>
      </c>
      <c r="E875">
        <v>0</v>
      </c>
      <c r="F875" t="s">
        <v>17</v>
      </c>
      <c r="G875" t="s">
        <v>16</v>
      </c>
      <c r="H875" t="s">
        <v>23</v>
      </c>
      <c r="I875" t="s">
        <v>13</v>
      </c>
      <c r="J875">
        <v>1</v>
      </c>
    </row>
    <row r="876" spans="1:10" x14ac:dyDescent="0.3">
      <c r="A876" t="s">
        <v>9</v>
      </c>
      <c r="B876">
        <v>8</v>
      </c>
      <c r="C876">
        <v>0</v>
      </c>
      <c r="D876">
        <v>0</v>
      </c>
      <c r="E876">
        <v>0</v>
      </c>
      <c r="F876" t="s">
        <v>51</v>
      </c>
      <c r="G876" t="s">
        <v>11</v>
      </c>
      <c r="H876" t="s">
        <v>18</v>
      </c>
      <c r="I876" t="s">
        <v>13</v>
      </c>
      <c r="J876">
        <v>0</v>
      </c>
    </row>
    <row r="877" spans="1:10" x14ac:dyDescent="0.3">
      <c r="A877" t="s">
        <v>9</v>
      </c>
      <c r="B877">
        <v>36</v>
      </c>
      <c r="C877">
        <v>1</v>
      </c>
      <c r="D877">
        <v>1</v>
      </c>
      <c r="E877">
        <v>0</v>
      </c>
      <c r="F877" t="s">
        <v>45</v>
      </c>
      <c r="G877" t="s">
        <v>16</v>
      </c>
      <c r="H877" t="s">
        <v>23</v>
      </c>
      <c r="I877" t="s">
        <v>13</v>
      </c>
      <c r="J877">
        <v>1</v>
      </c>
    </row>
    <row r="878" spans="1:10" x14ac:dyDescent="0.3">
      <c r="A878" t="s">
        <v>14</v>
      </c>
      <c r="B878">
        <v>38</v>
      </c>
      <c r="C878">
        <v>0</v>
      </c>
      <c r="D878">
        <v>0</v>
      </c>
      <c r="E878">
        <v>1</v>
      </c>
      <c r="F878" t="s">
        <v>36</v>
      </c>
      <c r="G878" t="s">
        <v>11</v>
      </c>
      <c r="H878" t="s">
        <v>12</v>
      </c>
      <c r="I878" t="s">
        <v>13</v>
      </c>
      <c r="J878">
        <v>0</v>
      </c>
    </row>
    <row r="879" spans="1:10" x14ac:dyDescent="0.3">
      <c r="A879" t="s">
        <v>9</v>
      </c>
      <c r="B879">
        <v>56</v>
      </c>
      <c r="C879">
        <v>1</v>
      </c>
      <c r="D879">
        <v>1</v>
      </c>
      <c r="E879">
        <v>1</v>
      </c>
      <c r="F879" t="s">
        <v>34</v>
      </c>
      <c r="G879" t="s">
        <v>16</v>
      </c>
      <c r="H879" t="s">
        <v>12</v>
      </c>
      <c r="I879" t="s">
        <v>13</v>
      </c>
      <c r="J879">
        <v>1</v>
      </c>
    </row>
    <row r="880" spans="1:10" x14ac:dyDescent="0.3">
      <c r="A880" t="s">
        <v>14</v>
      </c>
      <c r="B880">
        <v>35</v>
      </c>
      <c r="C880">
        <v>1</v>
      </c>
      <c r="D880">
        <v>1</v>
      </c>
      <c r="E880">
        <v>0</v>
      </c>
      <c r="F880" t="s">
        <v>10</v>
      </c>
      <c r="G880" t="s">
        <v>11</v>
      </c>
      <c r="H880" t="s">
        <v>18</v>
      </c>
      <c r="I880" t="s">
        <v>13</v>
      </c>
      <c r="J880">
        <v>1</v>
      </c>
    </row>
    <row r="881" spans="1:10" x14ac:dyDescent="0.3">
      <c r="A881" t="s">
        <v>9</v>
      </c>
      <c r="B881">
        <v>18</v>
      </c>
      <c r="C881">
        <v>1</v>
      </c>
      <c r="D881">
        <v>1</v>
      </c>
      <c r="E881">
        <v>0</v>
      </c>
      <c r="F881" t="s">
        <v>47</v>
      </c>
      <c r="G881" t="s">
        <v>16</v>
      </c>
      <c r="H881" t="s">
        <v>23</v>
      </c>
      <c r="I881" t="s">
        <v>13</v>
      </c>
      <c r="J881">
        <v>1</v>
      </c>
    </row>
    <row r="882" spans="1:10" x14ac:dyDescent="0.3">
      <c r="A882" t="s">
        <v>9</v>
      </c>
      <c r="B882">
        <v>13</v>
      </c>
      <c r="C882">
        <v>1</v>
      </c>
      <c r="D882">
        <v>1</v>
      </c>
      <c r="E882">
        <v>0</v>
      </c>
      <c r="F882" t="s">
        <v>41</v>
      </c>
      <c r="G882" t="s">
        <v>11</v>
      </c>
      <c r="H882" t="s">
        <v>18</v>
      </c>
      <c r="I882" t="s">
        <v>13</v>
      </c>
      <c r="J882">
        <v>1</v>
      </c>
    </row>
    <row r="883" spans="1:10" x14ac:dyDescent="0.3">
      <c r="A883" t="s">
        <v>14</v>
      </c>
      <c r="B883">
        <v>23</v>
      </c>
      <c r="C883">
        <v>0</v>
      </c>
      <c r="D883">
        <v>1</v>
      </c>
      <c r="E883">
        <v>0</v>
      </c>
      <c r="F883" t="s">
        <v>27</v>
      </c>
      <c r="G883" t="s">
        <v>16</v>
      </c>
      <c r="H883" t="s">
        <v>12</v>
      </c>
      <c r="I883" t="s">
        <v>13</v>
      </c>
      <c r="J883">
        <v>1</v>
      </c>
    </row>
    <row r="884" spans="1:10" x14ac:dyDescent="0.3">
      <c r="A884" t="s">
        <v>9</v>
      </c>
      <c r="B884">
        <v>14</v>
      </c>
      <c r="C884">
        <v>1</v>
      </c>
      <c r="D884">
        <v>1</v>
      </c>
      <c r="E884">
        <v>1</v>
      </c>
      <c r="F884" t="s">
        <v>46</v>
      </c>
      <c r="G884" t="s">
        <v>11</v>
      </c>
      <c r="H884" t="s">
        <v>12</v>
      </c>
      <c r="I884" t="s">
        <v>13</v>
      </c>
      <c r="J884">
        <v>1</v>
      </c>
    </row>
    <row r="885" spans="1:10" x14ac:dyDescent="0.3">
      <c r="A885" t="s">
        <v>9</v>
      </c>
      <c r="B885">
        <v>21</v>
      </c>
      <c r="C885">
        <v>1</v>
      </c>
      <c r="D885">
        <v>1</v>
      </c>
      <c r="E885">
        <v>0</v>
      </c>
      <c r="F885" t="s">
        <v>30</v>
      </c>
      <c r="G885" t="s">
        <v>16</v>
      </c>
      <c r="H885" t="s">
        <v>18</v>
      </c>
      <c r="I885" t="s">
        <v>13</v>
      </c>
      <c r="J885">
        <v>1</v>
      </c>
    </row>
    <row r="886" spans="1:10" x14ac:dyDescent="0.3">
      <c r="A886" t="s">
        <v>14</v>
      </c>
      <c r="B886">
        <v>39</v>
      </c>
      <c r="C886">
        <v>1</v>
      </c>
      <c r="D886">
        <v>1</v>
      </c>
      <c r="E886">
        <v>1</v>
      </c>
      <c r="F886" t="s">
        <v>43</v>
      </c>
      <c r="G886" t="s">
        <v>11</v>
      </c>
      <c r="H886" t="s">
        <v>18</v>
      </c>
      <c r="I886" t="s">
        <v>13</v>
      </c>
      <c r="J886">
        <v>1</v>
      </c>
    </row>
    <row r="887" spans="1:10" x14ac:dyDescent="0.3">
      <c r="A887" t="s">
        <v>9</v>
      </c>
      <c r="B887">
        <v>39</v>
      </c>
      <c r="C887">
        <v>1</v>
      </c>
      <c r="D887">
        <v>1</v>
      </c>
      <c r="E887">
        <v>1</v>
      </c>
      <c r="F887" t="s">
        <v>10</v>
      </c>
      <c r="G887" t="s">
        <v>16</v>
      </c>
      <c r="H887" t="s">
        <v>12</v>
      </c>
      <c r="I887" t="s">
        <v>13</v>
      </c>
      <c r="J887">
        <v>1</v>
      </c>
    </row>
    <row r="888" spans="1:10" x14ac:dyDescent="0.3">
      <c r="A888" t="s">
        <v>14</v>
      </c>
      <c r="B888">
        <v>34</v>
      </c>
      <c r="C888">
        <v>0</v>
      </c>
      <c r="D888">
        <v>0</v>
      </c>
      <c r="E888">
        <v>0</v>
      </c>
      <c r="F888" t="s">
        <v>17</v>
      </c>
      <c r="G888" t="s">
        <v>11</v>
      </c>
      <c r="H888" t="s">
        <v>18</v>
      </c>
      <c r="I888" t="s">
        <v>13</v>
      </c>
      <c r="J888">
        <v>0</v>
      </c>
    </row>
    <row r="889" spans="1:10" x14ac:dyDescent="0.3">
      <c r="A889" t="s">
        <v>9</v>
      </c>
      <c r="B889">
        <v>36</v>
      </c>
      <c r="C889">
        <v>1</v>
      </c>
      <c r="D889">
        <v>1</v>
      </c>
      <c r="E889">
        <v>1</v>
      </c>
      <c r="F889" t="s">
        <v>36</v>
      </c>
      <c r="G889" t="s">
        <v>16</v>
      </c>
      <c r="H889" t="s">
        <v>12</v>
      </c>
      <c r="I889" t="s">
        <v>13</v>
      </c>
      <c r="J889">
        <v>1</v>
      </c>
    </row>
    <row r="890" spans="1:10" x14ac:dyDescent="0.3">
      <c r="A890" t="s">
        <v>9</v>
      </c>
      <c r="B890">
        <v>43</v>
      </c>
      <c r="C890">
        <v>0</v>
      </c>
      <c r="D890">
        <v>1</v>
      </c>
      <c r="E890">
        <v>0</v>
      </c>
      <c r="F890" t="s">
        <v>39</v>
      </c>
      <c r="G890" t="s">
        <v>11</v>
      </c>
      <c r="H890" t="s">
        <v>23</v>
      </c>
      <c r="I890" t="s">
        <v>13</v>
      </c>
      <c r="J890">
        <v>1</v>
      </c>
    </row>
    <row r="891" spans="1:10" x14ac:dyDescent="0.3">
      <c r="A891" t="s">
        <v>14</v>
      </c>
      <c r="B891">
        <v>39</v>
      </c>
      <c r="C891">
        <v>1</v>
      </c>
      <c r="D891">
        <v>1</v>
      </c>
      <c r="E891">
        <v>1</v>
      </c>
      <c r="F891" t="s">
        <v>35</v>
      </c>
      <c r="G891" t="s">
        <v>16</v>
      </c>
      <c r="H891" t="s">
        <v>12</v>
      </c>
      <c r="I891" t="s">
        <v>13</v>
      </c>
      <c r="J891">
        <v>1</v>
      </c>
    </row>
    <row r="892" spans="1:10" x14ac:dyDescent="0.3">
      <c r="A892" t="s">
        <v>9</v>
      </c>
      <c r="B892">
        <v>53</v>
      </c>
      <c r="C892">
        <v>1</v>
      </c>
      <c r="D892">
        <v>1</v>
      </c>
      <c r="E892">
        <v>1</v>
      </c>
      <c r="F892" t="s">
        <v>43</v>
      </c>
      <c r="G892" t="s">
        <v>11</v>
      </c>
      <c r="H892" t="s">
        <v>18</v>
      </c>
      <c r="I892" t="s">
        <v>13</v>
      </c>
      <c r="J892">
        <v>1</v>
      </c>
    </row>
    <row r="893" spans="1:10" x14ac:dyDescent="0.3">
      <c r="A893" t="s">
        <v>14</v>
      </c>
      <c r="B893">
        <v>45</v>
      </c>
      <c r="C893">
        <v>1</v>
      </c>
      <c r="D893">
        <v>1</v>
      </c>
      <c r="E893">
        <v>1</v>
      </c>
      <c r="F893" t="s">
        <v>38</v>
      </c>
      <c r="G893" t="s">
        <v>16</v>
      </c>
      <c r="H893" t="s">
        <v>23</v>
      </c>
      <c r="I893" t="s">
        <v>13</v>
      </c>
      <c r="J893">
        <v>1</v>
      </c>
    </row>
    <row r="894" spans="1:10" x14ac:dyDescent="0.3">
      <c r="A894" t="s">
        <v>9</v>
      </c>
      <c r="B894">
        <v>12</v>
      </c>
      <c r="C894">
        <v>0</v>
      </c>
      <c r="D894">
        <v>0</v>
      </c>
      <c r="E894">
        <v>1</v>
      </c>
      <c r="F894" t="s">
        <v>35</v>
      </c>
      <c r="G894" t="s">
        <v>11</v>
      </c>
      <c r="H894" t="s">
        <v>12</v>
      </c>
      <c r="I894" t="s">
        <v>13</v>
      </c>
      <c r="J894">
        <v>0</v>
      </c>
    </row>
    <row r="895" spans="1:10" x14ac:dyDescent="0.3">
      <c r="A895" t="s">
        <v>9</v>
      </c>
      <c r="B895">
        <v>28</v>
      </c>
      <c r="C895">
        <v>1</v>
      </c>
      <c r="D895">
        <v>1</v>
      </c>
      <c r="E895">
        <v>0</v>
      </c>
      <c r="F895" t="s">
        <v>19</v>
      </c>
      <c r="G895" t="s">
        <v>16</v>
      </c>
      <c r="H895" t="s">
        <v>18</v>
      </c>
      <c r="I895" t="s">
        <v>13</v>
      </c>
      <c r="J895">
        <v>1</v>
      </c>
    </row>
    <row r="896" spans="1:10" x14ac:dyDescent="0.3">
      <c r="A896" t="s">
        <v>14</v>
      </c>
      <c r="B896">
        <v>14</v>
      </c>
      <c r="C896">
        <v>1</v>
      </c>
      <c r="D896">
        <v>1</v>
      </c>
      <c r="E896">
        <v>0</v>
      </c>
      <c r="F896" t="s">
        <v>40</v>
      </c>
      <c r="G896" t="s">
        <v>11</v>
      </c>
      <c r="H896" t="s">
        <v>12</v>
      </c>
      <c r="I896" t="s">
        <v>13</v>
      </c>
      <c r="J896">
        <v>1</v>
      </c>
    </row>
    <row r="897" spans="1:10" x14ac:dyDescent="0.3">
      <c r="A897" t="s">
        <v>14</v>
      </c>
      <c r="B897">
        <v>10</v>
      </c>
      <c r="C897">
        <v>0</v>
      </c>
      <c r="D897">
        <v>0</v>
      </c>
      <c r="E897">
        <v>0</v>
      </c>
      <c r="F897" t="s">
        <v>51</v>
      </c>
      <c r="G897" t="s">
        <v>16</v>
      </c>
      <c r="H897" t="s">
        <v>12</v>
      </c>
      <c r="I897" t="s">
        <v>13</v>
      </c>
      <c r="J897">
        <v>0</v>
      </c>
    </row>
    <row r="898" spans="1:10" x14ac:dyDescent="0.3">
      <c r="A898" t="s">
        <v>14</v>
      </c>
      <c r="B898">
        <v>64</v>
      </c>
      <c r="C898">
        <v>1</v>
      </c>
      <c r="D898">
        <v>1</v>
      </c>
      <c r="E898">
        <v>0</v>
      </c>
      <c r="F898" t="s">
        <v>32</v>
      </c>
      <c r="G898" t="s">
        <v>11</v>
      </c>
      <c r="H898" t="s">
        <v>18</v>
      </c>
      <c r="I898" t="s">
        <v>13</v>
      </c>
      <c r="J898">
        <v>1</v>
      </c>
    </row>
    <row r="899" spans="1:10" x14ac:dyDescent="0.3">
      <c r="A899" t="s">
        <v>14</v>
      </c>
      <c r="B899">
        <v>8</v>
      </c>
      <c r="C899">
        <v>1</v>
      </c>
      <c r="D899">
        <v>1</v>
      </c>
      <c r="E899">
        <v>0</v>
      </c>
      <c r="F899" t="s">
        <v>32</v>
      </c>
      <c r="G899" t="s">
        <v>16</v>
      </c>
      <c r="H899" t="s">
        <v>23</v>
      </c>
      <c r="I899" t="s">
        <v>13</v>
      </c>
      <c r="J899">
        <v>1</v>
      </c>
    </row>
    <row r="900" spans="1:10" x14ac:dyDescent="0.3">
      <c r="A900" t="s">
        <v>9</v>
      </c>
      <c r="B900">
        <v>43</v>
      </c>
      <c r="C900">
        <v>0</v>
      </c>
      <c r="D900">
        <v>0</v>
      </c>
      <c r="E900">
        <v>1</v>
      </c>
      <c r="F900" t="s">
        <v>40</v>
      </c>
      <c r="G900" t="s">
        <v>11</v>
      </c>
      <c r="H900" t="s">
        <v>18</v>
      </c>
      <c r="I900" t="s">
        <v>13</v>
      </c>
      <c r="J900">
        <v>0</v>
      </c>
    </row>
    <row r="901" spans="1:10" x14ac:dyDescent="0.3">
      <c r="A901" t="s">
        <v>14</v>
      </c>
      <c r="B901">
        <v>16</v>
      </c>
      <c r="C901">
        <v>0</v>
      </c>
      <c r="D901">
        <v>0</v>
      </c>
      <c r="E901">
        <v>0</v>
      </c>
      <c r="F901" t="s">
        <v>42</v>
      </c>
      <c r="G901" t="s">
        <v>16</v>
      </c>
      <c r="H901" t="s">
        <v>12</v>
      </c>
      <c r="I901" t="s">
        <v>13</v>
      </c>
      <c r="J901">
        <v>0</v>
      </c>
    </row>
    <row r="902" spans="1:10" x14ac:dyDescent="0.3">
      <c r="A902" t="s">
        <v>9</v>
      </c>
      <c r="B902">
        <v>62</v>
      </c>
      <c r="C902">
        <v>1</v>
      </c>
      <c r="D902">
        <v>1</v>
      </c>
      <c r="E902">
        <v>1</v>
      </c>
      <c r="F902" t="s">
        <v>30</v>
      </c>
      <c r="G902" t="s">
        <v>11</v>
      </c>
      <c r="H902" t="s">
        <v>23</v>
      </c>
      <c r="I902" t="s">
        <v>13</v>
      </c>
      <c r="J902">
        <v>1</v>
      </c>
    </row>
    <row r="903" spans="1:10" x14ac:dyDescent="0.3">
      <c r="A903" t="s">
        <v>9</v>
      </c>
      <c r="B903">
        <v>35</v>
      </c>
      <c r="C903">
        <v>0</v>
      </c>
      <c r="D903">
        <v>0</v>
      </c>
      <c r="E903">
        <v>0</v>
      </c>
      <c r="F903" t="s">
        <v>33</v>
      </c>
      <c r="G903" t="s">
        <v>16</v>
      </c>
      <c r="H903" t="s">
        <v>12</v>
      </c>
      <c r="I903" t="s">
        <v>13</v>
      </c>
      <c r="J903">
        <v>0</v>
      </c>
    </row>
    <row r="904" spans="1:10" x14ac:dyDescent="0.3">
      <c r="A904" t="s">
        <v>14</v>
      </c>
      <c r="B904">
        <v>36</v>
      </c>
      <c r="C904">
        <v>0</v>
      </c>
      <c r="D904">
        <v>0</v>
      </c>
      <c r="E904">
        <v>0</v>
      </c>
      <c r="F904" t="s">
        <v>15</v>
      </c>
      <c r="G904" t="s">
        <v>11</v>
      </c>
      <c r="H904" t="s">
        <v>18</v>
      </c>
      <c r="I904" t="s">
        <v>13</v>
      </c>
      <c r="J904">
        <v>0</v>
      </c>
    </row>
    <row r="905" spans="1:10" x14ac:dyDescent="0.3">
      <c r="A905" t="s">
        <v>9</v>
      </c>
      <c r="B905">
        <v>15</v>
      </c>
      <c r="C905">
        <v>1</v>
      </c>
      <c r="D905">
        <v>1</v>
      </c>
      <c r="E905">
        <v>0</v>
      </c>
      <c r="F905" t="s">
        <v>28</v>
      </c>
      <c r="G905" t="s">
        <v>16</v>
      </c>
      <c r="H905" t="s">
        <v>12</v>
      </c>
      <c r="I905" t="s">
        <v>13</v>
      </c>
      <c r="J905">
        <v>1</v>
      </c>
    </row>
    <row r="906" spans="1:10" x14ac:dyDescent="0.3">
      <c r="A906" t="s">
        <v>9</v>
      </c>
      <c r="B906">
        <v>11</v>
      </c>
      <c r="C906">
        <v>1</v>
      </c>
      <c r="D906">
        <v>1</v>
      </c>
      <c r="E906">
        <v>0</v>
      </c>
      <c r="F906" t="s">
        <v>32</v>
      </c>
      <c r="G906" t="s">
        <v>11</v>
      </c>
      <c r="H906" t="s">
        <v>12</v>
      </c>
      <c r="I906" t="s">
        <v>13</v>
      </c>
      <c r="J906">
        <v>1</v>
      </c>
    </row>
    <row r="907" spans="1:10" x14ac:dyDescent="0.3">
      <c r="A907" t="s">
        <v>14</v>
      </c>
      <c r="B907">
        <v>27</v>
      </c>
      <c r="C907">
        <v>1</v>
      </c>
      <c r="D907">
        <v>1</v>
      </c>
      <c r="E907">
        <v>0</v>
      </c>
      <c r="F907" t="s">
        <v>40</v>
      </c>
      <c r="G907" t="s">
        <v>16</v>
      </c>
      <c r="H907" t="s">
        <v>18</v>
      </c>
      <c r="I907" t="s">
        <v>13</v>
      </c>
      <c r="J907">
        <v>1</v>
      </c>
    </row>
    <row r="908" spans="1:10" x14ac:dyDescent="0.3">
      <c r="A908" t="s">
        <v>14</v>
      </c>
      <c r="B908">
        <v>20</v>
      </c>
      <c r="C908">
        <v>0</v>
      </c>
      <c r="D908">
        <v>0</v>
      </c>
      <c r="E908">
        <v>0</v>
      </c>
      <c r="F908" t="s">
        <v>28</v>
      </c>
      <c r="G908" t="s">
        <v>11</v>
      </c>
      <c r="H908" t="s">
        <v>18</v>
      </c>
      <c r="I908" t="s">
        <v>13</v>
      </c>
      <c r="J908">
        <v>0</v>
      </c>
    </row>
    <row r="909" spans="1:10" x14ac:dyDescent="0.3">
      <c r="A909" t="s">
        <v>14</v>
      </c>
      <c r="B909">
        <v>28</v>
      </c>
      <c r="C909">
        <v>1</v>
      </c>
      <c r="D909">
        <v>1</v>
      </c>
      <c r="E909">
        <v>0</v>
      </c>
      <c r="F909" t="s">
        <v>29</v>
      </c>
      <c r="G909" t="s">
        <v>16</v>
      </c>
      <c r="H909" t="s">
        <v>23</v>
      </c>
      <c r="I909" t="s">
        <v>13</v>
      </c>
      <c r="J909">
        <v>1</v>
      </c>
    </row>
    <row r="910" spans="1:10" x14ac:dyDescent="0.3">
      <c r="A910" t="s">
        <v>14</v>
      </c>
      <c r="B910">
        <v>60</v>
      </c>
      <c r="C910">
        <v>1</v>
      </c>
      <c r="D910">
        <v>1</v>
      </c>
      <c r="E910">
        <v>0</v>
      </c>
      <c r="F910" t="s">
        <v>15</v>
      </c>
      <c r="G910" t="s">
        <v>11</v>
      </c>
      <c r="H910" t="s">
        <v>18</v>
      </c>
      <c r="I910" t="s">
        <v>13</v>
      </c>
      <c r="J910">
        <v>1</v>
      </c>
    </row>
    <row r="911" spans="1:10" x14ac:dyDescent="0.3">
      <c r="A911" t="s">
        <v>14</v>
      </c>
      <c r="B911">
        <v>10</v>
      </c>
      <c r="C911">
        <v>1</v>
      </c>
      <c r="D911">
        <v>1</v>
      </c>
      <c r="E911">
        <v>1</v>
      </c>
      <c r="F911" t="s">
        <v>47</v>
      </c>
      <c r="G911" t="s">
        <v>16</v>
      </c>
      <c r="H911" t="s">
        <v>18</v>
      </c>
      <c r="I911" t="s">
        <v>13</v>
      </c>
      <c r="J911">
        <v>1</v>
      </c>
    </row>
    <row r="912" spans="1:10" x14ac:dyDescent="0.3">
      <c r="A912" t="s">
        <v>9</v>
      </c>
      <c r="B912">
        <v>39</v>
      </c>
      <c r="C912">
        <v>0</v>
      </c>
      <c r="D912">
        <v>0</v>
      </c>
      <c r="E912">
        <v>1</v>
      </c>
      <c r="F912" t="s">
        <v>46</v>
      </c>
      <c r="G912" t="s">
        <v>11</v>
      </c>
      <c r="H912" t="s">
        <v>23</v>
      </c>
      <c r="I912" t="s">
        <v>13</v>
      </c>
      <c r="J912">
        <v>0</v>
      </c>
    </row>
    <row r="913" spans="1:10" x14ac:dyDescent="0.3">
      <c r="A913" t="s">
        <v>14</v>
      </c>
      <c r="B913">
        <v>52</v>
      </c>
      <c r="C913">
        <v>0</v>
      </c>
      <c r="D913">
        <v>0</v>
      </c>
      <c r="E913">
        <v>1</v>
      </c>
      <c r="F913" t="s">
        <v>51</v>
      </c>
      <c r="G913" t="s">
        <v>16</v>
      </c>
      <c r="H913" t="s">
        <v>23</v>
      </c>
      <c r="I913" t="s">
        <v>13</v>
      </c>
      <c r="J913">
        <v>0</v>
      </c>
    </row>
    <row r="914" spans="1:10" x14ac:dyDescent="0.3">
      <c r="A914" t="s">
        <v>9</v>
      </c>
      <c r="B914">
        <v>36</v>
      </c>
      <c r="C914">
        <v>1</v>
      </c>
      <c r="D914">
        <v>1</v>
      </c>
      <c r="E914">
        <v>0</v>
      </c>
      <c r="F914" t="s">
        <v>47</v>
      </c>
      <c r="G914" t="s">
        <v>11</v>
      </c>
      <c r="H914" t="s">
        <v>23</v>
      </c>
      <c r="I914" t="s">
        <v>13</v>
      </c>
      <c r="J914">
        <v>1</v>
      </c>
    </row>
    <row r="915" spans="1:10" x14ac:dyDescent="0.3">
      <c r="A915" t="s">
        <v>9</v>
      </c>
      <c r="B915">
        <v>39</v>
      </c>
      <c r="C915">
        <v>0</v>
      </c>
      <c r="D915">
        <v>0</v>
      </c>
      <c r="E915">
        <v>0</v>
      </c>
      <c r="F915" t="s">
        <v>50</v>
      </c>
      <c r="G915" t="s">
        <v>16</v>
      </c>
      <c r="H915" t="s">
        <v>12</v>
      </c>
      <c r="I915" t="s">
        <v>13</v>
      </c>
      <c r="J915">
        <v>0</v>
      </c>
    </row>
    <row r="916" spans="1:10" x14ac:dyDescent="0.3">
      <c r="A916" t="s">
        <v>14</v>
      </c>
      <c r="B916">
        <v>13</v>
      </c>
      <c r="C916">
        <v>0</v>
      </c>
      <c r="D916">
        <v>0</v>
      </c>
      <c r="E916">
        <v>1</v>
      </c>
      <c r="F916" t="s">
        <v>44</v>
      </c>
      <c r="G916" t="s">
        <v>11</v>
      </c>
      <c r="H916" t="s">
        <v>18</v>
      </c>
      <c r="I916" t="s">
        <v>13</v>
      </c>
      <c r="J916">
        <v>0</v>
      </c>
    </row>
    <row r="917" spans="1:10" x14ac:dyDescent="0.3">
      <c r="A917" t="s">
        <v>9</v>
      </c>
      <c r="B917">
        <v>42</v>
      </c>
      <c r="C917">
        <v>0</v>
      </c>
      <c r="D917">
        <v>0</v>
      </c>
      <c r="E917">
        <v>0</v>
      </c>
      <c r="F917" t="s">
        <v>10</v>
      </c>
      <c r="G917" t="s">
        <v>16</v>
      </c>
      <c r="H917" t="s">
        <v>23</v>
      </c>
      <c r="I917" t="s">
        <v>13</v>
      </c>
      <c r="J917">
        <v>0</v>
      </c>
    </row>
    <row r="918" spans="1:10" x14ac:dyDescent="0.3">
      <c r="A918" t="s">
        <v>14</v>
      </c>
      <c r="B918">
        <v>30</v>
      </c>
      <c r="C918">
        <v>1</v>
      </c>
      <c r="D918">
        <v>1</v>
      </c>
      <c r="E918">
        <v>1</v>
      </c>
      <c r="F918" t="s">
        <v>43</v>
      </c>
      <c r="G918" t="s">
        <v>11</v>
      </c>
      <c r="H918" t="s">
        <v>12</v>
      </c>
      <c r="I918" t="s">
        <v>13</v>
      </c>
      <c r="J918">
        <v>1</v>
      </c>
    </row>
    <row r="919" spans="1:10" x14ac:dyDescent="0.3">
      <c r="A919" t="s">
        <v>14</v>
      </c>
      <c r="B919">
        <v>33</v>
      </c>
      <c r="C919">
        <v>0</v>
      </c>
      <c r="D919">
        <v>0</v>
      </c>
      <c r="E919">
        <v>0</v>
      </c>
      <c r="F919" t="s">
        <v>40</v>
      </c>
      <c r="G919" t="s">
        <v>16</v>
      </c>
      <c r="H919" t="s">
        <v>23</v>
      </c>
      <c r="I919" t="s">
        <v>13</v>
      </c>
      <c r="J919">
        <v>0</v>
      </c>
    </row>
    <row r="920" spans="1:10" x14ac:dyDescent="0.3">
      <c r="A920" t="s">
        <v>9</v>
      </c>
      <c r="B920">
        <v>61</v>
      </c>
      <c r="C920">
        <v>1</v>
      </c>
      <c r="D920">
        <v>1</v>
      </c>
      <c r="E920">
        <v>1</v>
      </c>
      <c r="F920" t="s">
        <v>35</v>
      </c>
      <c r="G920" t="s">
        <v>11</v>
      </c>
      <c r="H920" t="s">
        <v>12</v>
      </c>
      <c r="I920" t="s">
        <v>13</v>
      </c>
      <c r="J920">
        <v>1</v>
      </c>
    </row>
    <row r="921" spans="1:10" x14ac:dyDescent="0.3">
      <c r="A921" t="s">
        <v>9</v>
      </c>
      <c r="B921">
        <v>47</v>
      </c>
      <c r="C921">
        <v>1</v>
      </c>
      <c r="D921">
        <v>1</v>
      </c>
      <c r="E921">
        <v>1</v>
      </c>
      <c r="F921" t="s">
        <v>22</v>
      </c>
      <c r="G921" t="s">
        <v>16</v>
      </c>
      <c r="H921" t="s">
        <v>12</v>
      </c>
      <c r="I921" t="s">
        <v>13</v>
      </c>
      <c r="J921">
        <v>1</v>
      </c>
    </row>
    <row r="922" spans="1:10" x14ac:dyDescent="0.3">
      <c r="A922" t="s">
        <v>9</v>
      </c>
      <c r="B922">
        <v>52</v>
      </c>
      <c r="C922">
        <v>0</v>
      </c>
      <c r="D922">
        <v>0</v>
      </c>
      <c r="E922">
        <v>1</v>
      </c>
      <c r="F922" t="s">
        <v>46</v>
      </c>
      <c r="G922" t="s">
        <v>11</v>
      </c>
      <c r="H922" t="s">
        <v>18</v>
      </c>
      <c r="I922" t="s">
        <v>13</v>
      </c>
      <c r="J922">
        <v>0</v>
      </c>
    </row>
    <row r="923" spans="1:10" x14ac:dyDescent="0.3">
      <c r="A923" t="s">
        <v>14</v>
      </c>
      <c r="B923">
        <v>59</v>
      </c>
      <c r="C923">
        <v>0</v>
      </c>
      <c r="D923">
        <v>0</v>
      </c>
      <c r="E923">
        <v>1</v>
      </c>
      <c r="F923" t="s">
        <v>52</v>
      </c>
      <c r="G923" t="s">
        <v>16</v>
      </c>
      <c r="H923" t="s">
        <v>12</v>
      </c>
      <c r="I923" t="s">
        <v>13</v>
      </c>
      <c r="J923">
        <v>0</v>
      </c>
    </row>
    <row r="924" spans="1:10" x14ac:dyDescent="0.3">
      <c r="A924" t="s">
        <v>9</v>
      </c>
      <c r="B924">
        <v>29</v>
      </c>
      <c r="C924">
        <v>0</v>
      </c>
      <c r="D924">
        <v>0</v>
      </c>
      <c r="E924">
        <v>0</v>
      </c>
      <c r="F924" t="s">
        <v>44</v>
      </c>
      <c r="G924" t="s">
        <v>11</v>
      </c>
      <c r="H924" t="s">
        <v>12</v>
      </c>
      <c r="I924" t="s">
        <v>13</v>
      </c>
      <c r="J924">
        <v>0</v>
      </c>
    </row>
    <row r="925" spans="1:10" x14ac:dyDescent="0.3">
      <c r="A925" t="s">
        <v>9</v>
      </c>
      <c r="B925">
        <v>50</v>
      </c>
      <c r="C925">
        <v>1</v>
      </c>
      <c r="D925">
        <v>1</v>
      </c>
      <c r="E925">
        <v>1</v>
      </c>
      <c r="F925" t="s">
        <v>38</v>
      </c>
      <c r="G925" t="s">
        <v>16</v>
      </c>
      <c r="H925" t="s">
        <v>23</v>
      </c>
      <c r="I925" t="s">
        <v>13</v>
      </c>
      <c r="J925">
        <v>1</v>
      </c>
    </row>
    <row r="926" spans="1:10" x14ac:dyDescent="0.3">
      <c r="A926" t="s">
        <v>9</v>
      </c>
      <c r="B926">
        <v>56</v>
      </c>
      <c r="C926">
        <v>1</v>
      </c>
      <c r="D926">
        <v>1</v>
      </c>
      <c r="E926">
        <v>0</v>
      </c>
      <c r="F926" t="s">
        <v>44</v>
      </c>
      <c r="G926" t="s">
        <v>11</v>
      </c>
      <c r="H926" t="s">
        <v>12</v>
      </c>
      <c r="I926" t="s">
        <v>13</v>
      </c>
      <c r="J926">
        <v>1</v>
      </c>
    </row>
    <row r="927" spans="1:10" x14ac:dyDescent="0.3">
      <c r="A927" t="s">
        <v>14</v>
      </c>
      <c r="B927">
        <v>55</v>
      </c>
      <c r="C927">
        <v>1</v>
      </c>
      <c r="D927">
        <v>1</v>
      </c>
      <c r="E927">
        <v>0</v>
      </c>
      <c r="F927" t="s">
        <v>41</v>
      </c>
      <c r="G927" t="s">
        <v>16</v>
      </c>
      <c r="H927" t="s">
        <v>12</v>
      </c>
      <c r="I927" t="s">
        <v>13</v>
      </c>
      <c r="J927">
        <v>1</v>
      </c>
    </row>
    <row r="928" spans="1:10" x14ac:dyDescent="0.3">
      <c r="A928" t="s">
        <v>9</v>
      </c>
      <c r="B928">
        <v>44</v>
      </c>
      <c r="C928">
        <v>1</v>
      </c>
      <c r="D928">
        <v>1</v>
      </c>
      <c r="E928">
        <v>1</v>
      </c>
      <c r="F928" t="s">
        <v>33</v>
      </c>
      <c r="G928" t="s">
        <v>11</v>
      </c>
      <c r="H928" t="s">
        <v>12</v>
      </c>
      <c r="I928" t="s">
        <v>13</v>
      </c>
      <c r="J928">
        <v>1</v>
      </c>
    </row>
    <row r="929" spans="1:10" x14ac:dyDescent="0.3">
      <c r="A929" t="s">
        <v>14</v>
      </c>
      <c r="B929">
        <v>37</v>
      </c>
      <c r="C929">
        <v>0</v>
      </c>
      <c r="D929">
        <v>0</v>
      </c>
      <c r="E929">
        <v>0</v>
      </c>
      <c r="F929" t="s">
        <v>33</v>
      </c>
      <c r="G929" t="s">
        <v>16</v>
      </c>
      <c r="H929" t="s">
        <v>23</v>
      </c>
      <c r="I929" t="s">
        <v>13</v>
      </c>
      <c r="J929">
        <v>0</v>
      </c>
    </row>
    <row r="930" spans="1:10" x14ac:dyDescent="0.3">
      <c r="A930" t="s">
        <v>9</v>
      </c>
      <c r="B930">
        <v>42</v>
      </c>
      <c r="C930">
        <v>0</v>
      </c>
      <c r="D930">
        <v>0</v>
      </c>
      <c r="E930">
        <v>1</v>
      </c>
      <c r="F930" t="s">
        <v>44</v>
      </c>
      <c r="G930" t="s">
        <v>11</v>
      </c>
      <c r="H930" t="s">
        <v>23</v>
      </c>
      <c r="I930" t="s">
        <v>13</v>
      </c>
      <c r="J930">
        <v>0</v>
      </c>
    </row>
    <row r="931" spans="1:10" x14ac:dyDescent="0.3">
      <c r="A931" t="s">
        <v>14</v>
      </c>
      <c r="B931">
        <v>8</v>
      </c>
      <c r="C931">
        <v>0</v>
      </c>
      <c r="D931">
        <v>0</v>
      </c>
      <c r="E931">
        <v>1</v>
      </c>
      <c r="F931" t="s">
        <v>22</v>
      </c>
      <c r="G931" t="s">
        <v>16</v>
      </c>
      <c r="H931" t="s">
        <v>12</v>
      </c>
      <c r="I931" t="s">
        <v>13</v>
      </c>
      <c r="J931">
        <v>0</v>
      </c>
    </row>
    <row r="932" spans="1:10" x14ac:dyDescent="0.3">
      <c r="A932" t="s">
        <v>14</v>
      </c>
      <c r="B932">
        <v>40</v>
      </c>
      <c r="C932">
        <v>0</v>
      </c>
      <c r="D932">
        <v>0</v>
      </c>
      <c r="E932">
        <v>0</v>
      </c>
      <c r="F932" t="s">
        <v>34</v>
      </c>
      <c r="G932" t="s">
        <v>11</v>
      </c>
      <c r="H932" t="s">
        <v>23</v>
      </c>
      <c r="I932" t="s">
        <v>13</v>
      </c>
      <c r="J932">
        <v>0</v>
      </c>
    </row>
    <row r="933" spans="1:10" x14ac:dyDescent="0.3">
      <c r="A933" t="s">
        <v>14</v>
      </c>
      <c r="B933">
        <v>56</v>
      </c>
      <c r="C933">
        <v>0</v>
      </c>
      <c r="D933">
        <v>0</v>
      </c>
      <c r="E933">
        <v>1</v>
      </c>
      <c r="F933" t="s">
        <v>21</v>
      </c>
      <c r="G933" t="s">
        <v>16</v>
      </c>
      <c r="H933" t="s">
        <v>23</v>
      </c>
      <c r="I933" t="s">
        <v>13</v>
      </c>
      <c r="J933">
        <v>0</v>
      </c>
    </row>
    <row r="934" spans="1:10" x14ac:dyDescent="0.3">
      <c r="A934" t="s">
        <v>14</v>
      </c>
      <c r="B934">
        <v>60</v>
      </c>
      <c r="C934">
        <v>0</v>
      </c>
      <c r="D934">
        <v>0</v>
      </c>
      <c r="E934">
        <v>1</v>
      </c>
      <c r="F934" t="s">
        <v>32</v>
      </c>
      <c r="G934" t="s">
        <v>11</v>
      </c>
      <c r="H934" t="s">
        <v>12</v>
      </c>
      <c r="I934" t="s">
        <v>13</v>
      </c>
      <c r="J934">
        <v>0</v>
      </c>
    </row>
    <row r="935" spans="1:10" x14ac:dyDescent="0.3">
      <c r="A935" t="s">
        <v>14</v>
      </c>
      <c r="B935">
        <v>26</v>
      </c>
      <c r="C935">
        <v>0</v>
      </c>
      <c r="D935">
        <v>0</v>
      </c>
      <c r="E935">
        <v>0</v>
      </c>
      <c r="F935" t="s">
        <v>19</v>
      </c>
      <c r="G935" t="s">
        <v>16</v>
      </c>
      <c r="H935" t="s">
        <v>23</v>
      </c>
      <c r="I935" t="s">
        <v>13</v>
      </c>
      <c r="J935">
        <v>0</v>
      </c>
    </row>
    <row r="936" spans="1:10" x14ac:dyDescent="0.3">
      <c r="A936" t="s">
        <v>9</v>
      </c>
      <c r="B936">
        <v>65</v>
      </c>
      <c r="C936">
        <v>1</v>
      </c>
      <c r="D936">
        <v>1</v>
      </c>
      <c r="E936">
        <v>0</v>
      </c>
      <c r="F936" t="s">
        <v>27</v>
      </c>
      <c r="G936" t="s">
        <v>11</v>
      </c>
      <c r="H936" t="s">
        <v>12</v>
      </c>
      <c r="I936" t="s">
        <v>13</v>
      </c>
      <c r="J936">
        <v>1</v>
      </c>
    </row>
    <row r="937" spans="1:10" x14ac:dyDescent="0.3">
      <c r="A937" t="s">
        <v>9</v>
      </c>
      <c r="B937">
        <v>33</v>
      </c>
      <c r="C937">
        <v>1</v>
      </c>
      <c r="D937">
        <v>1</v>
      </c>
      <c r="E937">
        <v>1</v>
      </c>
      <c r="F937" t="s">
        <v>47</v>
      </c>
      <c r="G937" t="s">
        <v>16</v>
      </c>
      <c r="H937" t="s">
        <v>12</v>
      </c>
      <c r="I937" t="s">
        <v>13</v>
      </c>
      <c r="J937">
        <v>1</v>
      </c>
    </row>
    <row r="938" spans="1:10" x14ac:dyDescent="0.3">
      <c r="A938" t="s">
        <v>9</v>
      </c>
      <c r="B938">
        <v>20</v>
      </c>
      <c r="C938">
        <v>0</v>
      </c>
      <c r="D938">
        <v>0</v>
      </c>
      <c r="E938">
        <v>0</v>
      </c>
      <c r="F938" t="s">
        <v>51</v>
      </c>
      <c r="G938" t="s">
        <v>11</v>
      </c>
      <c r="H938" t="s">
        <v>18</v>
      </c>
      <c r="I938" t="s">
        <v>13</v>
      </c>
      <c r="J938">
        <v>0</v>
      </c>
    </row>
    <row r="939" spans="1:10" x14ac:dyDescent="0.3">
      <c r="A939" t="s">
        <v>14</v>
      </c>
      <c r="B939">
        <v>20</v>
      </c>
      <c r="C939">
        <v>0</v>
      </c>
      <c r="D939">
        <v>0</v>
      </c>
      <c r="E939">
        <v>0</v>
      </c>
      <c r="F939" t="s">
        <v>45</v>
      </c>
      <c r="G939" t="s">
        <v>16</v>
      </c>
      <c r="H939" t="s">
        <v>18</v>
      </c>
      <c r="I939" t="s">
        <v>13</v>
      </c>
      <c r="J939">
        <v>0</v>
      </c>
    </row>
    <row r="940" spans="1:10" x14ac:dyDescent="0.3">
      <c r="A940" t="s">
        <v>9</v>
      </c>
      <c r="B940">
        <v>54</v>
      </c>
      <c r="C940">
        <v>1</v>
      </c>
      <c r="D940">
        <v>1</v>
      </c>
      <c r="E940">
        <v>0</v>
      </c>
      <c r="F940" t="s">
        <v>49</v>
      </c>
      <c r="G940" t="s">
        <v>11</v>
      </c>
      <c r="H940" t="s">
        <v>12</v>
      </c>
      <c r="I940" t="s">
        <v>13</v>
      </c>
      <c r="J940">
        <v>1</v>
      </c>
    </row>
    <row r="941" spans="1:10" x14ac:dyDescent="0.3">
      <c r="A941" t="s">
        <v>14</v>
      </c>
      <c r="B941">
        <v>22</v>
      </c>
      <c r="C941">
        <v>1</v>
      </c>
      <c r="D941">
        <v>1</v>
      </c>
      <c r="E941">
        <v>1</v>
      </c>
      <c r="F941" t="s">
        <v>44</v>
      </c>
      <c r="G941" t="s">
        <v>16</v>
      </c>
      <c r="H941" t="s">
        <v>23</v>
      </c>
      <c r="I941" t="s">
        <v>13</v>
      </c>
      <c r="J941">
        <v>1</v>
      </c>
    </row>
    <row r="942" spans="1:10" x14ac:dyDescent="0.3">
      <c r="A942" t="s">
        <v>9</v>
      </c>
      <c r="B942">
        <v>16</v>
      </c>
      <c r="C942">
        <v>0</v>
      </c>
      <c r="D942">
        <v>0</v>
      </c>
      <c r="E942">
        <v>0</v>
      </c>
      <c r="F942" t="s">
        <v>17</v>
      </c>
      <c r="G942" t="s">
        <v>11</v>
      </c>
      <c r="H942" t="s">
        <v>23</v>
      </c>
      <c r="I942" t="s">
        <v>13</v>
      </c>
      <c r="J942">
        <v>0</v>
      </c>
    </row>
    <row r="943" spans="1:10" x14ac:dyDescent="0.3">
      <c r="A943" t="s">
        <v>9</v>
      </c>
      <c r="B943">
        <v>37</v>
      </c>
      <c r="C943">
        <v>0</v>
      </c>
      <c r="D943">
        <v>0</v>
      </c>
      <c r="E943">
        <v>0</v>
      </c>
      <c r="F943" t="s">
        <v>51</v>
      </c>
      <c r="G943" t="s">
        <v>16</v>
      </c>
      <c r="H943" t="s">
        <v>12</v>
      </c>
      <c r="I943" t="s">
        <v>13</v>
      </c>
      <c r="J943">
        <v>0</v>
      </c>
    </row>
    <row r="944" spans="1:10" x14ac:dyDescent="0.3">
      <c r="A944" t="s">
        <v>9</v>
      </c>
      <c r="B944">
        <v>26</v>
      </c>
      <c r="C944">
        <v>0</v>
      </c>
      <c r="D944">
        <v>0</v>
      </c>
      <c r="E944">
        <v>1</v>
      </c>
      <c r="F944" t="s">
        <v>43</v>
      </c>
      <c r="G944" t="s">
        <v>11</v>
      </c>
      <c r="H944" t="s">
        <v>23</v>
      </c>
      <c r="I944" t="s">
        <v>13</v>
      </c>
      <c r="J944">
        <v>0</v>
      </c>
    </row>
    <row r="945" spans="1:10" x14ac:dyDescent="0.3">
      <c r="A945" t="s">
        <v>9</v>
      </c>
      <c r="B945">
        <v>27</v>
      </c>
      <c r="C945">
        <v>0</v>
      </c>
      <c r="D945">
        <v>0</v>
      </c>
      <c r="E945">
        <v>0</v>
      </c>
      <c r="F945" t="s">
        <v>40</v>
      </c>
      <c r="G945" t="s">
        <v>16</v>
      </c>
      <c r="H945" t="s">
        <v>23</v>
      </c>
      <c r="I945" t="s">
        <v>13</v>
      </c>
      <c r="J945">
        <v>0</v>
      </c>
    </row>
    <row r="946" spans="1:10" x14ac:dyDescent="0.3">
      <c r="A946" t="s">
        <v>9</v>
      </c>
      <c r="B946">
        <v>10</v>
      </c>
      <c r="C946">
        <v>0</v>
      </c>
      <c r="D946">
        <v>0</v>
      </c>
      <c r="E946">
        <v>0</v>
      </c>
      <c r="F946" t="s">
        <v>49</v>
      </c>
      <c r="G946" t="s">
        <v>11</v>
      </c>
      <c r="H946" t="s">
        <v>12</v>
      </c>
      <c r="I946" t="s">
        <v>13</v>
      </c>
      <c r="J946">
        <v>0</v>
      </c>
    </row>
    <row r="947" spans="1:10" x14ac:dyDescent="0.3">
      <c r="A947" t="s">
        <v>9</v>
      </c>
      <c r="B947">
        <v>15</v>
      </c>
      <c r="C947">
        <v>0</v>
      </c>
      <c r="D947">
        <v>0</v>
      </c>
      <c r="E947">
        <v>0</v>
      </c>
      <c r="F947" t="s">
        <v>36</v>
      </c>
      <c r="G947" t="s">
        <v>16</v>
      </c>
      <c r="H947" t="s">
        <v>12</v>
      </c>
      <c r="I947" t="s">
        <v>13</v>
      </c>
      <c r="J947">
        <v>0</v>
      </c>
    </row>
    <row r="948" spans="1:10" x14ac:dyDescent="0.3">
      <c r="A948" t="s">
        <v>9</v>
      </c>
      <c r="B948">
        <v>17</v>
      </c>
      <c r="C948">
        <v>0</v>
      </c>
      <c r="D948">
        <v>0</v>
      </c>
      <c r="E948">
        <v>0</v>
      </c>
      <c r="F948" t="s">
        <v>35</v>
      </c>
      <c r="G948" t="s">
        <v>11</v>
      </c>
      <c r="H948" t="s">
        <v>23</v>
      </c>
      <c r="I948" t="s">
        <v>13</v>
      </c>
      <c r="J948">
        <v>0</v>
      </c>
    </row>
    <row r="949" spans="1:10" x14ac:dyDescent="0.3">
      <c r="A949" t="s">
        <v>9</v>
      </c>
      <c r="B949">
        <v>61</v>
      </c>
      <c r="C949">
        <v>1</v>
      </c>
      <c r="D949">
        <v>1</v>
      </c>
      <c r="E949">
        <v>1</v>
      </c>
      <c r="F949" t="s">
        <v>10</v>
      </c>
      <c r="G949" t="s">
        <v>16</v>
      </c>
      <c r="H949" t="s">
        <v>12</v>
      </c>
      <c r="I949" t="s">
        <v>13</v>
      </c>
      <c r="J949">
        <v>1</v>
      </c>
    </row>
    <row r="950" spans="1:10" x14ac:dyDescent="0.3">
      <c r="A950" t="s">
        <v>14</v>
      </c>
      <c r="B950">
        <v>35</v>
      </c>
      <c r="C950">
        <v>1</v>
      </c>
      <c r="D950">
        <v>1</v>
      </c>
      <c r="E950">
        <v>1</v>
      </c>
      <c r="F950" t="s">
        <v>28</v>
      </c>
      <c r="G950" t="s">
        <v>11</v>
      </c>
      <c r="H950" t="s">
        <v>18</v>
      </c>
      <c r="I950" t="s">
        <v>13</v>
      </c>
      <c r="J950">
        <v>1</v>
      </c>
    </row>
    <row r="951" spans="1:10" x14ac:dyDescent="0.3">
      <c r="A951" t="s">
        <v>9</v>
      </c>
      <c r="B951">
        <v>55</v>
      </c>
      <c r="C951">
        <v>1</v>
      </c>
      <c r="D951">
        <v>1</v>
      </c>
      <c r="E951">
        <v>1</v>
      </c>
      <c r="F951" t="s">
        <v>51</v>
      </c>
      <c r="G951" t="s">
        <v>16</v>
      </c>
      <c r="H951" t="s">
        <v>18</v>
      </c>
      <c r="I951" t="s">
        <v>13</v>
      </c>
      <c r="J951">
        <v>1</v>
      </c>
    </row>
    <row r="952" spans="1:10" x14ac:dyDescent="0.3">
      <c r="A952" t="s">
        <v>9</v>
      </c>
      <c r="B952">
        <v>16</v>
      </c>
      <c r="C952">
        <v>1</v>
      </c>
      <c r="D952">
        <v>1</v>
      </c>
      <c r="E952">
        <v>1</v>
      </c>
      <c r="F952" t="s">
        <v>42</v>
      </c>
      <c r="G952" t="s">
        <v>11</v>
      </c>
      <c r="H952" t="s">
        <v>18</v>
      </c>
      <c r="I952" t="s">
        <v>13</v>
      </c>
      <c r="J952">
        <v>1</v>
      </c>
    </row>
    <row r="953" spans="1:10" x14ac:dyDescent="0.3">
      <c r="A953" t="s">
        <v>14</v>
      </c>
      <c r="B953">
        <v>52</v>
      </c>
      <c r="C953">
        <v>0</v>
      </c>
      <c r="D953">
        <v>0</v>
      </c>
      <c r="E953">
        <v>0</v>
      </c>
      <c r="F953" t="s">
        <v>49</v>
      </c>
      <c r="G953" t="s">
        <v>16</v>
      </c>
      <c r="H953" t="s">
        <v>12</v>
      </c>
      <c r="I953" t="s">
        <v>13</v>
      </c>
      <c r="J953">
        <v>0</v>
      </c>
    </row>
    <row r="954" spans="1:10" x14ac:dyDescent="0.3">
      <c r="A954" t="s">
        <v>9</v>
      </c>
      <c r="B954">
        <v>50</v>
      </c>
      <c r="C954">
        <v>0</v>
      </c>
      <c r="D954">
        <v>0</v>
      </c>
      <c r="E954">
        <v>0</v>
      </c>
      <c r="F954" t="s">
        <v>19</v>
      </c>
      <c r="G954" t="s">
        <v>11</v>
      </c>
      <c r="H954" t="s">
        <v>18</v>
      </c>
      <c r="I954" t="s">
        <v>13</v>
      </c>
      <c r="J954">
        <v>0</v>
      </c>
    </row>
    <row r="955" spans="1:10" x14ac:dyDescent="0.3">
      <c r="A955" t="s">
        <v>9</v>
      </c>
      <c r="B955">
        <v>23</v>
      </c>
      <c r="C955">
        <v>1</v>
      </c>
      <c r="D955">
        <v>1</v>
      </c>
      <c r="E955">
        <v>1</v>
      </c>
      <c r="F955" t="s">
        <v>25</v>
      </c>
      <c r="G955" t="s">
        <v>16</v>
      </c>
      <c r="H955" t="s">
        <v>23</v>
      </c>
      <c r="I955" t="s">
        <v>13</v>
      </c>
      <c r="J955">
        <v>1</v>
      </c>
    </row>
    <row r="956" spans="1:10" x14ac:dyDescent="0.3">
      <c r="A956" t="s">
        <v>14</v>
      </c>
      <c r="B956">
        <v>64</v>
      </c>
      <c r="C956">
        <v>1</v>
      </c>
      <c r="D956">
        <v>1</v>
      </c>
      <c r="E956">
        <v>0</v>
      </c>
      <c r="F956" t="s">
        <v>43</v>
      </c>
      <c r="G956" t="s">
        <v>11</v>
      </c>
      <c r="H956" t="s">
        <v>12</v>
      </c>
      <c r="I956" t="s">
        <v>13</v>
      </c>
      <c r="J956">
        <v>1</v>
      </c>
    </row>
    <row r="957" spans="1:10" x14ac:dyDescent="0.3">
      <c r="A957" t="s">
        <v>9</v>
      </c>
      <c r="B957">
        <v>50</v>
      </c>
      <c r="C957">
        <v>0</v>
      </c>
      <c r="D957">
        <v>0</v>
      </c>
      <c r="E957">
        <v>0</v>
      </c>
      <c r="F957" t="s">
        <v>51</v>
      </c>
      <c r="G957" t="s">
        <v>16</v>
      </c>
      <c r="H957" t="s">
        <v>23</v>
      </c>
      <c r="I957" t="s">
        <v>13</v>
      </c>
      <c r="J957">
        <v>0</v>
      </c>
    </row>
    <row r="958" spans="1:10" x14ac:dyDescent="0.3">
      <c r="A958" t="s">
        <v>9</v>
      </c>
      <c r="B958">
        <v>8</v>
      </c>
      <c r="C958">
        <v>0</v>
      </c>
      <c r="D958">
        <v>1</v>
      </c>
      <c r="E958">
        <v>0</v>
      </c>
      <c r="F958" t="s">
        <v>45</v>
      </c>
      <c r="G958" t="s">
        <v>16</v>
      </c>
      <c r="H958" t="s">
        <v>18</v>
      </c>
      <c r="I958" t="s">
        <v>13</v>
      </c>
      <c r="J958">
        <v>1</v>
      </c>
    </row>
    <row r="959" spans="1:10" x14ac:dyDescent="0.3">
      <c r="A959" t="s">
        <v>9</v>
      </c>
      <c r="B959">
        <v>37</v>
      </c>
      <c r="C959">
        <v>0</v>
      </c>
      <c r="D959">
        <v>0</v>
      </c>
      <c r="E959">
        <v>1</v>
      </c>
      <c r="F959" t="s">
        <v>29</v>
      </c>
      <c r="G959" t="s">
        <v>16</v>
      </c>
      <c r="H959" t="s">
        <v>23</v>
      </c>
      <c r="I959" t="s">
        <v>13</v>
      </c>
      <c r="J959">
        <v>0</v>
      </c>
    </row>
    <row r="960" spans="1:10" x14ac:dyDescent="0.3">
      <c r="A960" t="s">
        <v>9</v>
      </c>
      <c r="B960">
        <v>63</v>
      </c>
      <c r="C960">
        <v>0</v>
      </c>
      <c r="D960">
        <v>0</v>
      </c>
      <c r="E960">
        <v>0</v>
      </c>
      <c r="F960" t="s">
        <v>51</v>
      </c>
      <c r="G960" t="s">
        <v>11</v>
      </c>
      <c r="H960" t="s">
        <v>18</v>
      </c>
      <c r="I960" t="s">
        <v>13</v>
      </c>
      <c r="J960">
        <v>0</v>
      </c>
    </row>
    <row r="961" spans="1:10" x14ac:dyDescent="0.3">
      <c r="A961" t="s">
        <v>9</v>
      </c>
      <c r="B961">
        <v>45</v>
      </c>
      <c r="C961">
        <v>0</v>
      </c>
      <c r="D961">
        <v>0</v>
      </c>
      <c r="E961">
        <v>0</v>
      </c>
      <c r="F961" t="s">
        <v>35</v>
      </c>
      <c r="G961" t="s">
        <v>16</v>
      </c>
      <c r="H961" t="s">
        <v>18</v>
      </c>
      <c r="I961" t="s">
        <v>13</v>
      </c>
      <c r="J961">
        <v>0</v>
      </c>
    </row>
    <row r="962" spans="1:10" x14ac:dyDescent="0.3">
      <c r="A962" t="s">
        <v>9</v>
      </c>
      <c r="B962">
        <v>26</v>
      </c>
      <c r="C962">
        <v>0</v>
      </c>
      <c r="D962">
        <v>0</v>
      </c>
      <c r="E962">
        <v>0</v>
      </c>
      <c r="F962" t="s">
        <v>52</v>
      </c>
      <c r="G962" t="s">
        <v>11</v>
      </c>
      <c r="H962" t="s">
        <v>12</v>
      </c>
      <c r="I962" t="s">
        <v>13</v>
      </c>
      <c r="J962">
        <v>0</v>
      </c>
    </row>
    <row r="963" spans="1:10" x14ac:dyDescent="0.3">
      <c r="A963" t="s">
        <v>9</v>
      </c>
      <c r="B963">
        <v>24</v>
      </c>
      <c r="C963">
        <v>0</v>
      </c>
      <c r="D963">
        <v>0</v>
      </c>
      <c r="E963">
        <v>0</v>
      </c>
      <c r="F963" t="s">
        <v>44</v>
      </c>
      <c r="G963" t="s">
        <v>16</v>
      </c>
      <c r="H963" t="s">
        <v>18</v>
      </c>
      <c r="I963" t="s">
        <v>13</v>
      </c>
      <c r="J963">
        <v>0</v>
      </c>
    </row>
    <row r="964" spans="1:10" x14ac:dyDescent="0.3">
      <c r="A964" t="s">
        <v>14</v>
      </c>
      <c r="B964">
        <v>31</v>
      </c>
      <c r="C964">
        <v>1</v>
      </c>
      <c r="D964">
        <v>1</v>
      </c>
      <c r="E964">
        <v>0</v>
      </c>
      <c r="F964" t="s">
        <v>46</v>
      </c>
      <c r="G964" t="s">
        <v>11</v>
      </c>
      <c r="H964" t="s">
        <v>23</v>
      </c>
      <c r="I964" t="s">
        <v>13</v>
      </c>
      <c r="J964">
        <v>1</v>
      </c>
    </row>
    <row r="965" spans="1:10" x14ac:dyDescent="0.3">
      <c r="A965" t="s">
        <v>9</v>
      </c>
      <c r="B965">
        <v>54</v>
      </c>
      <c r="C965">
        <v>0</v>
      </c>
      <c r="D965">
        <v>0</v>
      </c>
      <c r="E965">
        <v>1</v>
      </c>
      <c r="F965" t="s">
        <v>24</v>
      </c>
      <c r="G965" t="s">
        <v>16</v>
      </c>
      <c r="H965" t="s">
        <v>23</v>
      </c>
      <c r="I965" t="s">
        <v>13</v>
      </c>
      <c r="J965">
        <v>0</v>
      </c>
    </row>
    <row r="966" spans="1:10" x14ac:dyDescent="0.3">
      <c r="A966" t="s">
        <v>14</v>
      </c>
      <c r="B966">
        <v>60</v>
      </c>
      <c r="C966">
        <v>1</v>
      </c>
      <c r="D966">
        <v>1</v>
      </c>
      <c r="E966">
        <v>1</v>
      </c>
      <c r="F966" t="s">
        <v>34</v>
      </c>
      <c r="G966" t="s">
        <v>11</v>
      </c>
      <c r="H966" t="s">
        <v>12</v>
      </c>
      <c r="I966" t="s">
        <v>13</v>
      </c>
      <c r="J966">
        <v>1</v>
      </c>
    </row>
    <row r="967" spans="1:10" x14ac:dyDescent="0.3">
      <c r="A967" t="s">
        <v>14</v>
      </c>
      <c r="B967">
        <v>61</v>
      </c>
      <c r="C967">
        <v>1</v>
      </c>
      <c r="D967">
        <v>1</v>
      </c>
      <c r="E967">
        <v>1</v>
      </c>
      <c r="F967" t="s">
        <v>20</v>
      </c>
      <c r="G967" t="s">
        <v>16</v>
      </c>
      <c r="H967" t="s">
        <v>12</v>
      </c>
      <c r="I967" t="s">
        <v>13</v>
      </c>
      <c r="J967">
        <v>1</v>
      </c>
    </row>
    <row r="968" spans="1:10" x14ac:dyDescent="0.3">
      <c r="A968" t="s">
        <v>14</v>
      </c>
      <c r="B968">
        <v>58</v>
      </c>
      <c r="C968">
        <v>0</v>
      </c>
      <c r="D968">
        <v>1</v>
      </c>
      <c r="E968">
        <v>0</v>
      </c>
      <c r="F968" t="s">
        <v>39</v>
      </c>
      <c r="G968" t="s">
        <v>11</v>
      </c>
      <c r="H968" t="s">
        <v>23</v>
      </c>
      <c r="I968" t="s">
        <v>13</v>
      </c>
      <c r="J968">
        <v>1</v>
      </c>
    </row>
    <row r="969" spans="1:10" x14ac:dyDescent="0.3">
      <c r="A969" t="s">
        <v>9</v>
      </c>
      <c r="B969">
        <v>39</v>
      </c>
      <c r="C969">
        <v>0</v>
      </c>
      <c r="D969">
        <v>0</v>
      </c>
      <c r="E969">
        <v>1</v>
      </c>
      <c r="F969" t="s">
        <v>41</v>
      </c>
      <c r="G969" t="s">
        <v>16</v>
      </c>
      <c r="H969" t="s">
        <v>23</v>
      </c>
      <c r="I969" t="s">
        <v>13</v>
      </c>
      <c r="J969">
        <v>0</v>
      </c>
    </row>
    <row r="970" spans="1:10" x14ac:dyDescent="0.3">
      <c r="A970" t="s">
        <v>9</v>
      </c>
      <c r="B970">
        <v>30</v>
      </c>
      <c r="C970">
        <v>0</v>
      </c>
      <c r="D970">
        <v>0</v>
      </c>
      <c r="E970">
        <v>1</v>
      </c>
      <c r="F970" t="s">
        <v>42</v>
      </c>
      <c r="G970" t="s">
        <v>11</v>
      </c>
      <c r="H970" t="s">
        <v>18</v>
      </c>
      <c r="I970" t="s">
        <v>13</v>
      </c>
      <c r="J970">
        <v>0</v>
      </c>
    </row>
    <row r="971" spans="1:10" x14ac:dyDescent="0.3">
      <c r="A971" t="s">
        <v>14</v>
      </c>
      <c r="B971">
        <v>57</v>
      </c>
      <c r="C971">
        <v>1</v>
      </c>
      <c r="D971">
        <v>1</v>
      </c>
      <c r="E971">
        <v>0</v>
      </c>
      <c r="F971" t="s">
        <v>37</v>
      </c>
      <c r="G971" t="s">
        <v>16</v>
      </c>
      <c r="H971" t="s">
        <v>18</v>
      </c>
      <c r="I971" t="s">
        <v>13</v>
      </c>
      <c r="J971">
        <v>1</v>
      </c>
    </row>
    <row r="972" spans="1:10" x14ac:dyDescent="0.3">
      <c r="A972" t="s">
        <v>9</v>
      </c>
      <c r="B972">
        <v>40</v>
      </c>
      <c r="C972">
        <v>1</v>
      </c>
      <c r="D972">
        <v>1</v>
      </c>
      <c r="E972">
        <v>0</v>
      </c>
      <c r="F972" t="s">
        <v>17</v>
      </c>
      <c r="G972" t="s">
        <v>11</v>
      </c>
      <c r="H972" t="s">
        <v>23</v>
      </c>
      <c r="I972" t="s">
        <v>13</v>
      </c>
      <c r="J972">
        <v>1</v>
      </c>
    </row>
    <row r="973" spans="1:10" x14ac:dyDescent="0.3">
      <c r="A973" t="s">
        <v>14</v>
      </c>
      <c r="B973">
        <v>39</v>
      </c>
      <c r="C973">
        <v>0</v>
      </c>
      <c r="D973">
        <v>0</v>
      </c>
      <c r="E973">
        <v>0</v>
      </c>
      <c r="F973" t="s">
        <v>50</v>
      </c>
      <c r="G973" t="s">
        <v>16</v>
      </c>
      <c r="H973" t="s">
        <v>12</v>
      </c>
      <c r="I973" t="s">
        <v>13</v>
      </c>
      <c r="J973">
        <v>0</v>
      </c>
    </row>
    <row r="974" spans="1:10" x14ac:dyDescent="0.3">
      <c r="A974" t="s">
        <v>9</v>
      </c>
      <c r="B974">
        <v>9</v>
      </c>
      <c r="C974">
        <v>1</v>
      </c>
      <c r="D974">
        <v>1</v>
      </c>
      <c r="E974">
        <v>1</v>
      </c>
      <c r="F974" t="s">
        <v>50</v>
      </c>
      <c r="G974" t="s">
        <v>11</v>
      </c>
      <c r="H974" t="s">
        <v>18</v>
      </c>
      <c r="I974" t="s">
        <v>13</v>
      </c>
      <c r="J974">
        <v>1</v>
      </c>
    </row>
    <row r="975" spans="1:10" x14ac:dyDescent="0.3">
      <c r="A975" t="s">
        <v>14</v>
      </c>
      <c r="B975">
        <v>26</v>
      </c>
      <c r="C975">
        <v>0</v>
      </c>
      <c r="D975">
        <v>1</v>
      </c>
      <c r="E975">
        <v>0</v>
      </c>
      <c r="F975" t="s">
        <v>34</v>
      </c>
      <c r="G975" t="s">
        <v>16</v>
      </c>
      <c r="H975" t="s">
        <v>18</v>
      </c>
      <c r="I975" t="s">
        <v>13</v>
      </c>
      <c r="J975">
        <v>1</v>
      </c>
    </row>
    <row r="976" spans="1:10" x14ac:dyDescent="0.3">
      <c r="A976" t="s">
        <v>9</v>
      </c>
      <c r="B976">
        <v>40</v>
      </c>
      <c r="C976">
        <v>1</v>
      </c>
      <c r="D976">
        <v>1</v>
      </c>
      <c r="E976">
        <v>0</v>
      </c>
      <c r="F976" t="s">
        <v>47</v>
      </c>
      <c r="G976" t="s">
        <v>11</v>
      </c>
      <c r="H976" t="s">
        <v>12</v>
      </c>
      <c r="I976" t="s">
        <v>13</v>
      </c>
      <c r="J976">
        <v>1</v>
      </c>
    </row>
    <row r="977" spans="1:10" x14ac:dyDescent="0.3">
      <c r="A977" t="s">
        <v>14</v>
      </c>
      <c r="B977">
        <v>49</v>
      </c>
      <c r="C977">
        <v>1</v>
      </c>
      <c r="D977">
        <v>1</v>
      </c>
      <c r="E977">
        <v>1</v>
      </c>
      <c r="F977" t="s">
        <v>22</v>
      </c>
      <c r="G977" t="s">
        <v>16</v>
      </c>
      <c r="H977" t="s">
        <v>18</v>
      </c>
      <c r="I977" t="s">
        <v>13</v>
      </c>
      <c r="J977">
        <v>1</v>
      </c>
    </row>
    <row r="978" spans="1:10" x14ac:dyDescent="0.3">
      <c r="A978" t="s">
        <v>9</v>
      </c>
      <c r="B978">
        <v>29</v>
      </c>
      <c r="C978">
        <v>0</v>
      </c>
      <c r="D978">
        <v>0</v>
      </c>
      <c r="E978">
        <v>1</v>
      </c>
      <c r="F978" t="s">
        <v>32</v>
      </c>
      <c r="G978" t="s">
        <v>11</v>
      </c>
      <c r="H978" t="s">
        <v>23</v>
      </c>
      <c r="I978" t="s">
        <v>13</v>
      </c>
      <c r="J978">
        <v>0</v>
      </c>
    </row>
    <row r="979" spans="1:10" x14ac:dyDescent="0.3">
      <c r="A979" t="s">
        <v>9</v>
      </c>
      <c r="B979">
        <v>38</v>
      </c>
      <c r="C979">
        <v>1</v>
      </c>
      <c r="D979">
        <v>1</v>
      </c>
      <c r="E979">
        <v>0</v>
      </c>
      <c r="F979" t="s">
        <v>44</v>
      </c>
      <c r="G979" t="s">
        <v>16</v>
      </c>
      <c r="H979" t="s">
        <v>18</v>
      </c>
      <c r="I979" t="s">
        <v>13</v>
      </c>
      <c r="J979">
        <v>1</v>
      </c>
    </row>
    <row r="980" spans="1:10" x14ac:dyDescent="0.3">
      <c r="A980" t="s">
        <v>14</v>
      </c>
      <c r="B980">
        <v>52</v>
      </c>
      <c r="C980">
        <v>0</v>
      </c>
      <c r="D980">
        <v>0</v>
      </c>
      <c r="E980">
        <v>1</v>
      </c>
      <c r="F980" t="s">
        <v>15</v>
      </c>
      <c r="G980" t="s">
        <v>11</v>
      </c>
      <c r="H980" t="s">
        <v>12</v>
      </c>
      <c r="I980" t="s">
        <v>13</v>
      </c>
      <c r="J980">
        <v>0</v>
      </c>
    </row>
    <row r="981" spans="1:10" x14ac:dyDescent="0.3">
      <c r="A981" t="s">
        <v>14</v>
      </c>
      <c r="B981">
        <v>64</v>
      </c>
      <c r="C981">
        <v>0</v>
      </c>
      <c r="D981">
        <v>0</v>
      </c>
      <c r="E981">
        <v>0</v>
      </c>
      <c r="F981" t="s">
        <v>40</v>
      </c>
      <c r="G981" t="s">
        <v>16</v>
      </c>
      <c r="H981" t="s">
        <v>12</v>
      </c>
      <c r="I981" t="s">
        <v>13</v>
      </c>
      <c r="J981">
        <v>0</v>
      </c>
    </row>
    <row r="982" spans="1:10" x14ac:dyDescent="0.3">
      <c r="A982" t="s">
        <v>14</v>
      </c>
      <c r="B982">
        <v>11</v>
      </c>
      <c r="C982">
        <v>0</v>
      </c>
      <c r="D982">
        <v>0</v>
      </c>
      <c r="E982">
        <v>0</v>
      </c>
      <c r="F982" t="s">
        <v>44</v>
      </c>
      <c r="G982" t="s">
        <v>11</v>
      </c>
      <c r="H982" t="s">
        <v>18</v>
      </c>
      <c r="I982" t="s">
        <v>13</v>
      </c>
      <c r="J982">
        <v>0</v>
      </c>
    </row>
    <row r="983" spans="1:10" x14ac:dyDescent="0.3">
      <c r="A983" t="s">
        <v>14</v>
      </c>
      <c r="B983">
        <v>39</v>
      </c>
      <c r="C983">
        <v>1</v>
      </c>
      <c r="D983">
        <v>1</v>
      </c>
      <c r="E983">
        <v>0</v>
      </c>
      <c r="F983" t="s">
        <v>32</v>
      </c>
      <c r="G983" t="s">
        <v>16</v>
      </c>
      <c r="H983" t="s">
        <v>18</v>
      </c>
      <c r="I983" t="s">
        <v>13</v>
      </c>
      <c r="J983">
        <v>1</v>
      </c>
    </row>
    <row r="984" spans="1:10" x14ac:dyDescent="0.3">
      <c r="A984" t="s">
        <v>14</v>
      </c>
      <c r="B984">
        <v>39</v>
      </c>
      <c r="C984">
        <v>1</v>
      </c>
      <c r="D984">
        <v>1</v>
      </c>
      <c r="E984">
        <v>0</v>
      </c>
      <c r="F984" t="s">
        <v>35</v>
      </c>
      <c r="G984" t="s">
        <v>11</v>
      </c>
      <c r="H984" t="s">
        <v>23</v>
      </c>
      <c r="I984" t="s">
        <v>13</v>
      </c>
      <c r="J984">
        <v>1</v>
      </c>
    </row>
    <row r="985" spans="1:10" x14ac:dyDescent="0.3">
      <c r="A985" t="s">
        <v>9</v>
      </c>
      <c r="B985">
        <v>25</v>
      </c>
      <c r="C985">
        <v>1</v>
      </c>
      <c r="D985">
        <v>1</v>
      </c>
      <c r="E985">
        <v>0</v>
      </c>
      <c r="F985" t="s">
        <v>51</v>
      </c>
      <c r="G985" t="s">
        <v>16</v>
      </c>
      <c r="H985" t="s">
        <v>23</v>
      </c>
      <c r="I985" t="s">
        <v>13</v>
      </c>
      <c r="J985">
        <v>1</v>
      </c>
    </row>
    <row r="986" spans="1:10" x14ac:dyDescent="0.3">
      <c r="A986" t="s">
        <v>14</v>
      </c>
      <c r="B986">
        <v>9</v>
      </c>
      <c r="C986">
        <v>0</v>
      </c>
      <c r="D986">
        <v>0</v>
      </c>
      <c r="E986">
        <v>1</v>
      </c>
      <c r="F986" t="s">
        <v>10</v>
      </c>
      <c r="G986" t="s">
        <v>11</v>
      </c>
      <c r="H986" t="s">
        <v>12</v>
      </c>
      <c r="I986" t="s">
        <v>13</v>
      </c>
      <c r="J986">
        <v>0</v>
      </c>
    </row>
    <row r="987" spans="1:10" x14ac:dyDescent="0.3">
      <c r="A987" t="s">
        <v>9</v>
      </c>
      <c r="B987">
        <v>61</v>
      </c>
      <c r="C987">
        <v>1</v>
      </c>
      <c r="D987">
        <v>1</v>
      </c>
      <c r="E987">
        <v>0</v>
      </c>
      <c r="F987" t="s">
        <v>20</v>
      </c>
      <c r="G987" t="s">
        <v>16</v>
      </c>
      <c r="H987" t="s">
        <v>12</v>
      </c>
      <c r="I987" t="s">
        <v>13</v>
      </c>
      <c r="J987">
        <v>1</v>
      </c>
    </row>
    <row r="988" spans="1:10" x14ac:dyDescent="0.3">
      <c r="A988" t="s">
        <v>9</v>
      </c>
      <c r="B988">
        <v>18</v>
      </c>
      <c r="C988">
        <v>0</v>
      </c>
      <c r="D988">
        <v>0</v>
      </c>
      <c r="E988">
        <v>1</v>
      </c>
      <c r="F988" t="s">
        <v>50</v>
      </c>
      <c r="G988" t="s">
        <v>11</v>
      </c>
      <c r="H988" t="s">
        <v>12</v>
      </c>
      <c r="I988" t="s">
        <v>13</v>
      </c>
      <c r="J988">
        <v>0</v>
      </c>
    </row>
    <row r="989" spans="1:10" x14ac:dyDescent="0.3">
      <c r="A989" t="s">
        <v>9</v>
      </c>
      <c r="B989">
        <v>55</v>
      </c>
      <c r="C989">
        <v>1</v>
      </c>
      <c r="D989">
        <v>1</v>
      </c>
      <c r="E989">
        <v>0</v>
      </c>
      <c r="F989" t="s">
        <v>45</v>
      </c>
      <c r="G989" t="s">
        <v>16</v>
      </c>
      <c r="H989" t="s">
        <v>23</v>
      </c>
      <c r="I989" t="s">
        <v>13</v>
      </c>
      <c r="J989">
        <v>1</v>
      </c>
    </row>
    <row r="990" spans="1:10" x14ac:dyDescent="0.3">
      <c r="A990" t="s">
        <v>14</v>
      </c>
      <c r="B990">
        <v>11</v>
      </c>
      <c r="C990">
        <v>0</v>
      </c>
      <c r="D990">
        <v>0</v>
      </c>
      <c r="E990">
        <v>0</v>
      </c>
      <c r="F990" t="s">
        <v>44</v>
      </c>
      <c r="G990" t="s">
        <v>11</v>
      </c>
      <c r="H990" t="s">
        <v>12</v>
      </c>
      <c r="I990" t="s">
        <v>13</v>
      </c>
      <c r="J990">
        <v>0</v>
      </c>
    </row>
    <row r="991" spans="1:10" x14ac:dyDescent="0.3">
      <c r="A991" t="s">
        <v>14</v>
      </c>
      <c r="B991">
        <v>23</v>
      </c>
      <c r="C991">
        <v>1</v>
      </c>
      <c r="D991">
        <v>1</v>
      </c>
      <c r="E991">
        <v>0</v>
      </c>
      <c r="F991" t="s">
        <v>42</v>
      </c>
      <c r="G991" t="s">
        <v>16</v>
      </c>
      <c r="H991" t="s">
        <v>12</v>
      </c>
      <c r="I991" t="s">
        <v>13</v>
      </c>
      <c r="J991">
        <v>1</v>
      </c>
    </row>
    <row r="992" spans="1:10" x14ac:dyDescent="0.3">
      <c r="A992" t="s">
        <v>9</v>
      </c>
      <c r="B992">
        <v>37</v>
      </c>
      <c r="C992">
        <v>1</v>
      </c>
      <c r="D992">
        <v>1</v>
      </c>
      <c r="E992">
        <v>1</v>
      </c>
      <c r="F992" t="s">
        <v>32</v>
      </c>
      <c r="G992" t="s">
        <v>11</v>
      </c>
      <c r="H992" t="s">
        <v>18</v>
      </c>
      <c r="I992" t="s">
        <v>13</v>
      </c>
      <c r="J992">
        <v>1</v>
      </c>
    </row>
    <row r="993" spans="1:10" x14ac:dyDescent="0.3">
      <c r="A993" t="s">
        <v>9</v>
      </c>
      <c r="B993">
        <v>33</v>
      </c>
      <c r="C993">
        <v>0</v>
      </c>
      <c r="D993">
        <v>0</v>
      </c>
      <c r="E993">
        <v>1</v>
      </c>
      <c r="F993" t="s">
        <v>40</v>
      </c>
      <c r="G993" t="s">
        <v>16</v>
      </c>
      <c r="H993" t="s">
        <v>18</v>
      </c>
      <c r="I993" t="s">
        <v>13</v>
      </c>
      <c r="J993">
        <v>0</v>
      </c>
    </row>
    <row r="994" spans="1:10" x14ac:dyDescent="0.3">
      <c r="A994" t="s">
        <v>14</v>
      </c>
      <c r="B994">
        <v>18</v>
      </c>
      <c r="C994">
        <v>1</v>
      </c>
      <c r="D994">
        <v>1</v>
      </c>
      <c r="E994">
        <v>0</v>
      </c>
      <c r="F994" t="s">
        <v>25</v>
      </c>
      <c r="G994" t="s">
        <v>11</v>
      </c>
      <c r="H994" t="s">
        <v>12</v>
      </c>
      <c r="I994" t="s">
        <v>13</v>
      </c>
      <c r="J994">
        <v>1</v>
      </c>
    </row>
    <row r="995" spans="1:10" x14ac:dyDescent="0.3">
      <c r="A995" t="s">
        <v>9</v>
      </c>
      <c r="B995">
        <v>15</v>
      </c>
      <c r="C995">
        <v>0</v>
      </c>
      <c r="D995">
        <v>0</v>
      </c>
      <c r="E995">
        <v>0</v>
      </c>
      <c r="F995" t="s">
        <v>49</v>
      </c>
      <c r="G995" t="s">
        <v>16</v>
      </c>
      <c r="H995" t="s">
        <v>18</v>
      </c>
      <c r="I995" t="s">
        <v>13</v>
      </c>
      <c r="J995">
        <v>0</v>
      </c>
    </row>
    <row r="996" spans="1:10" x14ac:dyDescent="0.3">
      <c r="A996" t="s">
        <v>14</v>
      </c>
      <c r="B996">
        <v>44</v>
      </c>
      <c r="C996">
        <v>0</v>
      </c>
      <c r="D996">
        <v>0</v>
      </c>
      <c r="E996">
        <v>1</v>
      </c>
      <c r="F996" t="s">
        <v>38</v>
      </c>
      <c r="G996" t="s">
        <v>11</v>
      </c>
      <c r="H996" t="s">
        <v>18</v>
      </c>
      <c r="I996" t="s">
        <v>13</v>
      </c>
      <c r="J996">
        <v>0</v>
      </c>
    </row>
    <row r="997" spans="1:10" x14ac:dyDescent="0.3">
      <c r="A997" t="s">
        <v>9</v>
      </c>
      <c r="B997">
        <v>16</v>
      </c>
      <c r="C997">
        <v>1</v>
      </c>
      <c r="D997">
        <v>1</v>
      </c>
      <c r="E997">
        <v>0</v>
      </c>
      <c r="F997" t="s">
        <v>22</v>
      </c>
      <c r="G997" t="s">
        <v>16</v>
      </c>
      <c r="H997" t="s">
        <v>12</v>
      </c>
      <c r="I997" t="s">
        <v>13</v>
      </c>
      <c r="J997">
        <v>1</v>
      </c>
    </row>
    <row r="998" spans="1:10" x14ac:dyDescent="0.3">
      <c r="A998" t="s">
        <v>14</v>
      </c>
      <c r="B998">
        <v>41</v>
      </c>
      <c r="C998">
        <v>1</v>
      </c>
      <c r="D998">
        <v>1</v>
      </c>
      <c r="E998">
        <v>0</v>
      </c>
      <c r="F998" t="s">
        <v>17</v>
      </c>
      <c r="G998" t="s">
        <v>11</v>
      </c>
      <c r="H998" t="s">
        <v>18</v>
      </c>
      <c r="I998" t="s">
        <v>13</v>
      </c>
      <c r="J998">
        <v>1</v>
      </c>
    </row>
    <row r="999" spans="1:10" x14ac:dyDescent="0.3">
      <c r="A999" t="s">
        <v>14</v>
      </c>
      <c r="B999">
        <v>45</v>
      </c>
      <c r="C999">
        <v>0</v>
      </c>
      <c r="D999">
        <v>0</v>
      </c>
      <c r="E999">
        <v>1</v>
      </c>
      <c r="F999" t="s">
        <v>19</v>
      </c>
      <c r="G999" t="s">
        <v>16</v>
      </c>
      <c r="H999" t="s">
        <v>12</v>
      </c>
      <c r="I999" t="s">
        <v>13</v>
      </c>
      <c r="J999">
        <v>0</v>
      </c>
    </row>
    <row r="1000" spans="1:10" x14ac:dyDescent="0.3">
      <c r="A1000" t="s">
        <v>9</v>
      </c>
      <c r="B1000">
        <v>19</v>
      </c>
      <c r="C1000">
        <v>1</v>
      </c>
      <c r="D1000">
        <v>1</v>
      </c>
      <c r="E1000">
        <v>1</v>
      </c>
      <c r="F1000" t="s">
        <v>17</v>
      </c>
      <c r="G1000" t="s">
        <v>11</v>
      </c>
      <c r="H1000" t="s">
        <v>12</v>
      </c>
      <c r="I1000" t="s">
        <v>13</v>
      </c>
      <c r="J1000">
        <v>1</v>
      </c>
    </row>
    <row r="1001" spans="1:10" x14ac:dyDescent="0.3">
      <c r="A1001" t="s">
        <v>9</v>
      </c>
      <c r="B1001">
        <v>28</v>
      </c>
      <c r="C1001">
        <v>0</v>
      </c>
      <c r="D1001">
        <v>0</v>
      </c>
      <c r="E1001">
        <v>1</v>
      </c>
      <c r="F1001" t="s">
        <v>33</v>
      </c>
      <c r="G1001" t="s">
        <v>16</v>
      </c>
      <c r="H1001" t="s">
        <v>12</v>
      </c>
      <c r="I1001" t="s">
        <v>13</v>
      </c>
      <c r="J1001">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1C042-AA20-4211-80FB-0E83CD7C1DEA}">
  <sheetPr>
    <tabColor theme="9" tint="0.39997558519241921"/>
  </sheetPr>
  <dimension ref="A1:O1001"/>
  <sheetViews>
    <sheetView topLeftCell="G4" zoomScale="94" workbookViewId="0">
      <selection activeCell="J11" sqref="J11"/>
    </sheetView>
  </sheetViews>
  <sheetFormatPr defaultRowHeight="14.4" x14ac:dyDescent="0.3"/>
  <cols>
    <col min="1" max="1" width="9.33203125" bestFit="1" customWidth="1"/>
    <col min="2" max="2" width="6.44140625" bestFit="1" customWidth="1"/>
    <col min="3" max="3" width="25.44140625" bestFit="1" customWidth="1"/>
    <col min="4" max="4" width="19.6640625" bestFit="1" customWidth="1"/>
    <col min="5" max="5" width="20.21875" bestFit="1" customWidth="1"/>
    <col min="6" max="6" width="17.88671875" bestFit="1" customWidth="1"/>
    <col min="7" max="7" width="11.77734375" bestFit="1" customWidth="1"/>
    <col min="8" max="8" width="12.5546875" bestFit="1" customWidth="1"/>
    <col min="9" max="9" width="9" bestFit="1" customWidth="1"/>
    <col min="10" max="10" width="11" bestFit="1" customWidth="1"/>
    <col min="11" max="11" width="16.33203125" bestFit="1" customWidth="1"/>
    <col min="12" max="12" width="25.88671875" bestFit="1" customWidth="1"/>
    <col min="13" max="13" width="26.44140625" bestFit="1" customWidth="1"/>
    <col min="14" max="14" width="29.6640625" bestFit="1" customWidth="1"/>
    <col min="15" max="15" width="15.88671875" bestFit="1" customWidth="1"/>
  </cols>
  <sheetData>
    <row r="1" spans="1:15" x14ac:dyDescent="0.3">
      <c r="A1" t="s">
        <v>0</v>
      </c>
      <c r="B1" t="s">
        <v>1</v>
      </c>
      <c r="C1" t="s">
        <v>74</v>
      </c>
      <c r="D1" t="s">
        <v>75</v>
      </c>
      <c r="E1" t="s">
        <v>76</v>
      </c>
      <c r="F1" t="s">
        <v>4</v>
      </c>
      <c r="G1" t="s">
        <v>5</v>
      </c>
      <c r="H1" t="s">
        <v>6</v>
      </c>
      <c r="I1" t="s">
        <v>7</v>
      </c>
      <c r="J1" t="s">
        <v>8</v>
      </c>
      <c r="K1" t="s">
        <v>103</v>
      </c>
      <c r="L1" t="s">
        <v>104</v>
      </c>
      <c r="M1" t="s">
        <v>106</v>
      </c>
      <c r="N1" t="s">
        <v>107</v>
      </c>
      <c r="O1" t="s">
        <v>105</v>
      </c>
    </row>
    <row r="2" spans="1:15" x14ac:dyDescent="0.3">
      <c r="A2" t="s">
        <v>9</v>
      </c>
      <c r="B2">
        <v>45</v>
      </c>
      <c r="C2">
        <v>0</v>
      </c>
      <c r="D2">
        <v>0</v>
      </c>
      <c r="E2">
        <v>0</v>
      </c>
      <c r="F2" t="s">
        <v>10</v>
      </c>
      <c r="G2" t="s">
        <v>11</v>
      </c>
      <c r="H2" t="s">
        <v>12</v>
      </c>
      <c r="I2" t="s">
        <v>13</v>
      </c>
      <c r="J2">
        <v>0</v>
      </c>
      <c r="K2" t="s">
        <v>108</v>
      </c>
      <c r="L2" t="s">
        <v>109</v>
      </c>
      <c r="M2" t="s">
        <v>111</v>
      </c>
      <c r="N2" t="s">
        <v>112</v>
      </c>
      <c r="O2" t="s">
        <v>110</v>
      </c>
    </row>
    <row r="3" spans="1:15" x14ac:dyDescent="0.3">
      <c r="A3" t="s">
        <v>14</v>
      </c>
      <c r="B3">
        <v>17</v>
      </c>
      <c r="C3">
        <v>0</v>
      </c>
      <c r="D3">
        <v>0</v>
      </c>
      <c r="E3">
        <v>1</v>
      </c>
      <c r="F3" t="s">
        <v>15</v>
      </c>
      <c r="G3" t="s">
        <v>16</v>
      </c>
      <c r="H3" t="s">
        <v>12</v>
      </c>
      <c r="I3" t="s">
        <v>13</v>
      </c>
      <c r="J3">
        <v>0</v>
      </c>
      <c r="K3" t="s">
        <v>113</v>
      </c>
      <c r="L3" t="s">
        <v>109</v>
      </c>
      <c r="M3" t="s">
        <v>94</v>
      </c>
      <c r="N3" t="s">
        <v>112</v>
      </c>
      <c r="O3" t="s">
        <v>110</v>
      </c>
    </row>
    <row r="4" spans="1:15" x14ac:dyDescent="0.3">
      <c r="A4" t="s">
        <v>9</v>
      </c>
      <c r="B4">
        <v>29</v>
      </c>
      <c r="C4">
        <v>0</v>
      </c>
      <c r="D4">
        <v>0</v>
      </c>
      <c r="E4">
        <v>0</v>
      </c>
      <c r="F4" t="s">
        <v>17</v>
      </c>
      <c r="G4" t="s">
        <v>11</v>
      </c>
      <c r="H4" t="s">
        <v>18</v>
      </c>
      <c r="I4" t="s">
        <v>13</v>
      </c>
      <c r="J4">
        <v>0</v>
      </c>
      <c r="K4" t="s">
        <v>114</v>
      </c>
      <c r="L4" t="s">
        <v>109</v>
      </c>
      <c r="M4" t="s">
        <v>111</v>
      </c>
      <c r="N4" t="s">
        <v>112</v>
      </c>
      <c r="O4" t="s">
        <v>110</v>
      </c>
    </row>
    <row r="5" spans="1:15" x14ac:dyDescent="0.3">
      <c r="A5" t="s">
        <v>9</v>
      </c>
      <c r="B5">
        <v>63</v>
      </c>
      <c r="C5">
        <v>1</v>
      </c>
      <c r="D5">
        <v>1</v>
      </c>
      <c r="E5">
        <v>0</v>
      </c>
      <c r="F5" t="s">
        <v>19</v>
      </c>
      <c r="G5" t="s">
        <v>16</v>
      </c>
      <c r="H5" t="s">
        <v>18</v>
      </c>
      <c r="I5" t="s">
        <v>13</v>
      </c>
      <c r="J5">
        <v>1</v>
      </c>
      <c r="K5" t="s">
        <v>108</v>
      </c>
      <c r="L5" t="s">
        <v>95</v>
      </c>
      <c r="M5" t="s">
        <v>111</v>
      </c>
      <c r="N5" t="s">
        <v>116</v>
      </c>
      <c r="O5" t="s">
        <v>115</v>
      </c>
    </row>
    <row r="6" spans="1:15" x14ac:dyDescent="0.3">
      <c r="A6" t="s">
        <v>14</v>
      </c>
      <c r="B6">
        <v>22</v>
      </c>
      <c r="C6">
        <v>0</v>
      </c>
      <c r="D6">
        <v>0</v>
      </c>
      <c r="E6">
        <v>0</v>
      </c>
      <c r="F6" t="s">
        <v>20</v>
      </c>
      <c r="G6" t="s">
        <v>11</v>
      </c>
      <c r="H6" t="s">
        <v>12</v>
      </c>
      <c r="I6" t="s">
        <v>13</v>
      </c>
      <c r="J6">
        <v>0</v>
      </c>
      <c r="K6" t="s">
        <v>117</v>
      </c>
      <c r="L6" t="s">
        <v>109</v>
      </c>
      <c r="M6" t="s">
        <v>111</v>
      </c>
      <c r="N6" t="s">
        <v>112</v>
      </c>
      <c r="O6" t="s">
        <v>110</v>
      </c>
    </row>
    <row r="7" spans="1:15" x14ac:dyDescent="0.3">
      <c r="A7" t="s">
        <v>9</v>
      </c>
      <c r="B7">
        <v>36</v>
      </c>
      <c r="C7">
        <v>0</v>
      </c>
      <c r="D7">
        <v>0</v>
      </c>
      <c r="E7">
        <v>1</v>
      </c>
      <c r="F7" t="s">
        <v>21</v>
      </c>
      <c r="G7" t="s">
        <v>16</v>
      </c>
      <c r="H7" t="s">
        <v>18</v>
      </c>
      <c r="I7" t="s">
        <v>13</v>
      </c>
      <c r="J7">
        <v>0</v>
      </c>
      <c r="K7" t="s">
        <v>114</v>
      </c>
      <c r="L7" t="s">
        <v>109</v>
      </c>
      <c r="M7" t="s">
        <v>94</v>
      </c>
      <c r="N7" t="s">
        <v>112</v>
      </c>
      <c r="O7" t="s">
        <v>110</v>
      </c>
    </row>
    <row r="8" spans="1:15" x14ac:dyDescent="0.3">
      <c r="A8" t="s">
        <v>9</v>
      </c>
      <c r="B8">
        <v>15</v>
      </c>
      <c r="C8">
        <v>0</v>
      </c>
      <c r="D8">
        <v>0</v>
      </c>
      <c r="E8">
        <v>1</v>
      </c>
      <c r="F8" t="s">
        <v>22</v>
      </c>
      <c r="G8" t="s">
        <v>11</v>
      </c>
      <c r="H8" t="s">
        <v>12</v>
      </c>
      <c r="I8" t="s">
        <v>13</v>
      </c>
      <c r="J8">
        <v>0</v>
      </c>
      <c r="K8" t="s">
        <v>113</v>
      </c>
      <c r="L8" t="s">
        <v>109</v>
      </c>
      <c r="M8" t="s">
        <v>94</v>
      </c>
      <c r="N8" t="s">
        <v>112</v>
      </c>
      <c r="O8" t="s">
        <v>110</v>
      </c>
    </row>
    <row r="9" spans="1:15" x14ac:dyDescent="0.3">
      <c r="A9" t="s">
        <v>14</v>
      </c>
      <c r="B9">
        <v>26</v>
      </c>
      <c r="C9">
        <v>0</v>
      </c>
      <c r="D9">
        <v>0</v>
      </c>
      <c r="E9">
        <v>0</v>
      </c>
      <c r="F9" t="s">
        <v>22</v>
      </c>
      <c r="G9" t="s">
        <v>16</v>
      </c>
      <c r="H9" t="s">
        <v>18</v>
      </c>
      <c r="I9" t="s">
        <v>13</v>
      </c>
      <c r="J9">
        <v>0</v>
      </c>
      <c r="K9" t="s">
        <v>114</v>
      </c>
      <c r="L9" t="s">
        <v>109</v>
      </c>
      <c r="M9" t="s">
        <v>111</v>
      </c>
      <c r="N9" t="s">
        <v>112</v>
      </c>
      <c r="O9" t="s">
        <v>110</v>
      </c>
    </row>
    <row r="10" spans="1:15" x14ac:dyDescent="0.3">
      <c r="A10" t="s">
        <v>9</v>
      </c>
      <c r="B10">
        <v>31</v>
      </c>
      <c r="C10">
        <v>0</v>
      </c>
      <c r="D10">
        <v>0</v>
      </c>
      <c r="E10">
        <v>1</v>
      </c>
      <c r="F10" t="s">
        <v>21</v>
      </c>
      <c r="G10" t="s">
        <v>11</v>
      </c>
      <c r="H10" t="s">
        <v>23</v>
      </c>
      <c r="I10" t="s">
        <v>13</v>
      </c>
      <c r="J10">
        <v>0</v>
      </c>
      <c r="K10" t="s">
        <v>114</v>
      </c>
      <c r="L10" t="s">
        <v>109</v>
      </c>
      <c r="M10" t="s">
        <v>94</v>
      </c>
      <c r="N10" t="s">
        <v>112</v>
      </c>
      <c r="O10" t="s">
        <v>110</v>
      </c>
    </row>
    <row r="11" spans="1:15" x14ac:dyDescent="0.3">
      <c r="A11" t="s">
        <v>9</v>
      </c>
      <c r="B11">
        <v>10</v>
      </c>
      <c r="C11">
        <v>0</v>
      </c>
      <c r="D11">
        <v>0</v>
      </c>
      <c r="E11">
        <v>1</v>
      </c>
      <c r="F11" t="s">
        <v>24</v>
      </c>
      <c r="G11" t="s">
        <v>16</v>
      </c>
      <c r="H11" t="s">
        <v>23</v>
      </c>
      <c r="I11" t="s">
        <v>13</v>
      </c>
      <c r="J11">
        <v>0</v>
      </c>
      <c r="K11" t="s">
        <v>118</v>
      </c>
      <c r="L11" t="s">
        <v>109</v>
      </c>
      <c r="M11" t="s">
        <v>94</v>
      </c>
      <c r="N11" t="s">
        <v>112</v>
      </c>
      <c r="O11" t="s">
        <v>110</v>
      </c>
    </row>
    <row r="12" spans="1:15" x14ac:dyDescent="0.3">
      <c r="A12" t="s">
        <v>9</v>
      </c>
      <c r="B12">
        <v>31</v>
      </c>
      <c r="C12">
        <v>1</v>
      </c>
      <c r="D12">
        <v>1</v>
      </c>
      <c r="E12">
        <v>0</v>
      </c>
      <c r="F12" t="s">
        <v>25</v>
      </c>
      <c r="G12" t="s">
        <v>11</v>
      </c>
      <c r="H12" t="s">
        <v>12</v>
      </c>
      <c r="I12" t="s">
        <v>13</v>
      </c>
      <c r="J12">
        <v>1</v>
      </c>
      <c r="K12" t="s">
        <v>114</v>
      </c>
      <c r="L12" t="s">
        <v>95</v>
      </c>
      <c r="M12" t="s">
        <v>111</v>
      </c>
      <c r="N12" t="s">
        <v>116</v>
      </c>
      <c r="O12" t="s">
        <v>115</v>
      </c>
    </row>
    <row r="13" spans="1:15" x14ac:dyDescent="0.3">
      <c r="A13" t="s">
        <v>14</v>
      </c>
      <c r="B13">
        <v>10</v>
      </c>
      <c r="C13">
        <v>0</v>
      </c>
      <c r="D13">
        <v>0</v>
      </c>
      <c r="E13">
        <v>0</v>
      </c>
      <c r="F13" t="s">
        <v>21</v>
      </c>
      <c r="G13" t="s">
        <v>16</v>
      </c>
      <c r="H13" t="s">
        <v>23</v>
      </c>
      <c r="I13" t="s">
        <v>13</v>
      </c>
      <c r="J13">
        <v>0</v>
      </c>
      <c r="K13" t="s">
        <v>118</v>
      </c>
      <c r="L13" t="s">
        <v>109</v>
      </c>
      <c r="M13" t="s">
        <v>111</v>
      </c>
      <c r="N13" t="s">
        <v>112</v>
      </c>
      <c r="O13" t="s">
        <v>110</v>
      </c>
    </row>
    <row r="14" spans="1:15" x14ac:dyDescent="0.3">
      <c r="A14" t="s">
        <v>9</v>
      </c>
      <c r="B14">
        <v>13</v>
      </c>
      <c r="C14">
        <v>1</v>
      </c>
      <c r="D14">
        <v>1</v>
      </c>
      <c r="E14">
        <v>0</v>
      </c>
      <c r="F14" t="s">
        <v>26</v>
      </c>
      <c r="G14" t="s">
        <v>11</v>
      </c>
      <c r="H14" t="s">
        <v>12</v>
      </c>
      <c r="I14" t="s">
        <v>13</v>
      </c>
      <c r="J14">
        <v>1</v>
      </c>
      <c r="K14" t="s">
        <v>118</v>
      </c>
      <c r="L14" t="s">
        <v>95</v>
      </c>
      <c r="M14" t="s">
        <v>111</v>
      </c>
      <c r="N14" t="s">
        <v>116</v>
      </c>
      <c r="O14" t="s">
        <v>115</v>
      </c>
    </row>
    <row r="15" spans="1:15" x14ac:dyDescent="0.3">
      <c r="A15" t="s">
        <v>9</v>
      </c>
      <c r="B15">
        <v>43</v>
      </c>
      <c r="C15">
        <v>1</v>
      </c>
      <c r="D15">
        <v>1</v>
      </c>
      <c r="E15">
        <v>0</v>
      </c>
      <c r="F15" t="s">
        <v>27</v>
      </c>
      <c r="G15" t="s">
        <v>16</v>
      </c>
      <c r="H15" t="s">
        <v>12</v>
      </c>
      <c r="I15" t="s">
        <v>13</v>
      </c>
      <c r="J15">
        <v>1</v>
      </c>
      <c r="K15" t="s">
        <v>114</v>
      </c>
      <c r="L15" t="s">
        <v>95</v>
      </c>
      <c r="M15" t="s">
        <v>111</v>
      </c>
      <c r="N15" t="s">
        <v>116</v>
      </c>
      <c r="O15" t="s">
        <v>115</v>
      </c>
    </row>
    <row r="16" spans="1:15" x14ac:dyDescent="0.3">
      <c r="A16" t="s">
        <v>14</v>
      </c>
      <c r="B16">
        <v>52</v>
      </c>
      <c r="C16">
        <v>0</v>
      </c>
      <c r="D16">
        <v>0</v>
      </c>
      <c r="E16">
        <v>0</v>
      </c>
      <c r="F16" t="s">
        <v>28</v>
      </c>
      <c r="G16" t="s">
        <v>11</v>
      </c>
      <c r="H16" t="s">
        <v>18</v>
      </c>
      <c r="I16" t="s">
        <v>13</v>
      </c>
      <c r="J16">
        <v>0</v>
      </c>
      <c r="K16" t="s">
        <v>108</v>
      </c>
      <c r="L16" t="s">
        <v>109</v>
      </c>
      <c r="M16" t="s">
        <v>111</v>
      </c>
      <c r="N16" t="s">
        <v>112</v>
      </c>
      <c r="O16" t="s">
        <v>110</v>
      </c>
    </row>
    <row r="17" spans="1:15" x14ac:dyDescent="0.3">
      <c r="A17" t="s">
        <v>9</v>
      </c>
      <c r="B17">
        <v>12</v>
      </c>
      <c r="C17">
        <v>1</v>
      </c>
      <c r="D17">
        <v>1</v>
      </c>
      <c r="E17">
        <v>1</v>
      </c>
      <c r="F17" t="s">
        <v>29</v>
      </c>
      <c r="G17" t="s">
        <v>16</v>
      </c>
      <c r="H17" t="s">
        <v>23</v>
      </c>
      <c r="I17" t="s">
        <v>13</v>
      </c>
      <c r="J17">
        <v>1</v>
      </c>
      <c r="K17" t="s">
        <v>118</v>
      </c>
      <c r="L17" t="s">
        <v>95</v>
      </c>
      <c r="M17" t="s">
        <v>94</v>
      </c>
      <c r="N17" t="s">
        <v>116</v>
      </c>
      <c r="O17" t="s">
        <v>115</v>
      </c>
    </row>
    <row r="18" spans="1:15" x14ac:dyDescent="0.3">
      <c r="A18" t="s">
        <v>14</v>
      </c>
      <c r="B18">
        <v>18</v>
      </c>
      <c r="C18">
        <v>0</v>
      </c>
      <c r="D18">
        <v>0</v>
      </c>
      <c r="E18">
        <v>1</v>
      </c>
      <c r="F18" t="s">
        <v>30</v>
      </c>
      <c r="G18" t="s">
        <v>11</v>
      </c>
      <c r="H18" t="s">
        <v>23</v>
      </c>
      <c r="I18" t="s">
        <v>13</v>
      </c>
      <c r="J18">
        <v>0</v>
      </c>
      <c r="K18" t="s">
        <v>113</v>
      </c>
      <c r="L18" t="s">
        <v>109</v>
      </c>
      <c r="M18" t="s">
        <v>94</v>
      </c>
      <c r="N18" t="s">
        <v>112</v>
      </c>
      <c r="O18" t="s">
        <v>110</v>
      </c>
    </row>
    <row r="19" spans="1:15" x14ac:dyDescent="0.3">
      <c r="A19" t="s">
        <v>14</v>
      </c>
      <c r="B19">
        <v>56</v>
      </c>
      <c r="C19">
        <v>0</v>
      </c>
      <c r="D19">
        <v>0</v>
      </c>
      <c r="E19">
        <v>1</v>
      </c>
      <c r="F19" t="s">
        <v>31</v>
      </c>
      <c r="G19" t="s">
        <v>16</v>
      </c>
      <c r="H19" t="s">
        <v>12</v>
      </c>
      <c r="I19" t="s">
        <v>13</v>
      </c>
      <c r="J19">
        <v>0</v>
      </c>
      <c r="K19" t="s">
        <v>108</v>
      </c>
      <c r="L19" t="s">
        <v>109</v>
      </c>
      <c r="M19" t="s">
        <v>94</v>
      </c>
      <c r="N19" t="s">
        <v>112</v>
      </c>
      <c r="O19" t="s">
        <v>110</v>
      </c>
    </row>
    <row r="20" spans="1:15" x14ac:dyDescent="0.3">
      <c r="A20" t="s">
        <v>14</v>
      </c>
      <c r="B20">
        <v>9</v>
      </c>
      <c r="C20">
        <v>1</v>
      </c>
      <c r="D20">
        <v>1</v>
      </c>
      <c r="E20">
        <v>1</v>
      </c>
      <c r="F20" t="s">
        <v>10</v>
      </c>
      <c r="G20" t="s">
        <v>11</v>
      </c>
      <c r="H20" t="s">
        <v>23</v>
      </c>
      <c r="I20" t="s">
        <v>13</v>
      </c>
      <c r="J20">
        <v>1</v>
      </c>
      <c r="K20" t="s">
        <v>118</v>
      </c>
      <c r="L20" t="s">
        <v>95</v>
      </c>
      <c r="M20" t="s">
        <v>94</v>
      </c>
      <c r="N20" t="s">
        <v>116</v>
      </c>
      <c r="O20" t="s">
        <v>115</v>
      </c>
    </row>
    <row r="21" spans="1:15" x14ac:dyDescent="0.3">
      <c r="A21" t="s">
        <v>14</v>
      </c>
      <c r="B21">
        <v>27</v>
      </c>
      <c r="C21">
        <v>1</v>
      </c>
      <c r="D21">
        <v>1</v>
      </c>
      <c r="E21">
        <v>0</v>
      </c>
      <c r="F21" t="s">
        <v>10</v>
      </c>
      <c r="G21" t="s">
        <v>16</v>
      </c>
      <c r="H21" t="s">
        <v>23</v>
      </c>
      <c r="I21" t="s">
        <v>13</v>
      </c>
      <c r="J21">
        <v>1</v>
      </c>
      <c r="K21" t="s">
        <v>114</v>
      </c>
      <c r="L21" t="s">
        <v>95</v>
      </c>
      <c r="M21" t="s">
        <v>111</v>
      </c>
      <c r="N21" t="s">
        <v>116</v>
      </c>
      <c r="O21" t="s">
        <v>115</v>
      </c>
    </row>
    <row r="22" spans="1:15" x14ac:dyDescent="0.3">
      <c r="A22" t="s">
        <v>9</v>
      </c>
      <c r="B22">
        <v>31</v>
      </c>
      <c r="C22">
        <v>0</v>
      </c>
      <c r="D22">
        <v>1</v>
      </c>
      <c r="E22">
        <v>0</v>
      </c>
      <c r="F22" t="s">
        <v>32</v>
      </c>
      <c r="G22" t="s">
        <v>11</v>
      </c>
      <c r="H22" t="s">
        <v>23</v>
      </c>
      <c r="I22" t="s">
        <v>13</v>
      </c>
      <c r="J22">
        <v>1</v>
      </c>
      <c r="K22" t="s">
        <v>114</v>
      </c>
      <c r="L22" t="s">
        <v>95</v>
      </c>
      <c r="M22" t="s">
        <v>111</v>
      </c>
      <c r="N22" t="s">
        <v>112</v>
      </c>
      <c r="O22" t="s">
        <v>115</v>
      </c>
    </row>
    <row r="23" spans="1:15" x14ac:dyDescent="0.3">
      <c r="A23" t="s">
        <v>9</v>
      </c>
      <c r="B23">
        <v>23</v>
      </c>
      <c r="C23">
        <v>0</v>
      </c>
      <c r="D23">
        <v>0</v>
      </c>
      <c r="E23">
        <v>0</v>
      </c>
      <c r="F23" t="s">
        <v>33</v>
      </c>
      <c r="G23" t="s">
        <v>16</v>
      </c>
      <c r="H23" t="s">
        <v>18</v>
      </c>
      <c r="I23" t="s">
        <v>13</v>
      </c>
      <c r="J23">
        <v>0</v>
      </c>
      <c r="K23" t="s">
        <v>117</v>
      </c>
      <c r="L23" t="s">
        <v>109</v>
      </c>
      <c r="M23" t="s">
        <v>111</v>
      </c>
      <c r="N23" t="s">
        <v>112</v>
      </c>
      <c r="O23" t="s">
        <v>110</v>
      </c>
    </row>
    <row r="24" spans="1:15" x14ac:dyDescent="0.3">
      <c r="A24" t="s">
        <v>9</v>
      </c>
      <c r="B24">
        <v>37</v>
      </c>
      <c r="C24">
        <v>0</v>
      </c>
      <c r="D24">
        <v>0</v>
      </c>
      <c r="E24">
        <v>1</v>
      </c>
      <c r="F24" t="s">
        <v>34</v>
      </c>
      <c r="G24" t="s">
        <v>11</v>
      </c>
      <c r="H24" t="s">
        <v>23</v>
      </c>
      <c r="I24" t="s">
        <v>13</v>
      </c>
      <c r="J24">
        <v>0</v>
      </c>
      <c r="K24" t="s">
        <v>114</v>
      </c>
      <c r="L24" t="s">
        <v>109</v>
      </c>
      <c r="M24" t="s">
        <v>94</v>
      </c>
      <c r="N24" t="s">
        <v>112</v>
      </c>
      <c r="O24" t="s">
        <v>110</v>
      </c>
    </row>
    <row r="25" spans="1:15" x14ac:dyDescent="0.3">
      <c r="A25" t="s">
        <v>14</v>
      </c>
      <c r="B25">
        <v>44</v>
      </c>
      <c r="C25">
        <v>0</v>
      </c>
      <c r="D25">
        <v>0</v>
      </c>
      <c r="E25">
        <v>1</v>
      </c>
      <c r="F25" t="s">
        <v>35</v>
      </c>
      <c r="G25" t="s">
        <v>16</v>
      </c>
      <c r="H25" t="s">
        <v>18</v>
      </c>
      <c r="I25" t="s">
        <v>13</v>
      </c>
      <c r="J25">
        <v>0</v>
      </c>
      <c r="K25" t="s">
        <v>114</v>
      </c>
      <c r="L25" t="s">
        <v>109</v>
      </c>
      <c r="M25" t="s">
        <v>94</v>
      </c>
      <c r="N25" t="s">
        <v>112</v>
      </c>
      <c r="O25" t="s">
        <v>110</v>
      </c>
    </row>
    <row r="26" spans="1:15" x14ac:dyDescent="0.3">
      <c r="A26" t="s">
        <v>9</v>
      </c>
      <c r="B26">
        <v>17</v>
      </c>
      <c r="C26">
        <v>1</v>
      </c>
      <c r="D26">
        <v>1</v>
      </c>
      <c r="E26">
        <v>0</v>
      </c>
      <c r="F26" t="s">
        <v>26</v>
      </c>
      <c r="G26" t="s">
        <v>11</v>
      </c>
      <c r="H26" t="s">
        <v>12</v>
      </c>
      <c r="I26" t="s">
        <v>13</v>
      </c>
      <c r="J26">
        <v>1</v>
      </c>
      <c r="K26" t="s">
        <v>113</v>
      </c>
      <c r="L26" t="s">
        <v>95</v>
      </c>
      <c r="M26" t="s">
        <v>111</v>
      </c>
      <c r="N26" t="s">
        <v>116</v>
      </c>
      <c r="O26" t="s">
        <v>115</v>
      </c>
    </row>
    <row r="27" spans="1:15" x14ac:dyDescent="0.3">
      <c r="A27" t="s">
        <v>9</v>
      </c>
      <c r="B27">
        <v>64</v>
      </c>
      <c r="C27">
        <v>1</v>
      </c>
      <c r="D27">
        <v>1</v>
      </c>
      <c r="E27">
        <v>1</v>
      </c>
      <c r="F27" t="s">
        <v>32</v>
      </c>
      <c r="G27" t="s">
        <v>16</v>
      </c>
      <c r="H27" t="s">
        <v>18</v>
      </c>
      <c r="I27" t="s">
        <v>13</v>
      </c>
      <c r="J27">
        <v>1</v>
      </c>
      <c r="K27" t="s">
        <v>108</v>
      </c>
      <c r="L27" t="s">
        <v>95</v>
      </c>
      <c r="M27" t="s">
        <v>94</v>
      </c>
      <c r="N27" t="s">
        <v>116</v>
      </c>
      <c r="O27" t="s">
        <v>115</v>
      </c>
    </row>
    <row r="28" spans="1:15" x14ac:dyDescent="0.3">
      <c r="A28" t="s">
        <v>9</v>
      </c>
      <c r="B28">
        <v>65</v>
      </c>
      <c r="C28">
        <v>0</v>
      </c>
      <c r="D28">
        <v>0</v>
      </c>
      <c r="E28">
        <v>0</v>
      </c>
      <c r="F28" t="s">
        <v>20</v>
      </c>
      <c r="G28" t="s">
        <v>11</v>
      </c>
      <c r="H28" t="s">
        <v>23</v>
      </c>
      <c r="I28" t="s">
        <v>13</v>
      </c>
      <c r="J28">
        <v>0</v>
      </c>
      <c r="K28" t="s">
        <v>119</v>
      </c>
      <c r="L28" t="s">
        <v>109</v>
      </c>
      <c r="M28" t="s">
        <v>111</v>
      </c>
      <c r="N28" t="s">
        <v>112</v>
      </c>
      <c r="O28" t="s">
        <v>110</v>
      </c>
    </row>
    <row r="29" spans="1:15" x14ac:dyDescent="0.3">
      <c r="A29" t="s">
        <v>9</v>
      </c>
      <c r="B29">
        <v>60</v>
      </c>
      <c r="C29">
        <v>0</v>
      </c>
      <c r="D29">
        <v>0</v>
      </c>
      <c r="E29">
        <v>0</v>
      </c>
      <c r="F29" t="s">
        <v>26</v>
      </c>
      <c r="G29" t="s">
        <v>16</v>
      </c>
      <c r="H29" t="s">
        <v>18</v>
      </c>
      <c r="I29" t="s">
        <v>13</v>
      </c>
      <c r="J29">
        <v>0</v>
      </c>
      <c r="K29" t="s">
        <v>108</v>
      </c>
      <c r="L29" t="s">
        <v>109</v>
      </c>
      <c r="M29" t="s">
        <v>111</v>
      </c>
      <c r="N29" t="s">
        <v>112</v>
      </c>
      <c r="O29" t="s">
        <v>110</v>
      </c>
    </row>
    <row r="30" spans="1:15" x14ac:dyDescent="0.3">
      <c r="A30" t="s">
        <v>9</v>
      </c>
      <c r="B30">
        <v>44</v>
      </c>
      <c r="C30">
        <v>1</v>
      </c>
      <c r="D30">
        <v>1</v>
      </c>
      <c r="E30">
        <v>1</v>
      </c>
      <c r="F30" t="s">
        <v>25</v>
      </c>
      <c r="G30" t="s">
        <v>11</v>
      </c>
      <c r="H30" t="s">
        <v>23</v>
      </c>
      <c r="I30" t="s">
        <v>13</v>
      </c>
      <c r="J30">
        <v>1</v>
      </c>
      <c r="K30" t="s">
        <v>114</v>
      </c>
      <c r="L30" t="s">
        <v>95</v>
      </c>
      <c r="M30" t="s">
        <v>94</v>
      </c>
      <c r="N30" t="s">
        <v>116</v>
      </c>
      <c r="O30" t="s">
        <v>115</v>
      </c>
    </row>
    <row r="31" spans="1:15" x14ac:dyDescent="0.3">
      <c r="A31" t="s">
        <v>9</v>
      </c>
      <c r="B31">
        <v>13</v>
      </c>
      <c r="C31">
        <v>0</v>
      </c>
      <c r="D31">
        <v>1</v>
      </c>
      <c r="E31">
        <v>0</v>
      </c>
      <c r="F31" t="s">
        <v>27</v>
      </c>
      <c r="G31" t="s">
        <v>16</v>
      </c>
      <c r="H31" t="s">
        <v>12</v>
      </c>
      <c r="I31" t="s">
        <v>13</v>
      </c>
      <c r="J31">
        <v>1</v>
      </c>
      <c r="K31" t="s">
        <v>118</v>
      </c>
      <c r="L31" t="s">
        <v>95</v>
      </c>
      <c r="M31" t="s">
        <v>111</v>
      </c>
      <c r="N31" t="s">
        <v>112</v>
      </c>
      <c r="O31" t="s">
        <v>115</v>
      </c>
    </row>
    <row r="32" spans="1:15" x14ac:dyDescent="0.3">
      <c r="A32" t="s">
        <v>9</v>
      </c>
      <c r="B32">
        <v>35</v>
      </c>
      <c r="C32">
        <v>0</v>
      </c>
      <c r="D32">
        <v>0</v>
      </c>
      <c r="E32">
        <v>0</v>
      </c>
      <c r="F32" t="s">
        <v>36</v>
      </c>
      <c r="G32" t="s">
        <v>11</v>
      </c>
      <c r="H32" t="s">
        <v>12</v>
      </c>
      <c r="I32" t="s">
        <v>13</v>
      </c>
      <c r="J32">
        <v>0</v>
      </c>
      <c r="K32" t="s">
        <v>114</v>
      </c>
      <c r="L32" t="s">
        <v>109</v>
      </c>
      <c r="M32" t="s">
        <v>111</v>
      </c>
      <c r="N32" t="s">
        <v>112</v>
      </c>
      <c r="O32" t="s">
        <v>110</v>
      </c>
    </row>
    <row r="33" spans="1:15" x14ac:dyDescent="0.3">
      <c r="A33" t="s">
        <v>14</v>
      </c>
      <c r="B33">
        <v>13</v>
      </c>
      <c r="C33">
        <v>1</v>
      </c>
      <c r="D33">
        <v>1</v>
      </c>
      <c r="E33">
        <v>1</v>
      </c>
      <c r="F33" t="s">
        <v>32</v>
      </c>
      <c r="G33" t="s">
        <v>16</v>
      </c>
      <c r="H33" t="s">
        <v>23</v>
      </c>
      <c r="I33" t="s">
        <v>13</v>
      </c>
      <c r="J33">
        <v>1</v>
      </c>
      <c r="K33" t="s">
        <v>118</v>
      </c>
      <c r="L33" t="s">
        <v>95</v>
      </c>
      <c r="M33" t="s">
        <v>94</v>
      </c>
      <c r="N33" t="s">
        <v>116</v>
      </c>
      <c r="O33" t="s">
        <v>115</v>
      </c>
    </row>
    <row r="34" spans="1:15" x14ac:dyDescent="0.3">
      <c r="A34" t="s">
        <v>9</v>
      </c>
      <c r="B34">
        <v>39</v>
      </c>
      <c r="C34">
        <v>0</v>
      </c>
      <c r="D34">
        <v>0</v>
      </c>
      <c r="E34">
        <v>1</v>
      </c>
      <c r="F34" t="s">
        <v>37</v>
      </c>
      <c r="G34" t="s">
        <v>11</v>
      </c>
      <c r="H34" t="s">
        <v>12</v>
      </c>
      <c r="I34" t="s">
        <v>13</v>
      </c>
      <c r="J34">
        <v>0</v>
      </c>
      <c r="K34" t="s">
        <v>114</v>
      </c>
      <c r="L34" t="s">
        <v>109</v>
      </c>
      <c r="M34" t="s">
        <v>94</v>
      </c>
      <c r="N34" t="s">
        <v>112</v>
      </c>
      <c r="O34" t="s">
        <v>110</v>
      </c>
    </row>
    <row r="35" spans="1:15" x14ac:dyDescent="0.3">
      <c r="A35" t="s">
        <v>9</v>
      </c>
      <c r="B35">
        <v>27</v>
      </c>
      <c r="C35">
        <v>0</v>
      </c>
      <c r="D35">
        <v>0</v>
      </c>
      <c r="E35">
        <v>1</v>
      </c>
      <c r="F35" t="s">
        <v>38</v>
      </c>
      <c r="G35" t="s">
        <v>16</v>
      </c>
      <c r="H35" t="s">
        <v>18</v>
      </c>
      <c r="I35" t="s">
        <v>13</v>
      </c>
      <c r="J35">
        <v>0</v>
      </c>
      <c r="K35" t="s">
        <v>114</v>
      </c>
      <c r="L35" t="s">
        <v>109</v>
      </c>
      <c r="M35" t="s">
        <v>94</v>
      </c>
      <c r="N35" t="s">
        <v>112</v>
      </c>
      <c r="O35" t="s">
        <v>110</v>
      </c>
    </row>
    <row r="36" spans="1:15" x14ac:dyDescent="0.3">
      <c r="A36" t="s">
        <v>14</v>
      </c>
      <c r="B36">
        <v>11</v>
      </c>
      <c r="C36">
        <v>1</v>
      </c>
      <c r="D36">
        <v>1</v>
      </c>
      <c r="E36">
        <v>1</v>
      </c>
      <c r="F36" t="s">
        <v>39</v>
      </c>
      <c r="G36" t="s">
        <v>11</v>
      </c>
      <c r="H36" t="s">
        <v>23</v>
      </c>
      <c r="I36" t="s">
        <v>13</v>
      </c>
      <c r="J36">
        <v>1</v>
      </c>
      <c r="K36" t="s">
        <v>118</v>
      </c>
      <c r="L36" t="s">
        <v>95</v>
      </c>
      <c r="M36" t="s">
        <v>94</v>
      </c>
      <c r="N36" t="s">
        <v>116</v>
      </c>
      <c r="O36" t="s">
        <v>115</v>
      </c>
    </row>
    <row r="37" spans="1:15" x14ac:dyDescent="0.3">
      <c r="A37" t="s">
        <v>9</v>
      </c>
      <c r="B37">
        <v>46</v>
      </c>
      <c r="C37">
        <v>1</v>
      </c>
      <c r="D37">
        <v>1</v>
      </c>
      <c r="E37">
        <v>1</v>
      </c>
      <c r="F37" t="s">
        <v>36</v>
      </c>
      <c r="G37" t="s">
        <v>16</v>
      </c>
      <c r="H37" t="s">
        <v>18</v>
      </c>
      <c r="I37" t="s">
        <v>13</v>
      </c>
      <c r="J37">
        <v>1</v>
      </c>
      <c r="K37" t="s">
        <v>108</v>
      </c>
      <c r="L37" t="s">
        <v>95</v>
      </c>
      <c r="M37" t="s">
        <v>94</v>
      </c>
      <c r="N37" t="s">
        <v>116</v>
      </c>
      <c r="O37" t="s">
        <v>115</v>
      </c>
    </row>
    <row r="38" spans="1:15" x14ac:dyDescent="0.3">
      <c r="A38" t="s">
        <v>14</v>
      </c>
      <c r="B38">
        <v>10</v>
      </c>
      <c r="C38">
        <v>1</v>
      </c>
      <c r="D38">
        <v>1</v>
      </c>
      <c r="E38">
        <v>0</v>
      </c>
      <c r="F38" t="s">
        <v>40</v>
      </c>
      <c r="G38" t="s">
        <v>11</v>
      </c>
      <c r="H38" t="s">
        <v>23</v>
      </c>
      <c r="I38" t="s">
        <v>13</v>
      </c>
      <c r="J38">
        <v>1</v>
      </c>
      <c r="K38" t="s">
        <v>118</v>
      </c>
      <c r="L38" t="s">
        <v>95</v>
      </c>
      <c r="M38" t="s">
        <v>111</v>
      </c>
      <c r="N38" t="s">
        <v>116</v>
      </c>
      <c r="O38" t="s">
        <v>115</v>
      </c>
    </row>
    <row r="39" spans="1:15" x14ac:dyDescent="0.3">
      <c r="A39" t="s">
        <v>9</v>
      </c>
      <c r="B39">
        <v>13</v>
      </c>
      <c r="C39">
        <v>0</v>
      </c>
      <c r="D39">
        <v>0</v>
      </c>
      <c r="E39">
        <v>1</v>
      </c>
      <c r="F39" t="s">
        <v>41</v>
      </c>
      <c r="G39" t="s">
        <v>16</v>
      </c>
      <c r="H39" t="s">
        <v>12</v>
      </c>
      <c r="I39" t="s">
        <v>13</v>
      </c>
      <c r="J39">
        <v>0</v>
      </c>
      <c r="K39" t="s">
        <v>118</v>
      </c>
      <c r="L39" t="s">
        <v>109</v>
      </c>
      <c r="M39" t="s">
        <v>94</v>
      </c>
      <c r="N39" t="s">
        <v>112</v>
      </c>
      <c r="O39" t="s">
        <v>110</v>
      </c>
    </row>
    <row r="40" spans="1:15" x14ac:dyDescent="0.3">
      <c r="A40" t="s">
        <v>14</v>
      </c>
      <c r="B40">
        <v>50</v>
      </c>
      <c r="C40">
        <v>0</v>
      </c>
      <c r="D40">
        <v>1</v>
      </c>
      <c r="E40">
        <v>0</v>
      </c>
      <c r="F40" t="s">
        <v>39</v>
      </c>
      <c r="G40" t="s">
        <v>11</v>
      </c>
      <c r="H40" t="s">
        <v>18</v>
      </c>
      <c r="I40" t="s">
        <v>13</v>
      </c>
      <c r="J40">
        <v>1</v>
      </c>
      <c r="K40" t="s">
        <v>108</v>
      </c>
      <c r="L40" t="s">
        <v>95</v>
      </c>
      <c r="M40" t="s">
        <v>111</v>
      </c>
      <c r="N40" t="s">
        <v>112</v>
      </c>
      <c r="O40" t="s">
        <v>115</v>
      </c>
    </row>
    <row r="41" spans="1:15" x14ac:dyDescent="0.3">
      <c r="A41" t="s">
        <v>14</v>
      </c>
      <c r="B41">
        <v>34</v>
      </c>
      <c r="C41">
        <v>1</v>
      </c>
      <c r="D41">
        <v>1</v>
      </c>
      <c r="E41">
        <v>0</v>
      </c>
      <c r="F41" t="s">
        <v>10</v>
      </c>
      <c r="G41" t="s">
        <v>16</v>
      </c>
      <c r="H41" t="s">
        <v>18</v>
      </c>
      <c r="I41" t="s">
        <v>13</v>
      </c>
      <c r="J41">
        <v>1</v>
      </c>
      <c r="K41" t="s">
        <v>114</v>
      </c>
      <c r="L41" t="s">
        <v>95</v>
      </c>
      <c r="M41" t="s">
        <v>111</v>
      </c>
      <c r="N41" t="s">
        <v>116</v>
      </c>
      <c r="O41" t="s">
        <v>115</v>
      </c>
    </row>
    <row r="42" spans="1:15" x14ac:dyDescent="0.3">
      <c r="A42" t="s">
        <v>9</v>
      </c>
      <c r="B42">
        <v>54</v>
      </c>
      <c r="C42">
        <v>0</v>
      </c>
      <c r="D42">
        <v>0</v>
      </c>
      <c r="E42">
        <v>1</v>
      </c>
      <c r="F42" t="s">
        <v>30</v>
      </c>
      <c r="G42" t="s">
        <v>11</v>
      </c>
      <c r="H42" t="s">
        <v>23</v>
      </c>
      <c r="I42" t="s">
        <v>13</v>
      </c>
      <c r="J42">
        <v>0</v>
      </c>
      <c r="K42" t="s">
        <v>108</v>
      </c>
      <c r="L42" t="s">
        <v>109</v>
      </c>
      <c r="M42" t="s">
        <v>94</v>
      </c>
      <c r="N42" t="s">
        <v>112</v>
      </c>
      <c r="O42" t="s">
        <v>110</v>
      </c>
    </row>
    <row r="43" spans="1:15" x14ac:dyDescent="0.3">
      <c r="A43" t="s">
        <v>9</v>
      </c>
      <c r="B43">
        <v>16</v>
      </c>
      <c r="C43">
        <v>0</v>
      </c>
      <c r="D43">
        <v>0</v>
      </c>
      <c r="E43">
        <v>1</v>
      </c>
      <c r="F43" t="s">
        <v>36</v>
      </c>
      <c r="G43" t="s">
        <v>16</v>
      </c>
      <c r="H43" t="s">
        <v>18</v>
      </c>
      <c r="I43" t="s">
        <v>13</v>
      </c>
      <c r="J43">
        <v>0</v>
      </c>
      <c r="K43" t="s">
        <v>113</v>
      </c>
      <c r="L43" t="s">
        <v>109</v>
      </c>
      <c r="M43" t="s">
        <v>94</v>
      </c>
      <c r="N43" t="s">
        <v>112</v>
      </c>
      <c r="O43" t="s">
        <v>110</v>
      </c>
    </row>
    <row r="44" spans="1:15" x14ac:dyDescent="0.3">
      <c r="A44" t="s">
        <v>14</v>
      </c>
      <c r="B44">
        <v>51</v>
      </c>
      <c r="C44">
        <v>1</v>
      </c>
      <c r="D44">
        <v>1</v>
      </c>
      <c r="E44">
        <v>0</v>
      </c>
      <c r="F44" t="s">
        <v>38</v>
      </c>
      <c r="G44" t="s">
        <v>11</v>
      </c>
      <c r="H44" t="s">
        <v>23</v>
      </c>
      <c r="I44" t="s">
        <v>13</v>
      </c>
      <c r="J44">
        <v>1</v>
      </c>
      <c r="K44" t="s">
        <v>108</v>
      </c>
      <c r="L44" t="s">
        <v>95</v>
      </c>
      <c r="M44" t="s">
        <v>111</v>
      </c>
      <c r="N44" t="s">
        <v>116</v>
      </c>
      <c r="O44" t="s">
        <v>115</v>
      </c>
    </row>
    <row r="45" spans="1:15" x14ac:dyDescent="0.3">
      <c r="A45" t="s">
        <v>9</v>
      </c>
      <c r="B45">
        <v>9</v>
      </c>
      <c r="C45">
        <v>1</v>
      </c>
      <c r="D45">
        <v>1</v>
      </c>
      <c r="E45">
        <v>1</v>
      </c>
      <c r="F45" t="s">
        <v>42</v>
      </c>
      <c r="G45" t="s">
        <v>16</v>
      </c>
      <c r="H45" t="s">
        <v>23</v>
      </c>
      <c r="I45" t="s">
        <v>13</v>
      </c>
      <c r="J45">
        <v>1</v>
      </c>
      <c r="K45" t="s">
        <v>118</v>
      </c>
      <c r="L45" t="s">
        <v>95</v>
      </c>
      <c r="M45" t="s">
        <v>94</v>
      </c>
      <c r="N45" t="s">
        <v>116</v>
      </c>
      <c r="O45" t="s">
        <v>115</v>
      </c>
    </row>
    <row r="46" spans="1:15" x14ac:dyDescent="0.3">
      <c r="A46" t="s">
        <v>9</v>
      </c>
      <c r="B46">
        <v>37</v>
      </c>
      <c r="C46">
        <v>0</v>
      </c>
      <c r="D46">
        <v>0</v>
      </c>
      <c r="E46">
        <v>0</v>
      </c>
      <c r="F46" t="s">
        <v>43</v>
      </c>
      <c r="G46" t="s">
        <v>11</v>
      </c>
      <c r="H46" t="s">
        <v>12</v>
      </c>
      <c r="I46" t="s">
        <v>13</v>
      </c>
      <c r="J46">
        <v>0</v>
      </c>
      <c r="K46" t="s">
        <v>114</v>
      </c>
      <c r="L46" t="s">
        <v>109</v>
      </c>
      <c r="M46" t="s">
        <v>111</v>
      </c>
      <c r="N46" t="s">
        <v>112</v>
      </c>
      <c r="O46" t="s">
        <v>110</v>
      </c>
    </row>
    <row r="47" spans="1:15" x14ac:dyDescent="0.3">
      <c r="A47" t="s">
        <v>9</v>
      </c>
      <c r="B47">
        <v>13</v>
      </c>
      <c r="C47">
        <v>0</v>
      </c>
      <c r="D47">
        <v>0</v>
      </c>
      <c r="E47">
        <v>0</v>
      </c>
      <c r="F47" t="s">
        <v>44</v>
      </c>
      <c r="G47" t="s">
        <v>16</v>
      </c>
      <c r="H47" t="s">
        <v>23</v>
      </c>
      <c r="I47" t="s">
        <v>13</v>
      </c>
      <c r="J47">
        <v>0</v>
      </c>
      <c r="K47" t="s">
        <v>118</v>
      </c>
      <c r="L47" t="s">
        <v>109</v>
      </c>
      <c r="M47" t="s">
        <v>111</v>
      </c>
      <c r="N47" t="s">
        <v>112</v>
      </c>
      <c r="O47" t="s">
        <v>110</v>
      </c>
    </row>
    <row r="48" spans="1:15" x14ac:dyDescent="0.3">
      <c r="A48" t="s">
        <v>14</v>
      </c>
      <c r="B48">
        <v>62</v>
      </c>
      <c r="C48">
        <v>0</v>
      </c>
      <c r="D48">
        <v>1</v>
      </c>
      <c r="E48">
        <v>0</v>
      </c>
      <c r="F48" t="s">
        <v>39</v>
      </c>
      <c r="G48" t="s">
        <v>11</v>
      </c>
      <c r="H48" t="s">
        <v>23</v>
      </c>
      <c r="I48" t="s">
        <v>13</v>
      </c>
      <c r="J48">
        <v>1</v>
      </c>
      <c r="K48" t="s">
        <v>108</v>
      </c>
      <c r="L48" t="s">
        <v>95</v>
      </c>
      <c r="M48" t="s">
        <v>111</v>
      </c>
      <c r="N48" t="s">
        <v>112</v>
      </c>
      <c r="O48" t="s">
        <v>115</v>
      </c>
    </row>
    <row r="49" spans="1:15" x14ac:dyDescent="0.3">
      <c r="A49" t="s">
        <v>14</v>
      </c>
      <c r="B49">
        <v>17</v>
      </c>
      <c r="C49">
        <v>0</v>
      </c>
      <c r="D49">
        <v>0</v>
      </c>
      <c r="E49">
        <v>1</v>
      </c>
      <c r="F49" t="s">
        <v>36</v>
      </c>
      <c r="G49" t="s">
        <v>16</v>
      </c>
      <c r="H49" t="s">
        <v>12</v>
      </c>
      <c r="I49" t="s">
        <v>13</v>
      </c>
      <c r="J49">
        <v>0</v>
      </c>
      <c r="K49" t="s">
        <v>113</v>
      </c>
      <c r="L49" t="s">
        <v>109</v>
      </c>
      <c r="M49" t="s">
        <v>94</v>
      </c>
      <c r="N49" t="s">
        <v>112</v>
      </c>
      <c r="O49" t="s">
        <v>110</v>
      </c>
    </row>
    <row r="50" spans="1:15" x14ac:dyDescent="0.3">
      <c r="A50" t="s">
        <v>9</v>
      </c>
      <c r="B50">
        <v>35</v>
      </c>
      <c r="C50">
        <v>0</v>
      </c>
      <c r="D50">
        <v>0</v>
      </c>
      <c r="E50">
        <v>1</v>
      </c>
      <c r="F50" t="s">
        <v>31</v>
      </c>
      <c r="G50" t="s">
        <v>11</v>
      </c>
      <c r="H50" t="s">
        <v>23</v>
      </c>
      <c r="I50" t="s">
        <v>13</v>
      </c>
      <c r="J50">
        <v>0</v>
      </c>
      <c r="K50" t="s">
        <v>114</v>
      </c>
      <c r="L50" t="s">
        <v>109</v>
      </c>
      <c r="M50" t="s">
        <v>94</v>
      </c>
      <c r="N50" t="s">
        <v>112</v>
      </c>
      <c r="O50" t="s">
        <v>110</v>
      </c>
    </row>
    <row r="51" spans="1:15" x14ac:dyDescent="0.3">
      <c r="A51" t="s">
        <v>14</v>
      </c>
      <c r="B51">
        <v>9</v>
      </c>
      <c r="C51">
        <v>1</v>
      </c>
      <c r="D51">
        <v>1</v>
      </c>
      <c r="E51">
        <v>0</v>
      </c>
      <c r="F51" t="s">
        <v>45</v>
      </c>
      <c r="G51" t="s">
        <v>16</v>
      </c>
      <c r="H51" t="s">
        <v>23</v>
      </c>
      <c r="I51" t="s">
        <v>13</v>
      </c>
      <c r="J51">
        <v>1</v>
      </c>
      <c r="K51" t="s">
        <v>118</v>
      </c>
      <c r="L51" t="s">
        <v>95</v>
      </c>
      <c r="M51" t="s">
        <v>111</v>
      </c>
      <c r="N51" t="s">
        <v>116</v>
      </c>
      <c r="O51" t="s">
        <v>115</v>
      </c>
    </row>
    <row r="52" spans="1:15" x14ac:dyDescent="0.3">
      <c r="A52" t="s">
        <v>14</v>
      </c>
      <c r="B52">
        <v>14</v>
      </c>
      <c r="C52">
        <v>1</v>
      </c>
      <c r="D52">
        <v>1</v>
      </c>
      <c r="E52">
        <v>0</v>
      </c>
      <c r="F52" t="s">
        <v>32</v>
      </c>
      <c r="G52" t="s">
        <v>11</v>
      </c>
      <c r="H52" t="s">
        <v>23</v>
      </c>
      <c r="I52" t="s">
        <v>13</v>
      </c>
      <c r="J52">
        <v>1</v>
      </c>
      <c r="K52" t="s">
        <v>113</v>
      </c>
      <c r="L52" t="s">
        <v>95</v>
      </c>
      <c r="M52" t="s">
        <v>111</v>
      </c>
      <c r="N52" t="s">
        <v>116</v>
      </c>
      <c r="O52" t="s">
        <v>115</v>
      </c>
    </row>
    <row r="53" spans="1:15" x14ac:dyDescent="0.3">
      <c r="A53" t="s">
        <v>14</v>
      </c>
      <c r="B53">
        <v>37</v>
      </c>
      <c r="C53">
        <v>0</v>
      </c>
      <c r="D53">
        <v>0</v>
      </c>
      <c r="E53">
        <v>0</v>
      </c>
      <c r="F53" t="s">
        <v>30</v>
      </c>
      <c r="G53" t="s">
        <v>16</v>
      </c>
      <c r="H53" t="s">
        <v>23</v>
      </c>
      <c r="I53" t="s">
        <v>13</v>
      </c>
      <c r="J53">
        <v>0</v>
      </c>
      <c r="K53" t="s">
        <v>114</v>
      </c>
      <c r="L53" t="s">
        <v>109</v>
      </c>
      <c r="M53" t="s">
        <v>111</v>
      </c>
      <c r="N53" t="s">
        <v>112</v>
      </c>
      <c r="O53" t="s">
        <v>110</v>
      </c>
    </row>
    <row r="54" spans="1:15" x14ac:dyDescent="0.3">
      <c r="A54" t="s">
        <v>14</v>
      </c>
      <c r="B54">
        <v>13</v>
      </c>
      <c r="C54">
        <v>0</v>
      </c>
      <c r="D54">
        <v>0</v>
      </c>
      <c r="E54">
        <v>0</v>
      </c>
      <c r="F54" t="s">
        <v>46</v>
      </c>
      <c r="G54" t="s">
        <v>11</v>
      </c>
      <c r="H54" t="s">
        <v>18</v>
      </c>
      <c r="I54" t="s">
        <v>13</v>
      </c>
      <c r="J54">
        <v>0</v>
      </c>
      <c r="K54" t="s">
        <v>118</v>
      </c>
      <c r="L54" t="s">
        <v>109</v>
      </c>
      <c r="M54" t="s">
        <v>111</v>
      </c>
      <c r="N54" t="s">
        <v>112</v>
      </c>
      <c r="O54" t="s">
        <v>110</v>
      </c>
    </row>
    <row r="55" spans="1:15" x14ac:dyDescent="0.3">
      <c r="A55" t="s">
        <v>14</v>
      </c>
      <c r="B55">
        <v>57</v>
      </c>
      <c r="C55">
        <v>0</v>
      </c>
      <c r="D55">
        <v>0</v>
      </c>
      <c r="E55">
        <v>0</v>
      </c>
      <c r="F55" t="s">
        <v>29</v>
      </c>
      <c r="G55" t="s">
        <v>16</v>
      </c>
      <c r="H55" t="s">
        <v>12</v>
      </c>
      <c r="I55" t="s">
        <v>13</v>
      </c>
      <c r="J55">
        <v>0</v>
      </c>
      <c r="K55" t="s">
        <v>108</v>
      </c>
      <c r="L55" t="s">
        <v>109</v>
      </c>
      <c r="M55" t="s">
        <v>111</v>
      </c>
      <c r="N55" t="s">
        <v>112</v>
      </c>
      <c r="O55" t="s">
        <v>110</v>
      </c>
    </row>
    <row r="56" spans="1:15" x14ac:dyDescent="0.3">
      <c r="A56" t="s">
        <v>9</v>
      </c>
      <c r="B56">
        <v>41</v>
      </c>
      <c r="C56">
        <v>0</v>
      </c>
      <c r="D56">
        <v>0</v>
      </c>
      <c r="E56">
        <v>0</v>
      </c>
      <c r="F56" t="s">
        <v>19</v>
      </c>
      <c r="G56" t="s">
        <v>11</v>
      </c>
      <c r="H56" t="s">
        <v>12</v>
      </c>
      <c r="I56" t="s">
        <v>13</v>
      </c>
      <c r="J56">
        <v>0</v>
      </c>
      <c r="K56" t="s">
        <v>114</v>
      </c>
      <c r="L56" t="s">
        <v>109</v>
      </c>
      <c r="M56" t="s">
        <v>111</v>
      </c>
      <c r="N56" t="s">
        <v>112</v>
      </c>
      <c r="O56" t="s">
        <v>110</v>
      </c>
    </row>
    <row r="57" spans="1:15" x14ac:dyDescent="0.3">
      <c r="A57" t="s">
        <v>14</v>
      </c>
      <c r="B57">
        <v>24</v>
      </c>
      <c r="C57">
        <v>1</v>
      </c>
      <c r="D57">
        <v>1</v>
      </c>
      <c r="E57">
        <v>1</v>
      </c>
      <c r="F57" t="s">
        <v>31</v>
      </c>
      <c r="G57" t="s">
        <v>16</v>
      </c>
      <c r="H57" t="s">
        <v>12</v>
      </c>
      <c r="I57" t="s">
        <v>13</v>
      </c>
      <c r="J57">
        <v>1</v>
      </c>
      <c r="K57" t="s">
        <v>117</v>
      </c>
      <c r="L57" t="s">
        <v>95</v>
      </c>
      <c r="M57" t="s">
        <v>94</v>
      </c>
      <c r="N57" t="s">
        <v>116</v>
      </c>
      <c r="O57" t="s">
        <v>115</v>
      </c>
    </row>
    <row r="58" spans="1:15" x14ac:dyDescent="0.3">
      <c r="A58" t="s">
        <v>14</v>
      </c>
      <c r="B58">
        <v>28</v>
      </c>
      <c r="C58">
        <v>0</v>
      </c>
      <c r="D58">
        <v>0</v>
      </c>
      <c r="E58">
        <v>0</v>
      </c>
      <c r="F58" t="s">
        <v>20</v>
      </c>
      <c r="G58" t="s">
        <v>11</v>
      </c>
      <c r="H58" t="s">
        <v>18</v>
      </c>
      <c r="I58" t="s">
        <v>13</v>
      </c>
      <c r="J58">
        <v>0</v>
      </c>
      <c r="K58" t="s">
        <v>114</v>
      </c>
      <c r="L58" t="s">
        <v>109</v>
      </c>
      <c r="M58" t="s">
        <v>111</v>
      </c>
      <c r="N58" t="s">
        <v>112</v>
      </c>
      <c r="O58" t="s">
        <v>110</v>
      </c>
    </row>
    <row r="59" spans="1:15" x14ac:dyDescent="0.3">
      <c r="A59" t="s">
        <v>14</v>
      </c>
      <c r="B59">
        <v>25</v>
      </c>
      <c r="C59">
        <v>0</v>
      </c>
      <c r="D59">
        <v>0</v>
      </c>
      <c r="E59">
        <v>1</v>
      </c>
      <c r="F59" t="s">
        <v>26</v>
      </c>
      <c r="G59" t="s">
        <v>16</v>
      </c>
      <c r="H59" t="s">
        <v>18</v>
      </c>
      <c r="I59" t="s">
        <v>13</v>
      </c>
      <c r="J59">
        <v>0</v>
      </c>
      <c r="K59" t="s">
        <v>114</v>
      </c>
      <c r="L59" t="s">
        <v>109</v>
      </c>
      <c r="M59" t="s">
        <v>94</v>
      </c>
      <c r="N59" t="s">
        <v>112</v>
      </c>
      <c r="O59" t="s">
        <v>110</v>
      </c>
    </row>
    <row r="60" spans="1:15" x14ac:dyDescent="0.3">
      <c r="A60" t="s">
        <v>14</v>
      </c>
      <c r="B60">
        <v>44</v>
      </c>
      <c r="C60">
        <v>0</v>
      </c>
      <c r="D60">
        <v>0</v>
      </c>
      <c r="E60">
        <v>1</v>
      </c>
      <c r="F60" t="s">
        <v>41</v>
      </c>
      <c r="G60" t="s">
        <v>11</v>
      </c>
      <c r="H60" t="s">
        <v>23</v>
      </c>
      <c r="I60" t="s">
        <v>13</v>
      </c>
      <c r="J60">
        <v>0</v>
      </c>
      <c r="K60" t="s">
        <v>114</v>
      </c>
      <c r="L60" t="s">
        <v>109</v>
      </c>
      <c r="M60" t="s">
        <v>94</v>
      </c>
      <c r="N60" t="s">
        <v>112</v>
      </c>
      <c r="O60" t="s">
        <v>110</v>
      </c>
    </row>
    <row r="61" spans="1:15" x14ac:dyDescent="0.3">
      <c r="A61" t="s">
        <v>14</v>
      </c>
      <c r="B61">
        <v>10</v>
      </c>
      <c r="C61">
        <v>1</v>
      </c>
      <c r="D61">
        <v>1</v>
      </c>
      <c r="E61">
        <v>1</v>
      </c>
      <c r="F61" t="s">
        <v>38</v>
      </c>
      <c r="G61" t="s">
        <v>16</v>
      </c>
      <c r="H61" t="s">
        <v>23</v>
      </c>
      <c r="I61" t="s">
        <v>13</v>
      </c>
      <c r="J61">
        <v>1</v>
      </c>
      <c r="K61" t="s">
        <v>118</v>
      </c>
      <c r="L61" t="s">
        <v>95</v>
      </c>
      <c r="M61" t="s">
        <v>94</v>
      </c>
      <c r="N61" t="s">
        <v>116</v>
      </c>
      <c r="O61" t="s">
        <v>115</v>
      </c>
    </row>
    <row r="62" spans="1:15" x14ac:dyDescent="0.3">
      <c r="A62" t="s">
        <v>9</v>
      </c>
      <c r="B62">
        <v>13</v>
      </c>
      <c r="C62">
        <v>1</v>
      </c>
      <c r="D62">
        <v>1</v>
      </c>
      <c r="E62">
        <v>1</v>
      </c>
      <c r="F62" t="s">
        <v>21</v>
      </c>
      <c r="G62" t="s">
        <v>11</v>
      </c>
      <c r="H62" t="s">
        <v>18</v>
      </c>
      <c r="I62" t="s">
        <v>13</v>
      </c>
      <c r="J62">
        <v>1</v>
      </c>
      <c r="K62" t="s">
        <v>118</v>
      </c>
      <c r="L62" t="s">
        <v>95</v>
      </c>
      <c r="M62" t="s">
        <v>94</v>
      </c>
      <c r="N62" t="s">
        <v>116</v>
      </c>
      <c r="O62" t="s">
        <v>115</v>
      </c>
    </row>
    <row r="63" spans="1:15" x14ac:dyDescent="0.3">
      <c r="A63" t="s">
        <v>9</v>
      </c>
      <c r="B63">
        <v>65</v>
      </c>
      <c r="C63">
        <v>1</v>
      </c>
      <c r="D63">
        <v>1</v>
      </c>
      <c r="E63">
        <v>0</v>
      </c>
      <c r="F63" t="s">
        <v>47</v>
      </c>
      <c r="G63" t="s">
        <v>16</v>
      </c>
      <c r="H63" t="s">
        <v>12</v>
      </c>
      <c r="I63" t="s">
        <v>13</v>
      </c>
      <c r="J63">
        <v>1</v>
      </c>
      <c r="K63" t="s">
        <v>119</v>
      </c>
      <c r="L63" t="s">
        <v>95</v>
      </c>
      <c r="M63" t="s">
        <v>111</v>
      </c>
      <c r="N63" t="s">
        <v>116</v>
      </c>
      <c r="O63" t="s">
        <v>115</v>
      </c>
    </row>
    <row r="64" spans="1:15" x14ac:dyDescent="0.3">
      <c r="A64" t="s">
        <v>14</v>
      </c>
      <c r="B64">
        <v>53</v>
      </c>
      <c r="C64">
        <v>0</v>
      </c>
      <c r="D64">
        <v>0</v>
      </c>
      <c r="E64">
        <v>0</v>
      </c>
      <c r="F64" t="s">
        <v>37</v>
      </c>
      <c r="G64" t="s">
        <v>11</v>
      </c>
      <c r="H64" t="s">
        <v>18</v>
      </c>
      <c r="I64" t="s">
        <v>13</v>
      </c>
      <c r="J64">
        <v>0</v>
      </c>
      <c r="K64" t="s">
        <v>108</v>
      </c>
      <c r="L64" t="s">
        <v>109</v>
      </c>
      <c r="M64" t="s">
        <v>111</v>
      </c>
      <c r="N64" t="s">
        <v>112</v>
      </c>
      <c r="O64" t="s">
        <v>110</v>
      </c>
    </row>
    <row r="65" spans="1:15" x14ac:dyDescent="0.3">
      <c r="A65" t="s">
        <v>14</v>
      </c>
      <c r="B65">
        <v>54</v>
      </c>
      <c r="C65">
        <v>0</v>
      </c>
      <c r="D65">
        <v>0</v>
      </c>
      <c r="E65">
        <v>1</v>
      </c>
      <c r="F65" t="s">
        <v>43</v>
      </c>
      <c r="G65" t="s">
        <v>16</v>
      </c>
      <c r="H65" t="s">
        <v>18</v>
      </c>
      <c r="I65" t="s">
        <v>13</v>
      </c>
      <c r="J65">
        <v>0</v>
      </c>
      <c r="K65" t="s">
        <v>108</v>
      </c>
      <c r="L65" t="s">
        <v>109</v>
      </c>
      <c r="M65" t="s">
        <v>94</v>
      </c>
      <c r="N65" t="s">
        <v>112</v>
      </c>
      <c r="O65" t="s">
        <v>110</v>
      </c>
    </row>
    <row r="66" spans="1:15" x14ac:dyDescent="0.3">
      <c r="A66" t="s">
        <v>9</v>
      </c>
      <c r="B66">
        <v>59</v>
      </c>
      <c r="C66">
        <v>0</v>
      </c>
      <c r="D66">
        <v>0</v>
      </c>
      <c r="E66">
        <v>1</v>
      </c>
      <c r="F66" t="s">
        <v>48</v>
      </c>
      <c r="G66" t="s">
        <v>11</v>
      </c>
      <c r="H66" t="s">
        <v>12</v>
      </c>
      <c r="I66" t="s">
        <v>13</v>
      </c>
      <c r="J66">
        <v>0</v>
      </c>
      <c r="K66" t="s">
        <v>108</v>
      </c>
      <c r="L66" t="s">
        <v>109</v>
      </c>
      <c r="M66" t="s">
        <v>94</v>
      </c>
      <c r="N66" t="s">
        <v>112</v>
      </c>
      <c r="O66" t="s">
        <v>110</v>
      </c>
    </row>
    <row r="67" spans="1:15" x14ac:dyDescent="0.3">
      <c r="A67" t="s">
        <v>14</v>
      </c>
      <c r="B67">
        <v>47</v>
      </c>
      <c r="C67">
        <v>1</v>
      </c>
      <c r="D67">
        <v>1</v>
      </c>
      <c r="E67">
        <v>1</v>
      </c>
      <c r="F67" t="s">
        <v>49</v>
      </c>
      <c r="G67" t="s">
        <v>16</v>
      </c>
      <c r="H67" t="s">
        <v>12</v>
      </c>
      <c r="I67" t="s">
        <v>13</v>
      </c>
      <c r="J67">
        <v>1</v>
      </c>
      <c r="K67" t="s">
        <v>108</v>
      </c>
      <c r="L67" t="s">
        <v>95</v>
      </c>
      <c r="M67" t="s">
        <v>94</v>
      </c>
      <c r="N67" t="s">
        <v>116</v>
      </c>
      <c r="O67" t="s">
        <v>115</v>
      </c>
    </row>
    <row r="68" spans="1:15" x14ac:dyDescent="0.3">
      <c r="A68" t="s">
        <v>9</v>
      </c>
      <c r="B68">
        <v>28</v>
      </c>
      <c r="C68">
        <v>1</v>
      </c>
      <c r="D68">
        <v>1</v>
      </c>
      <c r="E68">
        <v>1</v>
      </c>
      <c r="F68" t="s">
        <v>38</v>
      </c>
      <c r="G68" t="s">
        <v>11</v>
      </c>
      <c r="H68" t="s">
        <v>18</v>
      </c>
      <c r="I68" t="s">
        <v>13</v>
      </c>
      <c r="J68">
        <v>1</v>
      </c>
      <c r="K68" t="s">
        <v>114</v>
      </c>
      <c r="L68" t="s">
        <v>95</v>
      </c>
      <c r="M68" t="s">
        <v>94</v>
      </c>
      <c r="N68" t="s">
        <v>116</v>
      </c>
      <c r="O68" t="s">
        <v>115</v>
      </c>
    </row>
    <row r="69" spans="1:15" x14ac:dyDescent="0.3">
      <c r="A69" t="s">
        <v>9</v>
      </c>
      <c r="B69">
        <v>38</v>
      </c>
      <c r="C69">
        <v>1</v>
      </c>
      <c r="D69">
        <v>1</v>
      </c>
      <c r="E69">
        <v>0</v>
      </c>
      <c r="F69" t="s">
        <v>49</v>
      </c>
      <c r="G69" t="s">
        <v>16</v>
      </c>
      <c r="H69" t="s">
        <v>23</v>
      </c>
      <c r="I69" t="s">
        <v>13</v>
      </c>
      <c r="J69">
        <v>1</v>
      </c>
      <c r="K69" t="s">
        <v>114</v>
      </c>
      <c r="L69" t="s">
        <v>95</v>
      </c>
      <c r="M69" t="s">
        <v>111</v>
      </c>
      <c r="N69" t="s">
        <v>116</v>
      </c>
      <c r="O69" t="s">
        <v>115</v>
      </c>
    </row>
    <row r="70" spans="1:15" x14ac:dyDescent="0.3">
      <c r="A70" t="s">
        <v>9</v>
      </c>
      <c r="B70">
        <v>11</v>
      </c>
      <c r="C70">
        <v>1</v>
      </c>
      <c r="D70">
        <v>1</v>
      </c>
      <c r="E70">
        <v>0</v>
      </c>
      <c r="F70" t="s">
        <v>25</v>
      </c>
      <c r="G70" t="s">
        <v>11</v>
      </c>
      <c r="H70" t="s">
        <v>23</v>
      </c>
      <c r="I70" t="s">
        <v>13</v>
      </c>
      <c r="J70">
        <v>1</v>
      </c>
      <c r="K70" t="s">
        <v>118</v>
      </c>
      <c r="L70" t="s">
        <v>95</v>
      </c>
      <c r="M70" t="s">
        <v>111</v>
      </c>
      <c r="N70" t="s">
        <v>116</v>
      </c>
      <c r="O70" t="s">
        <v>115</v>
      </c>
    </row>
    <row r="71" spans="1:15" x14ac:dyDescent="0.3">
      <c r="A71" t="s">
        <v>9</v>
      </c>
      <c r="B71">
        <v>65</v>
      </c>
      <c r="C71">
        <v>0</v>
      </c>
      <c r="D71">
        <v>0</v>
      </c>
      <c r="E71">
        <v>0</v>
      </c>
      <c r="F71" t="s">
        <v>28</v>
      </c>
      <c r="G71" t="s">
        <v>16</v>
      </c>
      <c r="H71" t="s">
        <v>23</v>
      </c>
      <c r="I71" t="s">
        <v>13</v>
      </c>
      <c r="J71">
        <v>0</v>
      </c>
      <c r="K71" t="s">
        <v>119</v>
      </c>
      <c r="L71" t="s">
        <v>109</v>
      </c>
      <c r="M71" t="s">
        <v>111</v>
      </c>
      <c r="N71" t="s">
        <v>112</v>
      </c>
      <c r="O71" t="s">
        <v>110</v>
      </c>
    </row>
    <row r="72" spans="1:15" x14ac:dyDescent="0.3">
      <c r="A72" t="s">
        <v>14</v>
      </c>
      <c r="B72">
        <v>17</v>
      </c>
      <c r="C72">
        <v>1</v>
      </c>
      <c r="D72">
        <v>1</v>
      </c>
      <c r="E72">
        <v>0</v>
      </c>
      <c r="F72" t="s">
        <v>19</v>
      </c>
      <c r="G72" t="s">
        <v>11</v>
      </c>
      <c r="H72" t="s">
        <v>18</v>
      </c>
      <c r="I72" t="s">
        <v>13</v>
      </c>
      <c r="J72">
        <v>1</v>
      </c>
      <c r="K72" t="s">
        <v>113</v>
      </c>
      <c r="L72" t="s">
        <v>95</v>
      </c>
      <c r="M72" t="s">
        <v>111</v>
      </c>
      <c r="N72" t="s">
        <v>116</v>
      </c>
      <c r="O72" t="s">
        <v>115</v>
      </c>
    </row>
    <row r="73" spans="1:15" x14ac:dyDescent="0.3">
      <c r="A73" t="s">
        <v>14</v>
      </c>
      <c r="B73">
        <v>64</v>
      </c>
      <c r="C73">
        <v>0</v>
      </c>
      <c r="D73">
        <v>0</v>
      </c>
      <c r="E73">
        <v>0</v>
      </c>
      <c r="F73" t="s">
        <v>50</v>
      </c>
      <c r="G73" t="s">
        <v>16</v>
      </c>
      <c r="H73" t="s">
        <v>23</v>
      </c>
      <c r="I73" t="s">
        <v>13</v>
      </c>
      <c r="J73">
        <v>0</v>
      </c>
      <c r="K73" t="s">
        <v>108</v>
      </c>
      <c r="L73" t="s">
        <v>109</v>
      </c>
      <c r="M73" t="s">
        <v>111</v>
      </c>
      <c r="N73" t="s">
        <v>112</v>
      </c>
      <c r="O73" t="s">
        <v>110</v>
      </c>
    </row>
    <row r="74" spans="1:15" x14ac:dyDescent="0.3">
      <c r="A74" t="s">
        <v>9</v>
      </c>
      <c r="B74">
        <v>45</v>
      </c>
      <c r="C74">
        <v>1</v>
      </c>
      <c r="D74">
        <v>1</v>
      </c>
      <c r="E74">
        <v>1</v>
      </c>
      <c r="F74" t="s">
        <v>34</v>
      </c>
      <c r="G74" t="s">
        <v>11</v>
      </c>
      <c r="H74" t="s">
        <v>23</v>
      </c>
      <c r="I74" t="s">
        <v>13</v>
      </c>
      <c r="J74">
        <v>1</v>
      </c>
      <c r="K74" t="s">
        <v>108</v>
      </c>
      <c r="L74" t="s">
        <v>95</v>
      </c>
      <c r="M74" t="s">
        <v>94</v>
      </c>
      <c r="N74" t="s">
        <v>116</v>
      </c>
      <c r="O74" t="s">
        <v>115</v>
      </c>
    </row>
    <row r="75" spans="1:15" x14ac:dyDescent="0.3">
      <c r="A75" t="s">
        <v>9</v>
      </c>
      <c r="B75">
        <v>10</v>
      </c>
      <c r="C75">
        <v>1</v>
      </c>
      <c r="D75">
        <v>1</v>
      </c>
      <c r="E75">
        <v>0</v>
      </c>
      <c r="F75" t="s">
        <v>48</v>
      </c>
      <c r="G75" t="s">
        <v>16</v>
      </c>
      <c r="H75" t="s">
        <v>12</v>
      </c>
      <c r="I75" t="s">
        <v>13</v>
      </c>
      <c r="J75">
        <v>1</v>
      </c>
      <c r="K75" t="s">
        <v>118</v>
      </c>
      <c r="L75" t="s">
        <v>95</v>
      </c>
      <c r="M75" t="s">
        <v>111</v>
      </c>
      <c r="N75" t="s">
        <v>116</v>
      </c>
      <c r="O75" t="s">
        <v>115</v>
      </c>
    </row>
    <row r="76" spans="1:15" x14ac:dyDescent="0.3">
      <c r="A76" t="s">
        <v>14</v>
      </c>
      <c r="B76">
        <v>49</v>
      </c>
      <c r="C76">
        <v>1</v>
      </c>
      <c r="D76">
        <v>1</v>
      </c>
      <c r="E76">
        <v>1</v>
      </c>
      <c r="F76" t="s">
        <v>43</v>
      </c>
      <c r="G76" t="s">
        <v>11</v>
      </c>
      <c r="H76" t="s">
        <v>18</v>
      </c>
      <c r="I76" t="s">
        <v>13</v>
      </c>
      <c r="J76">
        <v>1</v>
      </c>
      <c r="K76" t="s">
        <v>108</v>
      </c>
      <c r="L76" t="s">
        <v>95</v>
      </c>
      <c r="M76" t="s">
        <v>94</v>
      </c>
      <c r="N76" t="s">
        <v>116</v>
      </c>
      <c r="O76" t="s">
        <v>115</v>
      </c>
    </row>
    <row r="77" spans="1:15" x14ac:dyDescent="0.3">
      <c r="A77" t="s">
        <v>14</v>
      </c>
      <c r="B77">
        <v>61</v>
      </c>
      <c r="C77">
        <v>0</v>
      </c>
      <c r="D77">
        <v>0</v>
      </c>
      <c r="E77">
        <v>1</v>
      </c>
      <c r="F77" t="s">
        <v>36</v>
      </c>
      <c r="G77" t="s">
        <v>16</v>
      </c>
      <c r="H77" t="s">
        <v>23</v>
      </c>
      <c r="I77" t="s">
        <v>13</v>
      </c>
      <c r="J77">
        <v>0</v>
      </c>
      <c r="K77" t="s">
        <v>108</v>
      </c>
      <c r="L77" t="s">
        <v>109</v>
      </c>
      <c r="M77" t="s">
        <v>94</v>
      </c>
      <c r="N77" t="s">
        <v>112</v>
      </c>
      <c r="O77" t="s">
        <v>110</v>
      </c>
    </row>
    <row r="78" spans="1:15" x14ac:dyDescent="0.3">
      <c r="A78" t="s">
        <v>9</v>
      </c>
      <c r="B78">
        <v>61</v>
      </c>
      <c r="C78">
        <v>1</v>
      </c>
      <c r="D78">
        <v>1</v>
      </c>
      <c r="E78">
        <v>1</v>
      </c>
      <c r="F78" t="s">
        <v>38</v>
      </c>
      <c r="G78" t="s">
        <v>11</v>
      </c>
      <c r="H78" t="s">
        <v>18</v>
      </c>
      <c r="I78" t="s">
        <v>13</v>
      </c>
      <c r="J78">
        <v>1</v>
      </c>
      <c r="K78" t="s">
        <v>108</v>
      </c>
      <c r="L78" t="s">
        <v>95</v>
      </c>
      <c r="M78" t="s">
        <v>94</v>
      </c>
      <c r="N78" t="s">
        <v>116</v>
      </c>
      <c r="O78" t="s">
        <v>115</v>
      </c>
    </row>
    <row r="79" spans="1:15" x14ac:dyDescent="0.3">
      <c r="A79" t="s">
        <v>14</v>
      </c>
      <c r="B79">
        <v>21</v>
      </c>
      <c r="C79">
        <v>0</v>
      </c>
      <c r="D79">
        <v>0</v>
      </c>
      <c r="E79">
        <v>1</v>
      </c>
      <c r="F79" t="s">
        <v>21</v>
      </c>
      <c r="G79" t="s">
        <v>16</v>
      </c>
      <c r="H79" t="s">
        <v>12</v>
      </c>
      <c r="I79" t="s">
        <v>13</v>
      </c>
      <c r="J79">
        <v>0</v>
      </c>
      <c r="K79" t="s">
        <v>117</v>
      </c>
      <c r="L79" t="s">
        <v>109</v>
      </c>
      <c r="M79" t="s">
        <v>94</v>
      </c>
      <c r="N79" t="s">
        <v>112</v>
      </c>
      <c r="O79" t="s">
        <v>110</v>
      </c>
    </row>
    <row r="80" spans="1:15" x14ac:dyDescent="0.3">
      <c r="A80" t="s">
        <v>14</v>
      </c>
      <c r="B80">
        <v>64</v>
      </c>
      <c r="C80">
        <v>1</v>
      </c>
      <c r="D80">
        <v>1</v>
      </c>
      <c r="E80">
        <v>1</v>
      </c>
      <c r="F80" t="s">
        <v>32</v>
      </c>
      <c r="G80" t="s">
        <v>11</v>
      </c>
      <c r="H80" t="s">
        <v>18</v>
      </c>
      <c r="I80" t="s">
        <v>13</v>
      </c>
      <c r="J80">
        <v>1</v>
      </c>
      <c r="K80" t="s">
        <v>108</v>
      </c>
      <c r="L80" t="s">
        <v>95</v>
      </c>
      <c r="M80" t="s">
        <v>94</v>
      </c>
      <c r="N80" t="s">
        <v>116</v>
      </c>
      <c r="O80" t="s">
        <v>115</v>
      </c>
    </row>
    <row r="81" spans="1:15" x14ac:dyDescent="0.3">
      <c r="A81" t="s">
        <v>9</v>
      </c>
      <c r="B81">
        <v>24</v>
      </c>
      <c r="C81">
        <v>0</v>
      </c>
      <c r="D81">
        <v>0</v>
      </c>
      <c r="E81">
        <v>0</v>
      </c>
      <c r="F81" t="s">
        <v>31</v>
      </c>
      <c r="G81" t="s">
        <v>16</v>
      </c>
      <c r="H81" t="s">
        <v>23</v>
      </c>
      <c r="I81" t="s">
        <v>13</v>
      </c>
      <c r="J81">
        <v>0</v>
      </c>
      <c r="K81" t="s">
        <v>117</v>
      </c>
      <c r="L81" t="s">
        <v>109</v>
      </c>
      <c r="M81" t="s">
        <v>111</v>
      </c>
      <c r="N81" t="s">
        <v>112</v>
      </c>
      <c r="O81" t="s">
        <v>110</v>
      </c>
    </row>
    <row r="82" spans="1:15" x14ac:dyDescent="0.3">
      <c r="A82" t="s">
        <v>9</v>
      </c>
      <c r="B82">
        <v>62</v>
      </c>
      <c r="C82">
        <v>1</v>
      </c>
      <c r="D82">
        <v>1</v>
      </c>
      <c r="E82">
        <v>0</v>
      </c>
      <c r="F82" t="s">
        <v>31</v>
      </c>
      <c r="G82" t="s">
        <v>11</v>
      </c>
      <c r="H82" t="s">
        <v>12</v>
      </c>
      <c r="I82" t="s">
        <v>13</v>
      </c>
      <c r="J82">
        <v>1</v>
      </c>
      <c r="K82" t="s">
        <v>108</v>
      </c>
      <c r="L82" t="s">
        <v>95</v>
      </c>
      <c r="M82" t="s">
        <v>111</v>
      </c>
      <c r="N82" t="s">
        <v>116</v>
      </c>
      <c r="O82" t="s">
        <v>115</v>
      </c>
    </row>
    <row r="83" spans="1:15" x14ac:dyDescent="0.3">
      <c r="A83" t="s">
        <v>14</v>
      </c>
      <c r="B83">
        <v>59</v>
      </c>
      <c r="C83">
        <v>1</v>
      </c>
      <c r="D83">
        <v>1</v>
      </c>
      <c r="E83">
        <v>1</v>
      </c>
      <c r="F83" t="s">
        <v>28</v>
      </c>
      <c r="G83" t="s">
        <v>16</v>
      </c>
      <c r="H83" t="s">
        <v>18</v>
      </c>
      <c r="I83" t="s">
        <v>13</v>
      </c>
      <c r="J83">
        <v>1</v>
      </c>
      <c r="K83" t="s">
        <v>108</v>
      </c>
      <c r="L83" t="s">
        <v>95</v>
      </c>
      <c r="M83" t="s">
        <v>94</v>
      </c>
      <c r="N83" t="s">
        <v>116</v>
      </c>
      <c r="O83" t="s">
        <v>115</v>
      </c>
    </row>
    <row r="84" spans="1:15" x14ac:dyDescent="0.3">
      <c r="A84" t="s">
        <v>14</v>
      </c>
      <c r="B84">
        <v>44</v>
      </c>
      <c r="C84">
        <v>0</v>
      </c>
      <c r="D84">
        <v>0</v>
      </c>
      <c r="E84">
        <v>0</v>
      </c>
      <c r="F84" t="s">
        <v>22</v>
      </c>
      <c r="G84" t="s">
        <v>11</v>
      </c>
      <c r="H84" t="s">
        <v>23</v>
      </c>
      <c r="I84" t="s">
        <v>13</v>
      </c>
      <c r="J84">
        <v>0</v>
      </c>
      <c r="K84" t="s">
        <v>114</v>
      </c>
      <c r="L84" t="s">
        <v>109</v>
      </c>
      <c r="M84" t="s">
        <v>111</v>
      </c>
      <c r="N84" t="s">
        <v>112</v>
      </c>
      <c r="O84" t="s">
        <v>110</v>
      </c>
    </row>
    <row r="85" spans="1:15" x14ac:dyDescent="0.3">
      <c r="A85" t="s">
        <v>9</v>
      </c>
      <c r="B85">
        <v>12</v>
      </c>
      <c r="C85">
        <v>1</v>
      </c>
      <c r="D85">
        <v>1</v>
      </c>
      <c r="E85">
        <v>0</v>
      </c>
      <c r="F85" t="s">
        <v>47</v>
      </c>
      <c r="G85" t="s">
        <v>16</v>
      </c>
      <c r="H85" t="s">
        <v>18</v>
      </c>
      <c r="I85" t="s">
        <v>13</v>
      </c>
      <c r="J85">
        <v>1</v>
      </c>
      <c r="K85" t="s">
        <v>118</v>
      </c>
      <c r="L85" t="s">
        <v>95</v>
      </c>
      <c r="M85" t="s">
        <v>111</v>
      </c>
      <c r="N85" t="s">
        <v>116</v>
      </c>
      <c r="O85" t="s">
        <v>115</v>
      </c>
    </row>
    <row r="86" spans="1:15" x14ac:dyDescent="0.3">
      <c r="A86" t="s">
        <v>9</v>
      </c>
      <c r="B86">
        <v>29</v>
      </c>
      <c r="C86">
        <v>1</v>
      </c>
      <c r="D86">
        <v>1</v>
      </c>
      <c r="E86">
        <v>1</v>
      </c>
      <c r="F86" t="s">
        <v>30</v>
      </c>
      <c r="G86" t="s">
        <v>11</v>
      </c>
      <c r="H86" t="s">
        <v>23</v>
      </c>
      <c r="I86" t="s">
        <v>13</v>
      </c>
      <c r="J86">
        <v>1</v>
      </c>
      <c r="K86" t="s">
        <v>114</v>
      </c>
      <c r="L86" t="s">
        <v>95</v>
      </c>
      <c r="M86" t="s">
        <v>94</v>
      </c>
      <c r="N86" t="s">
        <v>116</v>
      </c>
      <c r="O86" t="s">
        <v>115</v>
      </c>
    </row>
    <row r="87" spans="1:15" x14ac:dyDescent="0.3">
      <c r="A87" t="s">
        <v>14</v>
      </c>
      <c r="B87">
        <v>38</v>
      </c>
      <c r="C87">
        <v>0</v>
      </c>
      <c r="D87">
        <v>0</v>
      </c>
      <c r="E87">
        <v>0</v>
      </c>
      <c r="F87" t="s">
        <v>35</v>
      </c>
      <c r="G87" t="s">
        <v>16</v>
      </c>
      <c r="H87" t="s">
        <v>12</v>
      </c>
      <c r="I87" t="s">
        <v>13</v>
      </c>
      <c r="J87">
        <v>0</v>
      </c>
      <c r="K87" t="s">
        <v>114</v>
      </c>
      <c r="L87" t="s">
        <v>109</v>
      </c>
      <c r="M87" t="s">
        <v>111</v>
      </c>
      <c r="N87" t="s">
        <v>112</v>
      </c>
      <c r="O87" t="s">
        <v>110</v>
      </c>
    </row>
    <row r="88" spans="1:15" x14ac:dyDescent="0.3">
      <c r="A88" t="s">
        <v>9</v>
      </c>
      <c r="B88">
        <v>45</v>
      </c>
      <c r="C88">
        <v>1</v>
      </c>
      <c r="D88">
        <v>1</v>
      </c>
      <c r="E88">
        <v>0</v>
      </c>
      <c r="F88" t="s">
        <v>44</v>
      </c>
      <c r="G88" t="s">
        <v>11</v>
      </c>
      <c r="H88" t="s">
        <v>12</v>
      </c>
      <c r="I88" t="s">
        <v>13</v>
      </c>
      <c r="J88">
        <v>1</v>
      </c>
      <c r="K88" t="s">
        <v>108</v>
      </c>
      <c r="L88" t="s">
        <v>95</v>
      </c>
      <c r="M88" t="s">
        <v>111</v>
      </c>
      <c r="N88" t="s">
        <v>116</v>
      </c>
      <c r="O88" t="s">
        <v>115</v>
      </c>
    </row>
    <row r="89" spans="1:15" x14ac:dyDescent="0.3">
      <c r="A89" t="s">
        <v>9</v>
      </c>
      <c r="B89">
        <v>54</v>
      </c>
      <c r="C89">
        <v>1</v>
      </c>
      <c r="D89">
        <v>1</v>
      </c>
      <c r="E89">
        <v>1</v>
      </c>
      <c r="F89" t="s">
        <v>43</v>
      </c>
      <c r="G89" t="s">
        <v>16</v>
      </c>
      <c r="H89" t="s">
        <v>12</v>
      </c>
      <c r="I89" t="s">
        <v>13</v>
      </c>
      <c r="J89">
        <v>1</v>
      </c>
      <c r="K89" t="s">
        <v>108</v>
      </c>
      <c r="L89" t="s">
        <v>95</v>
      </c>
      <c r="M89" t="s">
        <v>94</v>
      </c>
      <c r="N89" t="s">
        <v>116</v>
      </c>
      <c r="O89" t="s">
        <v>115</v>
      </c>
    </row>
    <row r="90" spans="1:15" x14ac:dyDescent="0.3">
      <c r="A90" t="s">
        <v>9</v>
      </c>
      <c r="B90">
        <v>50</v>
      </c>
      <c r="C90">
        <v>1</v>
      </c>
      <c r="D90">
        <v>1</v>
      </c>
      <c r="E90">
        <v>1</v>
      </c>
      <c r="F90" t="s">
        <v>46</v>
      </c>
      <c r="G90" t="s">
        <v>11</v>
      </c>
      <c r="H90" t="s">
        <v>23</v>
      </c>
      <c r="I90" t="s">
        <v>13</v>
      </c>
      <c r="J90">
        <v>1</v>
      </c>
      <c r="K90" t="s">
        <v>108</v>
      </c>
      <c r="L90" t="s">
        <v>95</v>
      </c>
      <c r="M90" t="s">
        <v>94</v>
      </c>
      <c r="N90" t="s">
        <v>116</v>
      </c>
      <c r="O90" t="s">
        <v>115</v>
      </c>
    </row>
    <row r="91" spans="1:15" x14ac:dyDescent="0.3">
      <c r="A91" t="s">
        <v>9</v>
      </c>
      <c r="B91">
        <v>39</v>
      </c>
      <c r="C91">
        <v>1</v>
      </c>
      <c r="D91">
        <v>1</v>
      </c>
      <c r="E91">
        <v>0</v>
      </c>
      <c r="F91" t="s">
        <v>39</v>
      </c>
      <c r="G91" t="s">
        <v>16</v>
      </c>
      <c r="H91" t="s">
        <v>12</v>
      </c>
      <c r="I91" t="s">
        <v>13</v>
      </c>
      <c r="J91">
        <v>1</v>
      </c>
      <c r="K91" t="s">
        <v>114</v>
      </c>
      <c r="L91" t="s">
        <v>95</v>
      </c>
      <c r="M91" t="s">
        <v>111</v>
      </c>
      <c r="N91" t="s">
        <v>116</v>
      </c>
      <c r="O91" t="s">
        <v>115</v>
      </c>
    </row>
    <row r="92" spans="1:15" x14ac:dyDescent="0.3">
      <c r="A92" t="s">
        <v>9</v>
      </c>
      <c r="B92">
        <v>53</v>
      </c>
      <c r="C92">
        <v>0</v>
      </c>
      <c r="D92">
        <v>0</v>
      </c>
      <c r="E92">
        <v>0</v>
      </c>
      <c r="F92" t="s">
        <v>46</v>
      </c>
      <c r="G92" t="s">
        <v>11</v>
      </c>
      <c r="H92" t="s">
        <v>18</v>
      </c>
      <c r="I92" t="s">
        <v>13</v>
      </c>
      <c r="J92">
        <v>0</v>
      </c>
      <c r="K92" t="s">
        <v>108</v>
      </c>
      <c r="L92" t="s">
        <v>109</v>
      </c>
      <c r="M92" t="s">
        <v>111</v>
      </c>
      <c r="N92" t="s">
        <v>112</v>
      </c>
      <c r="O92" t="s">
        <v>110</v>
      </c>
    </row>
    <row r="93" spans="1:15" x14ac:dyDescent="0.3">
      <c r="A93" t="s">
        <v>14</v>
      </c>
      <c r="B93">
        <v>64</v>
      </c>
      <c r="C93">
        <v>1</v>
      </c>
      <c r="D93">
        <v>1</v>
      </c>
      <c r="E93">
        <v>1</v>
      </c>
      <c r="F93" t="s">
        <v>10</v>
      </c>
      <c r="G93" t="s">
        <v>16</v>
      </c>
      <c r="H93" t="s">
        <v>12</v>
      </c>
      <c r="I93" t="s">
        <v>13</v>
      </c>
      <c r="J93">
        <v>1</v>
      </c>
      <c r="K93" t="s">
        <v>108</v>
      </c>
      <c r="L93" t="s">
        <v>95</v>
      </c>
      <c r="M93" t="s">
        <v>94</v>
      </c>
      <c r="N93" t="s">
        <v>116</v>
      </c>
      <c r="O93" t="s">
        <v>115</v>
      </c>
    </row>
    <row r="94" spans="1:15" x14ac:dyDescent="0.3">
      <c r="A94" t="s">
        <v>9</v>
      </c>
      <c r="B94">
        <v>60</v>
      </c>
      <c r="C94">
        <v>1</v>
      </c>
      <c r="D94">
        <v>1</v>
      </c>
      <c r="E94">
        <v>1</v>
      </c>
      <c r="F94" t="s">
        <v>50</v>
      </c>
      <c r="G94" t="s">
        <v>11</v>
      </c>
      <c r="H94" t="s">
        <v>18</v>
      </c>
      <c r="I94" t="s">
        <v>13</v>
      </c>
      <c r="J94">
        <v>1</v>
      </c>
      <c r="K94" t="s">
        <v>108</v>
      </c>
      <c r="L94" t="s">
        <v>95</v>
      </c>
      <c r="M94" t="s">
        <v>94</v>
      </c>
      <c r="N94" t="s">
        <v>116</v>
      </c>
      <c r="O94" t="s">
        <v>115</v>
      </c>
    </row>
    <row r="95" spans="1:15" x14ac:dyDescent="0.3">
      <c r="A95" t="s">
        <v>9</v>
      </c>
      <c r="B95">
        <v>45</v>
      </c>
      <c r="C95">
        <v>0</v>
      </c>
      <c r="D95">
        <v>0</v>
      </c>
      <c r="E95">
        <v>1</v>
      </c>
      <c r="F95" t="s">
        <v>40</v>
      </c>
      <c r="G95" t="s">
        <v>16</v>
      </c>
      <c r="H95" t="s">
        <v>18</v>
      </c>
      <c r="I95" t="s">
        <v>13</v>
      </c>
      <c r="J95">
        <v>0</v>
      </c>
      <c r="K95" t="s">
        <v>108</v>
      </c>
      <c r="L95" t="s">
        <v>109</v>
      </c>
      <c r="M95" t="s">
        <v>94</v>
      </c>
      <c r="N95" t="s">
        <v>112</v>
      </c>
      <c r="O95" t="s">
        <v>110</v>
      </c>
    </row>
    <row r="96" spans="1:15" x14ac:dyDescent="0.3">
      <c r="A96" t="s">
        <v>14</v>
      </c>
      <c r="B96">
        <v>32</v>
      </c>
      <c r="C96">
        <v>0</v>
      </c>
      <c r="D96">
        <v>0</v>
      </c>
      <c r="E96">
        <v>0</v>
      </c>
      <c r="F96" t="s">
        <v>44</v>
      </c>
      <c r="G96" t="s">
        <v>11</v>
      </c>
      <c r="H96" t="s">
        <v>18</v>
      </c>
      <c r="I96" t="s">
        <v>13</v>
      </c>
      <c r="J96">
        <v>0</v>
      </c>
      <c r="K96" t="s">
        <v>114</v>
      </c>
      <c r="L96" t="s">
        <v>109</v>
      </c>
      <c r="M96" t="s">
        <v>111</v>
      </c>
      <c r="N96" t="s">
        <v>112</v>
      </c>
      <c r="O96" t="s">
        <v>110</v>
      </c>
    </row>
    <row r="97" spans="1:15" x14ac:dyDescent="0.3">
      <c r="A97" t="s">
        <v>9</v>
      </c>
      <c r="B97">
        <v>26</v>
      </c>
      <c r="C97">
        <v>0</v>
      </c>
      <c r="D97">
        <v>0</v>
      </c>
      <c r="E97">
        <v>0</v>
      </c>
      <c r="F97" t="s">
        <v>39</v>
      </c>
      <c r="G97" t="s">
        <v>16</v>
      </c>
      <c r="H97" t="s">
        <v>12</v>
      </c>
      <c r="I97" t="s">
        <v>13</v>
      </c>
      <c r="J97">
        <v>0</v>
      </c>
      <c r="K97" t="s">
        <v>114</v>
      </c>
      <c r="L97" t="s">
        <v>109</v>
      </c>
      <c r="M97" t="s">
        <v>111</v>
      </c>
      <c r="N97" t="s">
        <v>112</v>
      </c>
      <c r="O97" t="s">
        <v>110</v>
      </c>
    </row>
    <row r="98" spans="1:15" x14ac:dyDescent="0.3">
      <c r="A98" t="s">
        <v>9</v>
      </c>
      <c r="B98">
        <v>58</v>
      </c>
      <c r="C98">
        <v>1</v>
      </c>
      <c r="D98">
        <v>1</v>
      </c>
      <c r="E98">
        <v>1</v>
      </c>
      <c r="F98" t="s">
        <v>51</v>
      </c>
      <c r="G98" t="s">
        <v>11</v>
      </c>
      <c r="H98" t="s">
        <v>12</v>
      </c>
      <c r="I98" t="s">
        <v>13</v>
      </c>
      <c r="J98">
        <v>1</v>
      </c>
      <c r="K98" t="s">
        <v>108</v>
      </c>
      <c r="L98" t="s">
        <v>95</v>
      </c>
      <c r="M98" t="s">
        <v>94</v>
      </c>
      <c r="N98" t="s">
        <v>116</v>
      </c>
      <c r="O98" t="s">
        <v>115</v>
      </c>
    </row>
    <row r="99" spans="1:15" x14ac:dyDescent="0.3">
      <c r="A99" t="s">
        <v>9</v>
      </c>
      <c r="B99">
        <v>23</v>
      </c>
      <c r="C99">
        <v>1</v>
      </c>
      <c r="D99">
        <v>1</v>
      </c>
      <c r="E99">
        <v>0</v>
      </c>
      <c r="F99" t="s">
        <v>37</v>
      </c>
      <c r="G99" t="s">
        <v>16</v>
      </c>
      <c r="H99" t="s">
        <v>23</v>
      </c>
      <c r="I99" t="s">
        <v>13</v>
      </c>
      <c r="J99">
        <v>1</v>
      </c>
      <c r="K99" t="s">
        <v>117</v>
      </c>
      <c r="L99" t="s">
        <v>95</v>
      </c>
      <c r="M99" t="s">
        <v>111</v>
      </c>
      <c r="N99" t="s">
        <v>116</v>
      </c>
      <c r="O99" t="s">
        <v>115</v>
      </c>
    </row>
    <row r="100" spans="1:15" x14ac:dyDescent="0.3">
      <c r="A100" t="s">
        <v>14</v>
      </c>
      <c r="B100">
        <v>30</v>
      </c>
      <c r="C100">
        <v>0</v>
      </c>
      <c r="D100">
        <v>0</v>
      </c>
      <c r="E100">
        <v>1</v>
      </c>
      <c r="F100" t="s">
        <v>28</v>
      </c>
      <c r="G100" t="s">
        <v>11</v>
      </c>
      <c r="H100" t="s">
        <v>23</v>
      </c>
      <c r="I100" t="s">
        <v>13</v>
      </c>
      <c r="J100">
        <v>0</v>
      </c>
      <c r="K100" t="s">
        <v>114</v>
      </c>
      <c r="L100" t="s">
        <v>109</v>
      </c>
      <c r="M100" t="s">
        <v>94</v>
      </c>
      <c r="N100" t="s">
        <v>112</v>
      </c>
      <c r="O100" t="s">
        <v>110</v>
      </c>
    </row>
    <row r="101" spans="1:15" x14ac:dyDescent="0.3">
      <c r="A101" t="s">
        <v>9</v>
      </c>
      <c r="B101">
        <v>62</v>
      </c>
      <c r="C101">
        <v>0</v>
      </c>
      <c r="D101">
        <v>0</v>
      </c>
      <c r="E101">
        <v>0</v>
      </c>
      <c r="F101" t="s">
        <v>51</v>
      </c>
      <c r="G101" t="s">
        <v>16</v>
      </c>
      <c r="H101" t="s">
        <v>23</v>
      </c>
      <c r="I101" t="s">
        <v>13</v>
      </c>
      <c r="J101">
        <v>0</v>
      </c>
      <c r="K101" t="s">
        <v>108</v>
      </c>
      <c r="L101" t="s">
        <v>109</v>
      </c>
      <c r="M101" t="s">
        <v>111</v>
      </c>
      <c r="N101" t="s">
        <v>112</v>
      </c>
      <c r="O101" t="s">
        <v>110</v>
      </c>
    </row>
    <row r="102" spans="1:15" x14ac:dyDescent="0.3">
      <c r="A102" t="s">
        <v>9</v>
      </c>
      <c r="B102">
        <v>34</v>
      </c>
      <c r="C102">
        <v>0</v>
      </c>
      <c r="D102">
        <v>0</v>
      </c>
      <c r="E102">
        <v>0</v>
      </c>
      <c r="F102" t="s">
        <v>41</v>
      </c>
      <c r="G102" t="s">
        <v>11</v>
      </c>
      <c r="H102" t="s">
        <v>18</v>
      </c>
      <c r="I102" t="s">
        <v>13</v>
      </c>
      <c r="J102">
        <v>0</v>
      </c>
      <c r="K102" t="s">
        <v>114</v>
      </c>
      <c r="L102" t="s">
        <v>109</v>
      </c>
      <c r="M102" t="s">
        <v>111</v>
      </c>
      <c r="N102" t="s">
        <v>112</v>
      </c>
      <c r="O102" t="s">
        <v>110</v>
      </c>
    </row>
    <row r="103" spans="1:15" x14ac:dyDescent="0.3">
      <c r="A103" t="s">
        <v>9</v>
      </c>
      <c r="B103">
        <v>58</v>
      </c>
      <c r="C103">
        <v>0</v>
      </c>
      <c r="D103">
        <v>0</v>
      </c>
      <c r="E103">
        <v>0</v>
      </c>
      <c r="F103" t="s">
        <v>21</v>
      </c>
      <c r="G103" t="s">
        <v>16</v>
      </c>
      <c r="H103" t="s">
        <v>18</v>
      </c>
      <c r="I103" t="s">
        <v>13</v>
      </c>
      <c r="J103">
        <v>0</v>
      </c>
      <c r="K103" t="s">
        <v>108</v>
      </c>
      <c r="L103" t="s">
        <v>109</v>
      </c>
      <c r="M103" t="s">
        <v>111</v>
      </c>
      <c r="N103" t="s">
        <v>112</v>
      </c>
      <c r="O103" t="s">
        <v>110</v>
      </c>
    </row>
    <row r="104" spans="1:15" x14ac:dyDescent="0.3">
      <c r="A104" t="s">
        <v>9</v>
      </c>
      <c r="B104">
        <v>51</v>
      </c>
      <c r="C104">
        <v>0</v>
      </c>
      <c r="D104">
        <v>0</v>
      </c>
      <c r="E104">
        <v>1</v>
      </c>
      <c r="F104" t="s">
        <v>29</v>
      </c>
      <c r="G104" t="s">
        <v>11</v>
      </c>
      <c r="H104" t="s">
        <v>12</v>
      </c>
      <c r="I104" t="s">
        <v>13</v>
      </c>
      <c r="J104">
        <v>0</v>
      </c>
      <c r="K104" t="s">
        <v>108</v>
      </c>
      <c r="L104" t="s">
        <v>109</v>
      </c>
      <c r="M104" t="s">
        <v>94</v>
      </c>
      <c r="N104" t="s">
        <v>112</v>
      </c>
      <c r="O104" t="s">
        <v>110</v>
      </c>
    </row>
    <row r="105" spans="1:15" x14ac:dyDescent="0.3">
      <c r="A105" t="s">
        <v>9</v>
      </c>
      <c r="B105">
        <v>50</v>
      </c>
      <c r="C105">
        <v>1</v>
      </c>
      <c r="D105">
        <v>1</v>
      </c>
      <c r="E105">
        <v>0</v>
      </c>
      <c r="F105" t="s">
        <v>38</v>
      </c>
      <c r="G105" t="s">
        <v>16</v>
      </c>
      <c r="H105" t="s">
        <v>23</v>
      </c>
      <c r="I105" t="s">
        <v>13</v>
      </c>
      <c r="J105">
        <v>1</v>
      </c>
      <c r="K105" t="s">
        <v>108</v>
      </c>
      <c r="L105" t="s">
        <v>95</v>
      </c>
      <c r="M105" t="s">
        <v>111</v>
      </c>
      <c r="N105" t="s">
        <v>116</v>
      </c>
      <c r="O105" t="s">
        <v>115</v>
      </c>
    </row>
    <row r="106" spans="1:15" x14ac:dyDescent="0.3">
      <c r="A106" t="s">
        <v>9</v>
      </c>
      <c r="B106">
        <v>9</v>
      </c>
      <c r="C106">
        <v>0</v>
      </c>
      <c r="D106">
        <v>0</v>
      </c>
      <c r="E106">
        <v>0</v>
      </c>
      <c r="F106" t="s">
        <v>15</v>
      </c>
      <c r="G106" t="s">
        <v>11</v>
      </c>
      <c r="H106" t="s">
        <v>23</v>
      </c>
      <c r="I106" t="s">
        <v>13</v>
      </c>
      <c r="J106">
        <v>0</v>
      </c>
      <c r="K106" t="s">
        <v>118</v>
      </c>
      <c r="L106" t="s">
        <v>109</v>
      </c>
      <c r="M106" t="s">
        <v>111</v>
      </c>
      <c r="N106" t="s">
        <v>112</v>
      </c>
      <c r="O106" t="s">
        <v>110</v>
      </c>
    </row>
    <row r="107" spans="1:15" x14ac:dyDescent="0.3">
      <c r="A107" t="s">
        <v>9</v>
      </c>
      <c r="B107">
        <v>8</v>
      </c>
      <c r="C107">
        <v>0</v>
      </c>
      <c r="D107">
        <v>0</v>
      </c>
      <c r="E107">
        <v>1</v>
      </c>
      <c r="F107" t="s">
        <v>48</v>
      </c>
      <c r="G107" t="s">
        <v>16</v>
      </c>
      <c r="H107" t="s">
        <v>18</v>
      </c>
      <c r="I107" t="s">
        <v>13</v>
      </c>
      <c r="J107">
        <v>0</v>
      </c>
      <c r="K107" t="s">
        <v>118</v>
      </c>
      <c r="L107" t="s">
        <v>109</v>
      </c>
      <c r="M107" t="s">
        <v>94</v>
      </c>
      <c r="N107" t="s">
        <v>112</v>
      </c>
      <c r="O107" t="s">
        <v>110</v>
      </c>
    </row>
    <row r="108" spans="1:15" x14ac:dyDescent="0.3">
      <c r="A108" t="s">
        <v>14</v>
      </c>
      <c r="B108">
        <v>45</v>
      </c>
      <c r="C108">
        <v>1</v>
      </c>
      <c r="D108">
        <v>1</v>
      </c>
      <c r="E108">
        <v>1</v>
      </c>
      <c r="F108" t="s">
        <v>32</v>
      </c>
      <c r="G108" t="s">
        <v>11</v>
      </c>
      <c r="H108" t="s">
        <v>12</v>
      </c>
      <c r="I108" t="s">
        <v>13</v>
      </c>
      <c r="J108">
        <v>1</v>
      </c>
      <c r="K108" t="s">
        <v>108</v>
      </c>
      <c r="L108" t="s">
        <v>95</v>
      </c>
      <c r="M108" t="s">
        <v>94</v>
      </c>
      <c r="N108" t="s">
        <v>116</v>
      </c>
      <c r="O108" t="s">
        <v>115</v>
      </c>
    </row>
    <row r="109" spans="1:15" x14ac:dyDescent="0.3">
      <c r="A109" t="s">
        <v>14</v>
      </c>
      <c r="B109">
        <v>27</v>
      </c>
      <c r="C109">
        <v>1</v>
      </c>
      <c r="D109">
        <v>1</v>
      </c>
      <c r="E109">
        <v>1</v>
      </c>
      <c r="F109" t="s">
        <v>25</v>
      </c>
      <c r="G109" t="s">
        <v>16</v>
      </c>
      <c r="H109" t="s">
        <v>18</v>
      </c>
      <c r="I109" t="s">
        <v>13</v>
      </c>
      <c r="J109">
        <v>1</v>
      </c>
      <c r="K109" t="s">
        <v>114</v>
      </c>
      <c r="L109" t="s">
        <v>95</v>
      </c>
      <c r="M109" t="s">
        <v>94</v>
      </c>
      <c r="N109" t="s">
        <v>116</v>
      </c>
      <c r="O109" t="s">
        <v>115</v>
      </c>
    </row>
    <row r="110" spans="1:15" x14ac:dyDescent="0.3">
      <c r="A110" t="s">
        <v>9</v>
      </c>
      <c r="B110">
        <v>31</v>
      </c>
      <c r="C110">
        <v>1</v>
      </c>
      <c r="D110">
        <v>1</v>
      </c>
      <c r="E110">
        <v>1</v>
      </c>
      <c r="F110" t="s">
        <v>43</v>
      </c>
      <c r="G110" t="s">
        <v>11</v>
      </c>
      <c r="H110" t="s">
        <v>12</v>
      </c>
      <c r="I110" t="s">
        <v>13</v>
      </c>
      <c r="J110">
        <v>1</v>
      </c>
      <c r="K110" t="s">
        <v>114</v>
      </c>
      <c r="L110" t="s">
        <v>95</v>
      </c>
      <c r="M110" t="s">
        <v>94</v>
      </c>
      <c r="N110" t="s">
        <v>116</v>
      </c>
      <c r="O110" t="s">
        <v>115</v>
      </c>
    </row>
    <row r="111" spans="1:15" x14ac:dyDescent="0.3">
      <c r="A111" t="s">
        <v>9</v>
      </c>
      <c r="B111">
        <v>44</v>
      </c>
      <c r="C111">
        <v>0</v>
      </c>
      <c r="D111">
        <v>0</v>
      </c>
      <c r="E111">
        <v>0</v>
      </c>
      <c r="F111" t="s">
        <v>20</v>
      </c>
      <c r="G111" t="s">
        <v>16</v>
      </c>
      <c r="H111" t="s">
        <v>18</v>
      </c>
      <c r="I111" t="s">
        <v>13</v>
      </c>
      <c r="J111">
        <v>0</v>
      </c>
      <c r="K111" t="s">
        <v>114</v>
      </c>
      <c r="L111" t="s">
        <v>109</v>
      </c>
      <c r="M111" t="s">
        <v>111</v>
      </c>
      <c r="N111" t="s">
        <v>112</v>
      </c>
      <c r="O111" t="s">
        <v>110</v>
      </c>
    </row>
    <row r="112" spans="1:15" x14ac:dyDescent="0.3">
      <c r="A112" t="s">
        <v>9</v>
      </c>
      <c r="B112">
        <v>39</v>
      </c>
      <c r="C112">
        <v>1</v>
      </c>
      <c r="D112">
        <v>1</v>
      </c>
      <c r="E112">
        <v>0</v>
      </c>
      <c r="F112" t="s">
        <v>47</v>
      </c>
      <c r="G112" t="s">
        <v>11</v>
      </c>
      <c r="H112" t="s">
        <v>23</v>
      </c>
      <c r="I112" t="s">
        <v>13</v>
      </c>
      <c r="J112">
        <v>1</v>
      </c>
      <c r="K112" t="s">
        <v>114</v>
      </c>
      <c r="L112" t="s">
        <v>95</v>
      </c>
      <c r="M112" t="s">
        <v>111</v>
      </c>
      <c r="N112" t="s">
        <v>116</v>
      </c>
      <c r="O112" t="s">
        <v>115</v>
      </c>
    </row>
    <row r="113" spans="1:15" x14ac:dyDescent="0.3">
      <c r="A113" t="s">
        <v>9</v>
      </c>
      <c r="B113">
        <v>9</v>
      </c>
      <c r="C113">
        <v>1</v>
      </c>
      <c r="D113">
        <v>1</v>
      </c>
      <c r="E113">
        <v>0</v>
      </c>
      <c r="F113" t="s">
        <v>52</v>
      </c>
      <c r="G113" t="s">
        <v>16</v>
      </c>
      <c r="H113" t="s">
        <v>23</v>
      </c>
      <c r="I113" t="s">
        <v>13</v>
      </c>
      <c r="J113">
        <v>1</v>
      </c>
      <c r="K113" t="s">
        <v>118</v>
      </c>
      <c r="L113" t="s">
        <v>95</v>
      </c>
      <c r="M113" t="s">
        <v>111</v>
      </c>
      <c r="N113" t="s">
        <v>116</v>
      </c>
      <c r="O113" t="s">
        <v>115</v>
      </c>
    </row>
    <row r="114" spans="1:15" x14ac:dyDescent="0.3">
      <c r="A114" t="s">
        <v>14</v>
      </c>
      <c r="B114">
        <v>51</v>
      </c>
      <c r="C114">
        <v>1</v>
      </c>
      <c r="D114">
        <v>1</v>
      </c>
      <c r="E114">
        <v>0</v>
      </c>
      <c r="F114" t="s">
        <v>37</v>
      </c>
      <c r="G114" t="s">
        <v>11</v>
      </c>
      <c r="H114" t="s">
        <v>18</v>
      </c>
      <c r="I114" t="s">
        <v>13</v>
      </c>
      <c r="J114">
        <v>1</v>
      </c>
      <c r="K114" t="s">
        <v>108</v>
      </c>
      <c r="L114" t="s">
        <v>95</v>
      </c>
      <c r="M114" t="s">
        <v>111</v>
      </c>
      <c r="N114" t="s">
        <v>116</v>
      </c>
      <c r="O114" t="s">
        <v>115</v>
      </c>
    </row>
    <row r="115" spans="1:15" x14ac:dyDescent="0.3">
      <c r="A115" t="s">
        <v>14</v>
      </c>
      <c r="B115">
        <v>24</v>
      </c>
      <c r="C115">
        <v>0</v>
      </c>
      <c r="D115">
        <v>0</v>
      </c>
      <c r="E115">
        <v>0</v>
      </c>
      <c r="F115" t="s">
        <v>20</v>
      </c>
      <c r="G115" t="s">
        <v>16</v>
      </c>
      <c r="H115" t="s">
        <v>18</v>
      </c>
      <c r="I115" t="s">
        <v>13</v>
      </c>
      <c r="J115">
        <v>0</v>
      </c>
      <c r="K115" t="s">
        <v>117</v>
      </c>
      <c r="L115" t="s">
        <v>109</v>
      </c>
      <c r="M115" t="s">
        <v>111</v>
      </c>
      <c r="N115" t="s">
        <v>112</v>
      </c>
      <c r="O115" t="s">
        <v>110</v>
      </c>
    </row>
    <row r="116" spans="1:15" x14ac:dyDescent="0.3">
      <c r="A116" t="s">
        <v>14</v>
      </c>
      <c r="B116">
        <v>46</v>
      </c>
      <c r="C116">
        <v>1</v>
      </c>
      <c r="D116">
        <v>1</v>
      </c>
      <c r="E116">
        <v>0</v>
      </c>
      <c r="F116" t="s">
        <v>38</v>
      </c>
      <c r="G116" t="s">
        <v>11</v>
      </c>
      <c r="H116" t="s">
        <v>23</v>
      </c>
      <c r="I116" t="s">
        <v>13</v>
      </c>
      <c r="J116">
        <v>1</v>
      </c>
      <c r="K116" t="s">
        <v>108</v>
      </c>
      <c r="L116" t="s">
        <v>95</v>
      </c>
      <c r="M116" t="s">
        <v>111</v>
      </c>
      <c r="N116" t="s">
        <v>116</v>
      </c>
      <c r="O116" t="s">
        <v>115</v>
      </c>
    </row>
    <row r="117" spans="1:15" x14ac:dyDescent="0.3">
      <c r="A117" t="s">
        <v>14</v>
      </c>
      <c r="B117">
        <v>39</v>
      </c>
      <c r="C117">
        <v>1</v>
      </c>
      <c r="D117">
        <v>1</v>
      </c>
      <c r="E117">
        <v>0</v>
      </c>
      <c r="F117" t="s">
        <v>17</v>
      </c>
      <c r="G117" t="s">
        <v>16</v>
      </c>
      <c r="H117" t="s">
        <v>12</v>
      </c>
      <c r="I117" t="s">
        <v>13</v>
      </c>
      <c r="J117">
        <v>1</v>
      </c>
      <c r="K117" t="s">
        <v>114</v>
      </c>
      <c r="L117" t="s">
        <v>95</v>
      </c>
      <c r="M117" t="s">
        <v>111</v>
      </c>
      <c r="N117" t="s">
        <v>116</v>
      </c>
      <c r="O117" t="s">
        <v>115</v>
      </c>
    </row>
    <row r="118" spans="1:15" x14ac:dyDescent="0.3">
      <c r="A118" t="s">
        <v>9</v>
      </c>
      <c r="B118">
        <v>14</v>
      </c>
      <c r="C118">
        <v>1</v>
      </c>
      <c r="D118">
        <v>1</v>
      </c>
      <c r="E118">
        <v>0</v>
      </c>
      <c r="F118" t="s">
        <v>34</v>
      </c>
      <c r="G118" t="s">
        <v>11</v>
      </c>
      <c r="H118" t="s">
        <v>12</v>
      </c>
      <c r="I118" t="s">
        <v>13</v>
      </c>
      <c r="J118">
        <v>1</v>
      </c>
      <c r="K118" t="s">
        <v>113</v>
      </c>
      <c r="L118" t="s">
        <v>95</v>
      </c>
      <c r="M118" t="s">
        <v>111</v>
      </c>
      <c r="N118" t="s">
        <v>116</v>
      </c>
      <c r="O118" t="s">
        <v>115</v>
      </c>
    </row>
    <row r="119" spans="1:15" x14ac:dyDescent="0.3">
      <c r="A119" t="s">
        <v>14</v>
      </c>
      <c r="B119">
        <v>42</v>
      </c>
      <c r="C119">
        <v>1</v>
      </c>
      <c r="D119">
        <v>1</v>
      </c>
      <c r="E119">
        <v>0</v>
      </c>
      <c r="F119" t="s">
        <v>52</v>
      </c>
      <c r="G119" t="s">
        <v>16</v>
      </c>
      <c r="H119" t="s">
        <v>18</v>
      </c>
      <c r="I119" t="s">
        <v>13</v>
      </c>
      <c r="J119">
        <v>1</v>
      </c>
      <c r="K119" t="s">
        <v>114</v>
      </c>
      <c r="L119" t="s">
        <v>95</v>
      </c>
      <c r="M119" t="s">
        <v>111</v>
      </c>
      <c r="N119" t="s">
        <v>116</v>
      </c>
      <c r="O119" t="s">
        <v>115</v>
      </c>
    </row>
    <row r="120" spans="1:15" x14ac:dyDescent="0.3">
      <c r="A120" t="s">
        <v>14</v>
      </c>
      <c r="B120">
        <v>37</v>
      </c>
      <c r="C120">
        <v>1</v>
      </c>
      <c r="D120">
        <v>1</v>
      </c>
      <c r="E120">
        <v>0</v>
      </c>
      <c r="F120" t="s">
        <v>32</v>
      </c>
      <c r="G120" t="s">
        <v>11</v>
      </c>
      <c r="H120" t="s">
        <v>23</v>
      </c>
      <c r="I120" t="s">
        <v>13</v>
      </c>
      <c r="J120">
        <v>1</v>
      </c>
      <c r="K120" t="s">
        <v>114</v>
      </c>
      <c r="L120" t="s">
        <v>95</v>
      </c>
      <c r="M120" t="s">
        <v>111</v>
      </c>
      <c r="N120" t="s">
        <v>116</v>
      </c>
      <c r="O120" t="s">
        <v>115</v>
      </c>
    </row>
    <row r="121" spans="1:15" x14ac:dyDescent="0.3">
      <c r="A121" t="s">
        <v>14</v>
      </c>
      <c r="B121">
        <v>31</v>
      </c>
      <c r="C121">
        <v>1</v>
      </c>
      <c r="D121">
        <v>1</v>
      </c>
      <c r="E121">
        <v>0</v>
      </c>
      <c r="F121" t="s">
        <v>33</v>
      </c>
      <c r="G121" t="s">
        <v>16</v>
      </c>
      <c r="H121" t="s">
        <v>12</v>
      </c>
      <c r="I121" t="s">
        <v>13</v>
      </c>
      <c r="J121">
        <v>1</v>
      </c>
      <c r="K121" t="s">
        <v>114</v>
      </c>
      <c r="L121" t="s">
        <v>95</v>
      </c>
      <c r="M121" t="s">
        <v>111</v>
      </c>
      <c r="N121" t="s">
        <v>116</v>
      </c>
      <c r="O121" t="s">
        <v>115</v>
      </c>
    </row>
    <row r="122" spans="1:15" x14ac:dyDescent="0.3">
      <c r="A122" t="s">
        <v>14</v>
      </c>
      <c r="B122">
        <v>57</v>
      </c>
      <c r="C122">
        <v>0</v>
      </c>
      <c r="D122">
        <v>0</v>
      </c>
      <c r="E122">
        <v>0</v>
      </c>
      <c r="F122" t="s">
        <v>31</v>
      </c>
      <c r="G122" t="s">
        <v>11</v>
      </c>
      <c r="H122" t="s">
        <v>23</v>
      </c>
      <c r="I122" t="s">
        <v>13</v>
      </c>
      <c r="J122">
        <v>0</v>
      </c>
      <c r="K122" t="s">
        <v>108</v>
      </c>
      <c r="L122" t="s">
        <v>109</v>
      </c>
      <c r="M122" t="s">
        <v>111</v>
      </c>
      <c r="N122" t="s">
        <v>112</v>
      </c>
      <c r="O122" t="s">
        <v>110</v>
      </c>
    </row>
    <row r="123" spans="1:15" x14ac:dyDescent="0.3">
      <c r="A123" t="s">
        <v>9</v>
      </c>
      <c r="B123">
        <v>30</v>
      </c>
      <c r="C123">
        <v>0</v>
      </c>
      <c r="D123">
        <v>0</v>
      </c>
      <c r="E123">
        <v>1</v>
      </c>
      <c r="F123" t="s">
        <v>45</v>
      </c>
      <c r="G123" t="s">
        <v>16</v>
      </c>
      <c r="H123" t="s">
        <v>12</v>
      </c>
      <c r="I123" t="s">
        <v>13</v>
      </c>
      <c r="J123">
        <v>0</v>
      </c>
      <c r="K123" t="s">
        <v>114</v>
      </c>
      <c r="L123" t="s">
        <v>109</v>
      </c>
      <c r="M123" t="s">
        <v>94</v>
      </c>
      <c r="N123" t="s">
        <v>112</v>
      </c>
      <c r="O123" t="s">
        <v>110</v>
      </c>
    </row>
    <row r="124" spans="1:15" x14ac:dyDescent="0.3">
      <c r="A124" t="s">
        <v>9</v>
      </c>
      <c r="B124">
        <v>57</v>
      </c>
      <c r="C124">
        <v>1</v>
      </c>
      <c r="D124">
        <v>1</v>
      </c>
      <c r="E124">
        <v>1</v>
      </c>
      <c r="F124" t="s">
        <v>19</v>
      </c>
      <c r="G124" t="s">
        <v>11</v>
      </c>
      <c r="H124" t="s">
        <v>23</v>
      </c>
      <c r="I124" t="s">
        <v>13</v>
      </c>
      <c r="J124">
        <v>1</v>
      </c>
      <c r="K124" t="s">
        <v>108</v>
      </c>
      <c r="L124" t="s">
        <v>95</v>
      </c>
      <c r="M124" t="s">
        <v>94</v>
      </c>
      <c r="N124" t="s">
        <v>116</v>
      </c>
      <c r="O124" t="s">
        <v>115</v>
      </c>
    </row>
    <row r="125" spans="1:15" x14ac:dyDescent="0.3">
      <c r="A125" t="s">
        <v>14</v>
      </c>
      <c r="B125">
        <v>17</v>
      </c>
      <c r="C125">
        <v>0</v>
      </c>
      <c r="D125">
        <v>0</v>
      </c>
      <c r="E125">
        <v>0</v>
      </c>
      <c r="F125" t="s">
        <v>27</v>
      </c>
      <c r="G125" t="s">
        <v>16</v>
      </c>
      <c r="H125" t="s">
        <v>18</v>
      </c>
      <c r="I125" t="s">
        <v>13</v>
      </c>
      <c r="J125">
        <v>0</v>
      </c>
      <c r="K125" t="s">
        <v>113</v>
      </c>
      <c r="L125" t="s">
        <v>109</v>
      </c>
      <c r="M125" t="s">
        <v>111</v>
      </c>
      <c r="N125" t="s">
        <v>112</v>
      </c>
      <c r="O125" t="s">
        <v>110</v>
      </c>
    </row>
    <row r="126" spans="1:15" x14ac:dyDescent="0.3">
      <c r="A126" t="s">
        <v>9</v>
      </c>
      <c r="B126">
        <v>56</v>
      </c>
      <c r="C126">
        <v>0</v>
      </c>
      <c r="D126">
        <v>0</v>
      </c>
      <c r="E126">
        <v>0</v>
      </c>
      <c r="F126" t="s">
        <v>49</v>
      </c>
      <c r="G126" t="s">
        <v>11</v>
      </c>
      <c r="H126" t="s">
        <v>23</v>
      </c>
      <c r="I126" t="s">
        <v>13</v>
      </c>
      <c r="J126">
        <v>0</v>
      </c>
      <c r="K126" t="s">
        <v>108</v>
      </c>
      <c r="L126" t="s">
        <v>109</v>
      </c>
      <c r="M126" t="s">
        <v>111</v>
      </c>
      <c r="N126" t="s">
        <v>112</v>
      </c>
      <c r="O126" t="s">
        <v>110</v>
      </c>
    </row>
    <row r="127" spans="1:15" x14ac:dyDescent="0.3">
      <c r="A127" t="s">
        <v>14</v>
      </c>
      <c r="B127">
        <v>54</v>
      </c>
      <c r="C127">
        <v>0</v>
      </c>
      <c r="D127">
        <v>0</v>
      </c>
      <c r="E127">
        <v>0</v>
      </c>
      <c r="F127" t="s">
        <v>36</v>
      </c>
      <c r="G127" t="s">
        <v>16</v>
      </c>
      <c r="H127" t="s">
        <v>18</v>
      </c>
      <c r="I127" t="s">
        <v>13</v>
      </c>
      <c r="J127">
        <v>0</v>
      </c>
      <c r="K127" t="s">
        <v>108</v>
      </c>
      <c r="L127" t="s">
        <v>109</v>
      </c>
      <c r="M127" t="s">
        <v>111</v>
      </c>
      <c r="N127" t="s">
        <v>112</v>
      </c>
      <c r="O127" t="s">
        <v>110</v>
      </c>
    </row>
    <row r="128" spans="1:15" x14ac:dyDescent="0.3">
      <c r="A128" t="s">
        <v>9</v>
      </c>
      <c r="B128">
        <v>22</v>
      </c>
      <c r="C128">
        <v>0</v>
      </c>
      <c r="D128">
        <v>0</v>
      </c>
      <c r="E128">
        <v>1</v>
      </c>
      <c r="F128" t="s">
        <v>41</v>
      </c>
      <c r="G128" t="s">
        <v>11</v>
      </c>
      <c r="H128" t="s">
        <v>18</v>
      </c>
      <c r="I128" t="s">
        <v>13</v>
      </c>
      <c r="J128">
        <v>0</v>
      </c>
      <c r="K128" t="s">
        <v>117</v>
      </c>
      <c r="L128" t="s">
        <v>109</v>
      </c>
      <c r="M128" t="s">
        <v>94</v>
      </c>
      <c r="N128" t="s">
        <v>112</v>
      </c>
      <c r="O128" t="s">
        <v>110</v>
      </c>
    </row>
    <row r="129" spans="1:15" x14ac:dyDescent="0.3">
      <c r="A129" t="s">
        <v>9</v>
      </c>
      <c r="B129">
        <v>63</v>
      </c>
      <c r="C129">
        <v>1</v>
      </c>
      <c r="D129">
        <v>1</v>
      </c>
      <c r="E129">
        <v>1</v>
      </c>
      <c r="F129" t="s">
        <v>43</v>
      </c>
      <c r="G129" t="s">
        <v>16</v>
      </c>
      <c r="H129" t="s">
        <v>18</v>
      </c>
      <c r="I129" t="s">
        <v>13</v>
      </c>
      <c r="J129">
        <v>1</v>
      </c>
      <c r="K129" t="s">
        <v>108</v>
      </c>
      <c r="L129" t="s">
        <v>95</v>
      </c>
      <c r="M129" t="s">
        <v>94</v>
      </c>
      <c r="N129" t="s">
        <v>116</v>
      </c>
      <c r="O129" t="s">
        <v>115</v>
      </c>
    </row>
    <row r="130" spans="1:15" x14ac:dyDescent="0.3">
      <c r="A130" t="s">
        <v>14</v>
      </c>
      <c r="B130">
        <v>54</v>
      </c>
      <c r="C130">
        <v>0</v>
      </c>
      <c r="D130">
        <v>0</v>
      </c>
      <c r="E130">
        <v>1</v>
      </c>
      <c r="F130" t="s">
        <v>10</v>
      </c>
      <c r="G130" t="s">
        <v>11</v>
      </c>
      <c r="H130" t="s">
        <v>23</v>
      </c>
      <c r="I130" t="s">
        <v>13</v>
      </c>
      <c r="J130">
        <v>0</v>
      </c>
      <c r="K130" t="s">
        <v>108</v>
      </c>
      <c r="L130" t="s">
        <v>109</v>
      </c>
      <c r="M130" t="s">
        <v>94</v>
      </c>
      <c r="N130" t="s">
        <v>112</v>
      </c>
      <c r="O130" t="s">
        <v>110</v>
      </c>
    </row>
    <row r="131" spans="1:15" x14ac:dyDescent="0.3">
      <c r="A131" t="s">
        <v>14</v>
      </c>
      <c r="B131">
        <v>61</v>
      </c>
      <c r="C131">
        <v>1</v>
      </c>
      <c r="D131">
        <v>1</v>
      </c>
      <c r="E131">
        <v>1</v>
      </c>
      <c r="F131" t="s">
        <v>35</v>
      </c>
      <c r="G131" t="s">
        <v>16</v>
      </c>
      <c r="H131" t="s">
        <v>23</v>
      </c>
      <c r="I131" t="s">
        <v>13</v>
      </c>
      <c r="J131">
        <v>1</v>
      </c>
      <c r="K131" t="s">
        <v>108</v>
      </c>
      <c r="L131" t="s">
        <v>95</v>
      </c>
      <c r="M131" t="s">
        <v>94</v>
      </c>
      <c r="N131" t="s">
        <v>116</v>
      </c>
      <c r="O131" t="s">
        <v>115</v>
      </c>
    </row>
    <row r="132" spans="1:15" x14ac:dyDescent="0.3">
      <c r="A132" t="s">
        <v>9</v>
      </c>
      <c r="B132">
        <v>47</v>
      </c>
      <c r="C132">
        <v>1</v>
      </c>
      <c r="D132">
        <v>1</v>
      </c>
      <c r="E132">
        <v>1</v>
      </c>
      <c r="F132" t="s">
        <v>32</v>
      </c>
      <c r="G132" t="s">
        <v>11</v>
      </c>
      <c r="H132" t="s">
        <v>23</v>
      </c>
      <c r="I132" t="s">
        <v>13</v>
      </c>
      <c r="J132">
        <v>1</v>
      </c>
      <c r="K132" t="s">
        <v>108</v>
      </c>
      <c r="L132" t="s">
        <v>95</v>
      </c>
      <c r="M132" t="s">
        <v>94</v>
      </c>
      <c r="N132" t="s">
        <v>116</v>
      </c>
      <c r="O132" t="s">
        <v>115</v>
      </c>
    </row>
    <row r="133" spans="1:15" x14ac:dyDescent="0.3">
      <c r="A133" t="s">
        <v>14</v>
      </c>
      <c r="B133">
        <v>18</v>
      </c>
      <c r="C133">
        <v>0</v>
      </c>
      <c r="D133">
        <v>0</v>
      </c>
      <c r="E133">
        <v>1</v>
      </c>
      <c r="F133" t="s">
        <v>19</v>
      </c>
      <c r="G133" t="s">
        <v>16</v>
      </c>
      <c r="H133" t="s">
        <v>18</v>
      </c>
      <c r="I133" t="s">
        <v>13</v>
      </c>
      <c r="J133">
        <v>0</v>
      </c>
      <c r="K133" t="s">
        <v>113</v>
      </c>
      <c r="L133" t="s">
        <v>109</v>
      </c>
      <c r="M133" t="s">
        <v>94</v>
      </c>
      <c r="N133" t="s">
        <v>112</v>
      </c>
      <c r="O133" t="s">
        <v>110</v>
      </c>
    </row>
    <row r="134" spans="1:15" x14ac:dyDescent="0.3">
      <c r="A134" t="s">
        <v>9</v>
      </c>
      <c r="B134">
        <v>24</v>
      </c>
      <c r="C134">
        <v>1</v>
      </c>
      <c r="D134">
        <v>1</v>
      </c>
      <c r="E134">
        <v>0</v>
      </c>
      <c r="F134" t="s">
        <v>38</v>
      </c>
      <c r="G134" t="s">
        <v>11</v>
      </c>
      <c r="H134" t="s">
        <v>18</v>
      </c>
      <c r="I134" t="s">
        <v>13</v>
      </c>
      <c r="J134">
        <v>1</v>
      </c>
      <c r="K134" t="s">
        <v>117</v>
      </c>
      <c r="L134" t="s">
        <v>95</v>
      </c>
      <c r="M134" t="s">
        <v>111</v>
      </c>
      <c r="N134" t="s">
        <v>116</v>
      </c>
      <c r="O134" t="s">
        <v>115</v>
      </c>
    </row>
    <row r="135" spans="1:15" x14ac:dyDescent="0.3">
      <c r="A135" t="s">
        <v>9</v>
      </c>
      <c r="B135">
        <v>60</v>
      </c>
      <c r="C135">
        <v>0</v>
      </c>
      <c r="D135">
        <v>0</v>
      </c>
      <c r="E135">
        <v>1</v>
      </c>
      <c r="F135" t="s">
        <v>39</v>
      </c>
      <c r="G135" t="s">
        <v>16</v>
      </c>
      <c r="H135" t="s">
        <v>18</v>
      </c>
      <c r="I135" t="s">
        <v>13</v>
      </c>
      <c r="J135">
        <v>0</v>
      </c>
      <c r="K135" t="s">
        <v>108</v>
      </c>
      <c r="L135" t="s">
        <v>109</v>
      </c>
      <c r="M135" t="s">
        <v>94</v>
      </c>
      <c r="N135" t="s">
        <v>112</v>
      </c>
      <c r="O135" t="s">
        <v>110</v>
      </c>
    </row>
    <row r="136" spans="1:15" x14ac:dyDescent="0.3">
      <c r="A136" t="s">
        <v>9</v>
      </c>
      <c r="B136">
        <v>47</v>
      </c>
      <c r="C136">
        <v>1</v>
      </c>
      <c r="D136">
        <v>1</v>
      </c>
      <c r="E136">
        <v>1</v>
      </c>
      <c r="F136" t="s">
        <v>30</v>
      </c>
      <c r="G136" t="s">
        <v>11</v>
      </c>
      <c r="H136" t="s">
        <v>18</v>
      </c>
      <c r="I136" t="s">
        <v>13</v>
      </c>
      <c r="J136">
        <v>1</v>
      </c>
      <c r="K136" t="s">
        <v>108</v>
      </c>
      <c r="L136" t="s">
        <v>95</v>
      </c>
      <c r="M136" t="s">
        <v>94</v>
      </c>
      <c r="N136" t="s">
        <v>116</v>
      </c>
      <c r="O136" t="s">
        <v>115</v>
      </c>
    </row>
    <row r="137" spans="1:15" x14ac:dyDescent="0.3">
      <c r="A137" t="s">
        <v>9</v>
      </c>
      <c r="B137">
        <v>19</v>
      </c>
      <c r="C137">
        <v>1</v>
      </c>
      <c r="D137">
        <v>1</v>
      </c>
      <c r="E137">
        <v>0</v>
      </c>
      <c r="F137" t="s">
        <v>17</v>
      </c>
      <c r="G137" t="s">
        <v>16</v>
      </c>
      <c r="H137" t="s">
        <v>12</v>
      </c>
      <c r="I137" t="s">
        <v>13</v>
      </c>
      <c r="J137">
        <v>1</v>
      </c>
      <c r="K137" t="s">
        <v>117</v>
      </c>
      <c r="L137" t="s">
        <v>95</v>
      </c>
      <c r="M137" t="s">
        <v>111</v>
      </c>
      <c r="N137" t="s">
        <v>116</v>
      </c>
      <c r="O137" t="s">
        <v>115</v>
      </c>
    </row>
    <row r="138" spans="1:15" x14ac:dyDescent="0.3">
      <c r="A138" t="s">
        <v>14</v>
      </c>
      <c r="B138">
        <v>55</v>
      </c>
      <c r="C138">
        <v>1</v>
      </c>
      <c r="D138">
        <v>1</v>
      </c>
      <c r="E138">
        <v>0</v>
      </c>
      <c r="F138" t="s">
        <v>33</v>
      </c>
      <c r="G138" t="s">
        <v>11</v>
      </c>
      <c r="H138" t="s">
        <v>23</v>
      </c>
      <c r="I138" t="s">
        <v>13</v>
      </c>
      <c r="J138">
        <v>1</v>
      </c>
      <c r="K138" t="s">
        <v>108</v>
      </c>
      <c r="L138" t="s">
        <v>95</v>
      </c>
      <c r="M138" t="s">
        <v>111</v>
      </c>
      <c r="N138" t="s">
        <v>116</v>
      </c>
      <c r="O138" t="s">
        <v>115</v>
      </c>
    </row>
    <row r="139" spans="1:15" x14ac:dyDescent="0.3">
      <c r="A139" t="s">
        <v>9</v>
      </c>
      <c r="B139">
        <v>49</v>
      </c>
      <c r="C139">
        <v>1</v>
      </c>
      <c r="D139">
        <v>1</v>
      </c>
      <c r="E139">
        <v>0</v>
      </c>
      <c r="F139" t="s">
        <v>17</v>
      </c>
      <c r="G139" t="s">
        <v>16</v>
      </c>
      <c r="H139" t="s">
        <v>12</v>
      </c>
      <c r="I139" t="s">
        <v>13</v>
      </c>
      <c r="J139">
        <v>1</v>
      </c>
      <c r="K139" t="s">
        <v>108</v>
      </c>
      <c r="L139" t="s">
        <v>95</v>
      </c>
      <c r="M139" t="s">
        <v>111</v>
      </c>
      <c r="N139" t="s">
        <v>116</v>
      </c>
      <c r="O139" t="s">
        <v>115</v>
      </c>
    </row>
    <row r="140" spans="1:15" x14ac:dyDescent="0.3">
      <c r="A140" t="s">
        <v>14</v>
      </c>
      <c r="B140">
        <v>32</v>
      </c>
      <c r="C140">
        <v>0</v>
      </c>
      <c r="D140">
        <v>1</v>
      </c>
      <c r="E140">
        <v>0</v>
      </c>
      <c r="F140" t="s">
        <v>52</v>
      </c>
      <c r="G140" t="s">
        <v>11</v>
      </c>
      <c r="H140" t="s">
        <v>23</v>
      </c>
      <c r="I140" t="s">
        <v>13</v>
      </c>
      <c r="J140">
        <v>1</v>
      </c>
      <c r="K140" t="s">
        <v>114</v>
      </c>
      <c r="L140" t="s">
        <v>95</v>
      </c>
      <c r="M140" t="s">
        <v>111</v>
      </c>
      <c r="N140" t="s">
        <v>112</v>
      </c>
      <c r="O140" t="s">
        <v>115</v>
      </c>
    </row>
    <row r="141" spans="1:15" x14ac:dyDescent="0.3">
      <c r="A141" t="s">
        <v>9</v>
      </c>
      <c r="B141">
        <v>8</v>
      </c>
      <c r="C141">
        <v>1</v>
      </c>
      <c r="D141">
        <v>1</v>
      </c>
      <c r="E141">
        <v>0</v>
      </c>
      <c r="F141" t="s">
        <v>43</v>
      </c>
      <c r="G141" t="s">
        <v>16</v>
      </c>
      <c r="H141" t="s">
        <v>23</v>
      </c>
      <c r="I141" t="s">
        <v>13</v>
      </c>
      <c r="J141">
        <v>1</v>
      </c>
      <c r="K141" t="s">
        <v>118</v>
      </c>
      <c r="L141" t="s">
        <v>95</v>
      </c>
      <c r="M141" t="s">
        <v>111</v>
      </c>
      <c r="N141" t="s">
        <v>116</v>
      </c>
      <c r="O141" t="s">
        <v>115</v>
      </c>
    </row>
    <row r="142" spans="1:15" x14ac:dyDescent="0.3">
      <c r="A142" t="s">
        <v>9</v>
      </c>
      <c r="B142">
        <v>14</v>
      </c>
      <c r="C142">
        <v>0</v>
      </c>
      <c r="D142">
        <v>0</v>
      </c>
      <c r="E142">
        <v>0</v>
      </c>
      <c r="F142" t="s">
        <v>46</v>
      </c>
      <c r="G142" t="s">
        <v>11</v>
      </c>
      <c r="H142" t="s">
        <v>23</v>
      </c>
      <c r="I142" t="s">
        <v>13</v>
      </c>
      <c r="J142">
        <v>0</v>
      </c>
      <c r="K142" t="s">
        <v>113</v>
      </c>
      <c r="L142" t="s">
        <v>109</v>
      </c>
      <c r="M142" t="s">
        <v>111</v>
      </c>
      <c r="N142" t="s">
        <v>112</v>
      </c>
      <c r="O142" t="s">
        <v>110</v>
      </c>
    </row>
    <row r="143" spans="1:15" x14ac:dyDescent="0.3">
      <c r="A143" t="s">
        <v>14</v>
      </c>
      <c r="B143">
        <v>28</v>
      </c>
      <c r="C143">
        <v>0</v>
      </c>
      <c r="D143">
        <v>0</v>
      </c>
      <c r="E143">
        <v>1</v>
      </c>
      <c r="F143" t="s">
        <v>45</v>
      </c>
      <c r="G143" t="s">
        <v>16</v>
      </c>
      <c r="H143" t="s">
        <v>18</v>
      </c>
      <c r="I143" t="s">
        <v>13</v>
      </c>
      <c r="J143">
        <v>0</v>
      </c>
      <c r="K143" t="s">
        <v>114</v>
      </c>
      <c r="L143" t="s">
        <v>109</v>
      </c>
      <c r="M143" t="s">
        <v>94</v>
      </c>
      <c r="N143" t="s">
        <v>112</v>
      </c>
      <c r="O143" t="s">
        <v>110</v>
      </c>
    </row>
    <row r="144" spans="1:15" x14ac:dyDescent="0.3">
      <c r="A144" t="s">
        <v>9</v>
      </c>
      <c r="B144">
        <v>11</v>
      </c>
      <c r="C144">
        <v>1</v>
      </c>
      <c r="D144">
        <v>1</v>
      </c>
      <c r="E144">
        <v>1</v>
      </c>
      <c r="F144" t="s">
        <v>37</v>
      </c>
      <c r="G144" t="s">
        <v>11</v>
      </c>
      <c r="H144" t="s">
        <v>18</v>
      </c>
      <c r="I144" t="s">
        <v>13</v>
      </c>
      <c r="J144">
        <v>1</v>
      </c>
      <c r="K144" t="s">
        <v>118</v>
      </c>
      <c r="L144" t="s">
        <v>95</v>
      </c>
      <c r="M144" t="s">
        <v>94</v>
      </c>
      <c r="N144" t="s">
        <v>116</v>
      </c>
      <c r="O144" t="s">
        <v>115</v>
      </c>
    </row>
    <row r="145" spans="1:15" x14ac:dyDescent="0.3">
      <c r="A145" t="s">
        <v>14</v>
      </c>
      <c r="B145">
        <v>29</v>
      </c>
      <c r="C145">
        <v>0</v>
      </c>
      <c r="D145">
        <v>0</v>
      </c>
      <c r="E145">
        <v>0</v>
      </c>
      <c r="F145" t="s">
        <v>52</v>
      </c>
      <c r="G145" t="s">
        <v>16</v>
      </c>
      <c r="H145" t="s">
        <v>12</v>
      </c>
      <c r="I145" t="s">
        <v>13</v>
      </c>
      <c r="J145">
        <v>0</v>
      </c>
      <c r="K145" t="s">
        <v>114</v>
      </c>
      <c r="L145" t="s">
        <v>109</v>
      </c>
      <c r="M145" t="s">
        <v>111</v>
      </c>
      <c r="N145" t="s">
        <v>112</v>
      </c>
      <c r="O145" t="s">
        <v>110</v>
      </c>
    </row>
    <row r="146" spans="1:15" x14ac:dyDescent="0.3">
      <c r="A146" t="s">
        <v>9</v>
      </c>
      <c r="B146">
        <v>62</v>
      </c>
      <c r="C146">
        <v>0</v>
      </c>
      <c r="D146">
        <v>0</v>
      </c>
      <c r="E146">
        <v>1</v>
      </c>
      <c r="F146" t="s">
        <v>28</v>
      </c>
      <c r="G146" t="s">
        <v>11</v>
      </c>
      <c r="H146" t="s">
        <v>18</v>
      </c>
      <c r="I146" t="s">
        <v>13</v>
      </c>
      <c r="J146">
        <v>0</v>
      </c>
      <c r="K146" t="s">
        <v>108</v>
      </c>
      <c r="L146" t="s">
        <v>109</v>
      </c>
      <c r="M146" t="s">
        <v>94</v>
      </c>
      <c r="N146" t="s">
        <v>112</v>
      </c>
      <c r="O146" t="s">
        <v>110</v>
      </c>
    </row>
    <row r="147" spans="1:15" x14ac:dyDescent="0.3">
      <c r="A147" t="s">
        <v>9</v>
      </c>
      <c r="B147">
        <v>65</v>
      </c>
      <c r="C147">
        <v>1</v>
      </c>
      <c r="D147">
        <v>1</v>
      </c>
      <c r="E147">
        <v>1</v>
      </c>
      <c r="F147" t="s">
        <v>17</v>
      </c>
      <c r="G147" t="s">
        <v>16</v>
      </c>
      <c r="H147" t="s">
        <v>18</v>
      </c>
      <c r="I147" t="s">
        <v>13</v>
      </c>
      <c r="J147">
        <v>1</v>
      </c>
      <c r="K147" t="s">
        <v>119</v>
      </c>
      <c r="L147" t="s">
        <v>95</v>
      </c>
      <c r="M147" t="s">
        <v>94</v>
      </c>
      <c r="N147" t="s">
        <v>116</v>
      </c>
      <c r="O147" t="s">
        <v>115</v>
      </c>
    </row>
    <row r="148" spans="1:15" x14ac:dyDescent="0.3">
      <c r="A148" t="s">
        <v>9</v>
      </c>
      <c r="B148">
        <v>43</v>
      </c>
      <c r="C148">
        <v>1</v>
      </c>
      <c r="D148">
        <v>1</v>
      </c>
      <c r="E148">
        <v>1</v>
      </c>
      <c r="F148" t="s">
        <v>36</v>
      </c>
      <c r="G148" t="s">
        <v>11</v>
      </c>
      <c r="H148" t="s">
        <v>18</v>
      </c>
      <c r="I148" t="s">
        <v>13</v>
      </c>
      <c r="J148">
        <v>1</v>
      </c>
      <c r="K148" t="s">
        <v>114</v>
      </c>
      <c r="L148" t="s">
        <v>95</v>
      </c>
      <c r="M148" t="s">
        <v>94</v>
      </c>
      <c r="N148" t="s">
        <v>116</v>
      </c>
      <c r="O148" t="s">
        <v>115</v>
      </c>
    </row>
    <row r="149" spans="1:15" x14ac:dyDescent="0.3">
      <c r="A149" t="s">
        <v>9</v>
      </c>
      <c r="B149">
        <v>59</v>
      </c>
      <c r="C149">
        <v>1</v>
      </c>
      <c r="D149">
        <v>1</v>
      </c>
      <c r="E149">
        <v>0</v>
      </c>
      <c r="F149" t="s">
        <v>42</v>
      </c>
      <c r="G149" t="s">
        <v>16</v>
      </c>
      <c r="H149" t="s">
        <v>23</v>
      </c>
      <c r="I149" t="s">
        <v>13</v>
      </c>
      <c r="J149">
        <v>1</v>
      </c>
      <c r="K149" t="s">
        <v>108</v>
      </c>
      <c r="L149" t="s">
        <v>95</v>
      </c>
      <c r="M149" t="s">
        <v>111</v>
      </c>
      <c r="N149" t="s">
        <v>116</v>
      </c>
      <c r="O149" t="s">
        <v>115</v>
      </c>
    </row>
    <row r="150" spans="1:15" x14ac:dyDescent="0.3">
      <c r="A150" t="s">
        <v>9</v>
      </c>
      <c r="B150">
        <v>29</v>
      </c>
      <c r="C150">
        <v>1</v>
      </c>
      <c r="D150">
        <v>1</v>
      </c>
      <c r="E150">
        <v>1</v>
      </c>
      <c r="F150" t="s">
        <v>15</v>
      </c>
      <c r="G150" t="s">
        <v>11</v>
      </c>
      <c r="H150" t="s">
        <v>23</v>
      </c>
      <c r="I150" t="s">
        <v>13</v>
      </c>
      <c r="J150">
        <v>1</v>
      </c>
      <c r="K150" t="s">
        <v>114</v>
      </c>
      <c r="L150" t="s">
        <v>95</v>
      </c>
      <c r="M150" t="s">
        <v>94</v>
      </c>
      <c r="N150" t="s">
        <v>116</v>
      </c>
      <c r="O150" t="s">
        <v>115</v>
      </c>
    </row>
    <row r="151" spans="1:15" x14ac:dyDescent="0.3">
      <c r="A151" t="s">
        <v>14</v>
      </c>
      <c r="B151">
        <v>17</v>
      </c>
      <c r="C151">
        <v>0</v>
      </c>
      <c r="D151">
        <v>0</v>
      </c>
      <c r="E151">
        <v>0</v>
      </c>
      <c r="F151" t="s">
        <v>48</v>
      </c>
      <c r="G151" t="s">
        <v>16</v>
      </c>
      <c r="H151" t="s">
        <v>12</v>
      </c>
      <c r="I151" t="s">
        <v>13</v>
      </c>
      <c r="J151">
        <v>0</v>
      </c>
      <c r="K151" t="s">
        <v>113</v>
      </c>
      <c r="L151" t="s">
        <v>109</v>
      </c>
      <c r="M151" t="s">
        <v>111</v>
      </c>
      <c r="N151" t="s">
        <v>112</v>
      </c>
      <c r="O151" t="s">
        <v>110</v>
      </c>
    </row>
    <row r="152" spans="1:15" x14ac:dyDescent="0.3">
      <c r="A152" t="s">
        <v>9</v>
      </c>
      <c r="B152">
        <v>41</v>
      </c>
      <c r="C152">
        <v>1</v>
      </c>
      <c r="D152">
        <v>1</v>
      </c>
      <c r="E152">
        <v>1</v>
      </c>
      <c r="F152" t="s">
        <v>28</v>
      </c>
      <c r="G152" t="s">
        <v>11</v>
      </c>
      <c r="H152" t="s">
        <v>18</v>
      </c>
      <c r="I152" t="s">
        <v>13</v>
      </c>
      <c r="J152">
        <v>1</v>
      </c>
      <c r="K152" t="s">
        <v>114</v>
      </c>
      <c r="L152" t="s">
        <v>95</v>
      </c>
      <c r="M152" t="s">
        <v>94</v>
      </c>
      <c r="N152" t="s">
        <v>116</v>
      </c>
      <c r="O152" t="s">
        <v>115</v>
      </c>
    </row>
    <row r="153" spans="1:15" x14ac:dyDescent="0.3">
      <c r="A153" t="s">
        <v>9</v>
      </c>
      <c r="B153">
        <v>8</v>
      </c>
      <c r="C153">
        <v>1</v>
      </c>
      <c r="D153">
        <v>1</v>
      </c>
      <c r="E153">
        <v>1</v>
      </c>
      <c r="F153" t="s">
        <v>46</v>
      </c>
      <c r="G153" t="s">
        <v>16</v>
      </c>
      <c r="H153" t="s">
        <v>12</v>
      </c>
      <c r="I153" t="s">
        <v>13</v>
      </c>
      <c r="J153">
        <v>1</v>
      </c>
      <c r="K153" t="s">
        <v>118</v>
      </c>
      <c r="L153" t="s">
        <v>95</v>
      </c>
      <c r="M153" t="s">
        <v>94</v>
      </c>
      <c r="N153" t="s">
        <v>116</v>
      </c>
      <c r="O153" t="s">
        <v>115</v>
      </c>
    </row>
    <row r="154" spans="1:15" x14ac:dyDescent="0.3">
      <c r="A154" t="s">
        <v>9</v>
      </c>
      <c r="B154">
        <v>29</v>
      </c>
      <c r="C154">
        <v>1</v>
      </c>
      <c r="D154">
        <v>1</v>
      </c>
      <c r="E154">
        <v>0</v>
      </c>
      <c r="F154" t="s">
        <v>30</v>
      </c>
      <c r="G154" t="s">
        <v>11</v>
      </c>
      <c r="H154" t="s">
        <v>23</v>
      </c>
      <c r="I154" t="s">
        <v>13</v>
      </c>
      <c r="J154">
        <v>1</v>
      </c>
      <c r="K154" t="s">
        <v>114</v>
      </c>
      <c r="L154" t="s">
        <v>95</v>
      </c>
      <c r="M154" t="s">
        <v>111</v>
      </c>
      <c r="N154" t="s">
        <v>116</v>
      </c>
      <c r="O154" t="s">
        <v>115</v>
      </c>
    </row>
    <row r="155" spans="1:15" x14ac:dyDescent="0.3">
      <c r="A155" t="s">
        <v>9</v>
      </c>
      <c r="B155">
        <v>54</v>
      </c>
      <c r="C155">
        <v>1</v>
      </c>
      <c r="D155">
        <v>1</v>
      </c>
      <c r="E155">
        <v>0</v>
      </c>
      <c r="F155" t="s">
        <v>49</v>
      </c>
      <c r="G155" t="s">
        <v>16</v>
      </c>
      <c r="H155" t="s">
        <v>23</v>
      </c>
      <c r="I155" t="s">
        <v>13</v>
      </c>
      <c r="J155">
        <v>1</v>
      </c>
      <c r="K155" t="s">
        <v>108</v>
      </c>
      <c r="L155" t="s">
        <v>95</v>
      </c>
      <c r="M155" t="s">
        <v>111</v>
      </c>
      <c r="N155" t="s">
        <v>116</v>
      </c>
      <c r="O155" t="s">
        <v>115</v>
      </c>
    </row>
    <row r="156" spans="1:15" x14ac:dyDescent="0.3">
      <c r="A156" t="s">
        <v>9</v>
      </c>
      <c r="B156">
        <v>53</v>
      </c>
      <c r="C156">
        <v>0</v>
      </c>
      <c r="D156">
        <v>0</v>
      </c>
      <c r="E156">
        <v>1</v>
      </c>
      <c r="F156" t="s">
        <v>15</v>
      </c>
      <c r="G156" t="s">
        <v>11</v>
      </c>
      <c r="H156" t="s">
        <v>12</v>
      </c>
      <c r="I156" t="s">
        <v>13</v>
      </c>
      <c r="J156">
        <v>0</v>
      </c>
      <c r="K156" t="s">
        <v>108</v>
      </c>
      <c r="L156" t="s">
        <v>109</v>
      </c>
      <c r="M156" t="s">
        <v>94</v>
      </c>
      <c r="N156" t="s">
        <v>112</v>
      </c>
      <c r="O156" t="s">
        <v>110</v>
      </c>
    </row>
    <row r="157" spans="1:15" x14ac:dyDescent="0.3">
      <c r="A157" t="s">
        <v>14</v>
      </c>
      <c r="B157">
        <v>16</v>
      </c>
      <c r="C157">
        <v>1</v>
      </c>
      <c r="D157">
        <v>1</v>
      </c>
      <c r="E157">
        <v>1</v>
      </c>
      <c r="F157" t="s">
        <v>44</v>
      </c>
      <c r="G157" t="s">
        <v>16</v>
      </c>
      <c r="H157" t="s">
        <v>12</v>
      </c>
      <c r="I157" t="s">
        <v>13</v>
      </c>
      <c r="J157">
        <v>1</v>
      </c>
      <c r="K157" t="s">
        <v>113</v>
      </c>
      <c r="L157" t="s">
        <v>95</v>
      </c>
      <c r="M157" t="s">
        <v>94</v>
      </c>
      <c r="N157" t="s">
        <v>116</v>
      </c>
      <c r="O157" t="s">
        <v>115</v>
      </c>
    </row>
    <row r="158" spans="1:15" x14ac:dyDescent="0.3">
      <c r="A158" t="s">
        <v>14</v>
      </c>
      <c r="B158">
        <v>43</v>
      </c>
      <c r="C158">
        <v>0</v>
      </c>
      <c r="D158">
        <v>0</v>
      </c>
      <c r="E158">
        <v>1</v>
      </c>
      <c r="F158" t="s">
        <v>30</v>
      </c>
      <c r="G158" t="s">
        <v>11</v>
      </c>
      <c r="H158" t="s">
        <v>12</v>
      </c>
      <c r="I158" t="s">
        <v>13</v>
      </c>
      <c r="J158">
        <v>0</v>
      </c>
      <c r="K158" t="s">
        <v>114</v>
      </c>
      <c r="L158" t="s">
        <v>109</v>
      </c>
      <c r="M158" t="s">
        <v>94</v>
      </c>
      <c r="N158" t="s">
        <v>112</v>
      </c>
      <c r="O158" t="s">
        <v>110</v>
      </c>
    </row>
    <row r="159" spans="1:15" x14ac:dyDescent="0.3">
      <c r="A159" t="s">
        <v>14</v>
      </c>
      <c r="B159">
        <v>54</v>
      </c>
      <c r="C159">
        <v>0</v>
      </c>
      <c r="D159">
        <v>0</v>
      </c>
      <c r="E159">
        <v>0</v>
      </c>
      <c r="F159" t="s">
        <v>35</v>
      </c>
      <c r="G159" t="s">
        <v>16</v>
      </c>
      <c r="H159" t="s">
        <v>18</v>
      </c>
      <c r="I159" t="s">
        <v>13</v>
      </c>
      <c r="J159">
        <v>0</v>
      </c>
      <c r="K159" t="s">
        <v>108</v>
      </c>
      <c r="L159" t="s">
        <v>109</v>
      </c>
      <c r="M159" t="s">
        <v>111</v>
      </c>
      <c r="N159" t="s">
        <v>112</v>
      </c>
      <c r="O159" t="s">
        <v>110</v>
      </c>
    </row>
    <row r="160" spans="1:15" x14ac:dyDescent="0.3">
      <c r="A160" t="s">
        <v>14</v>
      </c>
      <c r="B160">
        <v>41</v>
      </c>
      <c r="C160">
        <v>0</v>
      </c>
      <c r="D160">
        <v>0</v>
      </c>
      <c r="E160">
        <v>0</v>
      </c>
      <c r="F160" t="s">
        <v>38</v>
      </c>
      <c r="G160" t="s">
        <v>11</v>
      </c>
      <c r="H160" t="s">
        <v>23</v>
      </c>
      <c r="I160" t="s">
        <v>13</v>
      </c>
      <c r="J160">
        <v>0</v>
      </c>
      <c r="K160" t="s">
        <v>114</v>
      </c>
      <c r="L160" t="s">
        <v>109</v>
      </c>
      <c r="M160" t="s">
        <v>111</v>
      </c>
      <c r="N160" t="s">
        <v>112</v>
      </c>
      <c r="O160" t="s">
        <v>110</v>
      </c>
    </row>
    <row r="161" spans="1:15" x14ac:dyDescent="0.3">
      <c r="A161" t="s">
        <v>14</v>
      </c>
      <c r="B161">
        <v>42</v>
      </c>
      <c r="C161">
        <v>0</v>
      </c>
      <c r="D161">
        <v>0</v>
      </c>
      <c r="E161">
        <v>0</v>
      </c>
      <c r="F161" t="s">
        <v>50</v>
      </c>
      <c r="G161" t="s">
        <v>16</v>
      </c>
      <c r="H161" t="s">
        <v>18</v>
      </c>
      <c r="I161" t="s">
        <v>13</v>
      </c>
      <c r="J161">
        <v>0</v>
      </c>
      <c r="K161" t="s">
        <v>114</v>
      </c>
      <c r="L161" t="s">
        <v>109</v>
      </c>
      <c r="M161" t="s">
        <v>111</v>
      </c>
      <c r="N161" t="s">
        <v>112</v>
      </c>
      <c r="O161" t="s">
        <v>110</v>
      </c>
    </row>
    <row r="162" spans="1:15" x14ac:dyDescent="0.3">
      <c r="A162" t="s">
        <v>9</v>
      </c>
      <c r="B162">
        <v>45</v>
      </c>
      <c r="C162">
        <v>1</v>
      </c>
      <c r="D162">
        <v>1</v>
      </c>
      <c r="E162">
        <v>1</v>
      </c>
      <c r="F162" t="s">
        <v>24</v>
      </c>
      <c r="G162" t="s">
        <v>11</v>
      </c>
      <c r="H162" t="s">
        <v>18</v>
      </c>
      <c r="I162" t="s">
        <v>13</v>
      </c>
      <c r="J162">
        <v>1</v>
      </c>
      <c r="K162" t="s">
        <v>108</v>
      </c>
      <c r="L162" t="s">
        <v>95</v>
      </c>
      <c r="M162" t="s">
        <v>94</v>
      </c>
      <c r="N162" t="s">
        <v>116</v>
      </c>
      <c r="O162" t="s">
        <v>115</v>
      </c>
    </row>
    <row r="163" spans="1:15" x14ac:dyDescent="0.3">
      <c r="A163" t="s">
        <v>14</v>
      </c>
      <c r="B163">
        <v>13</v>
      </c>
      <c r="C163">
        <v>1</v>
      </c>
      <c r="D163">
        <v>1</v>
      </c>
      <c r="E163">
        <v>1</v>
      </c>
      <c r="F163" t="s">
        <v>49</v>
      </c>
      <c r="G163" t="s">
        <v>16</v>
      </c>
      <c r="H163" t="s">
        <v>18</v>
      </c>
      <c r="I163" t="s">
        <v>13</v>
      </c>
      <c r="J163">
        <v>1</v>
      </c>
      <c r="K163" t="s">
        <v>118</v>
      </c>
      <c r="L163" t="s">
        <v>95</v>
      </c>
      <c r="M163" t="s">
        <v>94</v>
      </c>
      <c r="N163" t="s">
        <v>116</v>
      </c>
      <c r="O163" t="s">
        <v>115</v>
      </c>
    </row>
    <row r="164" spans="1:15" x14ac:dyDescent="0.3">
      <c r="A164" t="s">
        <v>9</v>
      </c>
      <c r="B164">
        <v>10</v>
      </c>
      <c r="C164">
        <v>1</v>
      </c>
      <c r="D164">
        <v>1</v>
      </c>
      <c r="E164">
        <v>0</v>
      </c>
      <c r="F164" t="s">
        <v>44</v>
      </c>
      <c r="G164" t="s">
        <v>11</v>
      </c>
      <c r="H164" t="s">
        <v>12</v>
      </c>
      <c r="I164" t="s">
        <v>13</v>
      </c>
      <c r="J164">
        <v>1</v>
      </c>
      <c r="K164" t="s">
        <v>118</v>
      </c>
      <c r="L164" t="s">
        <v>95</v>
      </c>
      <c r="M164" t="s">
        <v>111</v>
      </c>
      <c r="N164" t="s">
        <v>116</v>
      </c>
      <c r="O164" t="s">
        <v>115</v>
      </c>
    </row>
    <row r="165" spans="1:15" x14ac:dyDescent="0.3">
      <c r="A165" t="s">
        <v>14</v>
      </c>
      <c r="B165">
        <v>18</v>
      </c>
      <c r="C165">
        <v>1</v>
      </c>
      <c r="D165">
        <v>1</v>
      </c>
      <c r="E165">
        <v>0</v>
      </c>
      <c r="F165" t="s">
        <v>30</v>
      </c>
      <c r="G165" t="s">
        <v>16</v>
      </c>
      <c r="H165" t="s">
        <v>12</v>
      </c>
      <c r="I165" t="s">
        <v>13</v>
      </c>
      <c r="J165">
        <v>1</v>
      </c>
      <c r="K165" t="s">
        <v>113</v>
      </c>
      <c r="L165" t="s">
        <v>95</v>
      </c>
      <c r="M165" t="s">
        <v>111</v>
      </c>
      <c r="N165" t="s">
        <v>116</v>
      </c>
      <c r="O165" t="s">
        <v>115</v>
      </c>
    </row>
    <row r="166" spans="1:15" x14ac:dyDescent="0.3">
      <c r="A166" t="s">
        <v>9</v>
      </c>
      <c r="B166">
        <v>9</v>
      </c>
      <c r="C166">
        <v>1</v>
      </c>
      <c r="D166">
        <v>1</v>
      </c>
      <c r="E166">
        <v>0</v>
      </c>
      <c r="F166" t="s">
        <v>31</v>
      </c>
      <c r="G166" t="s">
        <v>11</v>
      </c>
      <c r="H166" t="s">
        <v>23</v>
      </c>
      <c r="I166" t="s">
        <v>13</v>
      </c>
      <c r="J166">
        <v>1</v>
      </c>
      <c r="K166" t="s">
        <v>118</v>
      </c>
      <c r="L166" t="s">
        <v>95</v>
      </c>
      <c r="M166" t="s">
        <v>111</v>
      </c>
      <c r="N166" t="s">
        <v>116</v>
      </c>
      <c r="O166" t="s">
        <v>115</v>
      </c>
    </row>
    <row r="167" spans="1:15" x14ac:dyDescent="0.3">
      <c r="A167" t="s">
        <v>9</v>
      </c>
      <c r="B167">
        <v>63</v>
      </c>
      <c r="C167">
        <v>0</v>
      </c>
      <c r="D167">
        <v>0</v>
      </c>
      <c r="E167">
        <v>1</v>
      </c>
      <c r="F167" t="s">
        <v>42</v>
      </c>
      <c r="G167" t="s">
        <v>16</v>
      </c>
      <c r="H167" t="s">
        <v>23</v>
      </c>
      <c r="I167" t="s">
        <v>13</v>
      </c>
      <c r="J167">
        <v>0</v>
      </c>
      <c r="K167" t="s">
        <v>108</v>
      </c>
      <c r="L167" t="s">
        <v>109</v>
      </c>
      <c r="M167" t="s">
        <v>94</v>
      </c>
      <c r="N167" t="s">
        <v>112</v>
      </c>
      <c r="O167" t="s">
        <v>110</v>
      </c>
    </row>
    <row r="168" spans="1:15" x14ac:dyDescent="0.3">
      <c r="A168" t="s">
        <v>14</v>
      </c>
      <c r="B168">
        <v>36</v>
      </c>
      <c r="C168">
        <v>1</v>
      </c>
      <c r="D168">
        <v>1</v>
      </c>
      <c r="E168">
        <v>0</v>
      </c>
      <c r="F168" t="s">
        <v>21</v>
      </c>
      <c r="G168" t="s">
        <v>11</v>
      </c>
      <c r="H168" t="s">
        <v>12</v>
      </c>
      <c r="I168" t="s">
        <v>13</v>
      </c>
      <c r="J168">
        <v>1</v>
      </c>
      <c r="K168" t="s">
        <v>114</v>
      </c>
      <c r="L168" t="s">
        <v>95</v>
      </c>
      <c r="M168" t="s">
        <v>111</v>
      </c>
      <c r="N168" t="s">
        <v>116</v>
      </c>
      <c r="O168" t="s">
        <v>115</v>
      </c>
    </row>
    <row r="169" spans="1:15" x14ac:dyDescent="0.3">
      <c r="A169" t="s">
        <v>14</v>
      </c>
      <c r="B169">
        <v>15</v>
      </c>
      <c r="C169">
        <v>0</v>
      </c>
      <c r="D169">
        <v>0</v>
      </c>
      <c r="E169">
        <v>1</v>
      </c>
      <c r="F169" t="s">
        <v>31</v>
      </c>
      <c r="G169" t="s">
        <v>16</v>
      </c>
      <c r="H169" t="s">
        <v>12</v>
      </c>
      <c r="I169" t="s">
        <v>13</v>
      </c>
      <c r="J169">
        <v>0</v>
      </c>
      <c r="K169" t="s">
        <v>113</v>
      </c>
      <c r="L169" t="s">
        <v>109</v>
      </c>
      <c r="M169" t="s">
        <v>94</v>
      </c>
      <c r="N169" t="s">
        <v>112</v>
      </c>
      <c r="O169" t="s">
        <v>110</v>
      </c>
    </row>
    <row r="170" spans="1:15" x14ac:dyDescent="0.3">
      <c r="A170" t="s">
        <v>14</v>
      </c>
      <c r="B170">
        <v>30</v>
      </c>
      <c r="C170">
        <v>0</v>
      </c>
      <c r="D170">
        <v>0</v>
      </c>
      <c r="E170">
        <v>0</v>
      </c>
      <c r="F170" t="s">
        <v>17</v>
      </c>
      <c r="G170" t="s">
        <v>11</v>
      </c>
      <c r="H170" t="s">
        <v>18</v>
      </c>
      <c r="I170" t="s">
        <v>13</v>
      </c>
      <c r="J170">
        <v>0</v>
      </c>
      <c r="K170" t="s">
        <v>114</v>
      </c>
      <c r="L170" t="s">
        <v>109</v>
      </c>
      <c r="M170" t="s">
        <v>111</v>
      </c>
      <c r="N170" t="s">
        <v>112</v>
      </c>
      <c r="O170" t="s">
        <v>110</v>
      </c>
    </row>
    <row r="171" spans="1:15" x14ac:dyDescent="0.3">
      <c r="A171" t="s">
        <v>9</v>
      </c>
      <c r="B171">
        <v>40</v>
      </c>
      <c r="C171">
        <v>1</v>
      </c>
      <c r="D171">
        <v>1</v>
      </c>
      <c r="E171">
        <v>0</v>
      </c>
      <c r="F171" t="s">
        <v>33</v>
      </c>
      <c r="G171" t="s">
        <v>16</v>
      </c>
      <c r="H171" t="s">
        <v>12</v>
      </c>
      <c r="I171" t="s">
        <v>13</v>
      </c>
      <c r="J171">
        <v>1</v>
      </c>
      <c r="K171" t="s">
        <v>114</v>
      </c>
      <c r="L171" t="s">
        <v>95</v>
      </c>
      <c r="M171" t="s">
        <v>111</v>
      </c>
      <c r="N171" t="s">
        <v>116</v>
      </c>
      <c r="O171" t="s">
        <v>115</v>
      </c>
    </row>
    <row r="172" spans="1:15" x14ac:dyDescent="0.3">
      <c r="A172" t="s">
        <v>14</v>
      </c>
      <c r="B172">
        <v>45</v>
      </c>
      <c r="C172">
        <v>1</v>
      </c>
      <c r="D172">
        <v>1</v>
      </c>
      <c r="E172">
        <v>0</v>
      </c>
      <c r="F172" t="s">
        <v>17</v>
      </c>
      <c r="G172" t="s">
        <v>11</v>
      </c>
      <c r="H172" t="s">
        <v>23</v>
      </c>
      <c r="I172" t="s">
        <v>13</v>
      </c>
      <c r="J172">
        <v>1</v>
      </c>
      <c r="K172" t="s">
        <v>108</v>
      </c>
      <c r="L172" t="s">
        <v>95</v>
      </c>
      <c r="M172" t="s">
        <v>111</v>
      </c>
      <c r="N172" t="s">
        <v>116</v>
      </c>
      <c r="O172" t="s">
        <v>115</v>
      </c>
    </row>
    <row r="173" spans="1:15" x14ac:dyDescent="0.3">
      <c r="A173" t="s">
        <v>9</v>
      </c>
      <c r="B173">
        <v>14</v>
      </c>
      <c r="C173">
        <v>0</v>
      </c>
      <c r="D173">
        <v>0</v>
      </c>
      <c r="E173">
        <v>1</v>
      </c>
      <c r="F173" t="s">
        <v>30</v>
      </c>
      <c r="G173" t="s">
        <v>16</v>
      </c>
      <c r="H173" t="s">
        <v>18</v>
      </c>
      <c r="I173" t="s">
        <v>13</v>
      </c>
      <c r="J173">
        <v>0</v>
      </c>
      <c r="K173" t="s">
        <v>113</v>
      </c>
      <c r="L173" t="s">
        <v>109</v>
      </c>
      <c r="M173" t="s">
        <v>94</v>
      </c>
      <c r="N173" t="s">
        <v>112</v>
      </c>
      <c r="O173" t="s">
        <v>110</v>
      </c>
    </row>
    <row r="174" spans="1:15" x14ac:dyDescent="0.3">
      <c r="A174" t="s">
        <v>9</v>
      </c>
      <c r="B174">
        <v>9</v>
      </c>
      <c r="C174">
        <v>1</v>
      </c>
      <c r="D174">
        <v>1</v>
      </c>
      <c r="E174">
        <v>0</v>
      </c>
      <c r="F174" t="s">
        <v>21</v>
      </c>
      <c r="G174" t="s">
        <v>11</v>
      </c>
      <c r="H174" t="s">
        <v>23</v>
      </c>
      <c r="I174" t="s">
        <v>13</v>
      </c>
      <c r="J174">
        <v>1</v>
      </c>
      <c r="K174" t="s">
        <v>118</v>
      </c>
      <c r="L174" t="s">
        <v>95</v>
      </c>
      <c r="M174" t="s">
        <v>111</v>
      </c>
      <c r="N174" t="s">
        <v>116</v>
      </c>
      <c r="O174" t="s">
        <v>115</v>
      </c>
    </row>
    <row r="175" spans="1:15" x14ac:dyDescent="0.3">
      <c r="A175" t="s">
        <v>9</v>
      </c>
      <c r="B175">
        <v>42</v>
      </c>
      <c r="C175">
        <v>0</v>
      </c>
      <c r="D175">
        <v>0</v>
      </c>
      <c r="E175">
        <v>1</v>
      </c>
      <c r="F175" t="s">
        <v>50</v>
      </c>
      <c r="G175" t="s">
        <v>16</v>
      </c>
      <c r="H175" t="s">
        <v>18</v>
      </c>
      <c r="I175" t="s">
        <v>13</v>
      </c>
      <c r="J175">
        <v>0</v>
      </c>
      <c r="K175" t="s">
        <v>114</v>
      </c>
      <c r="L175" t="s">
        <v>109</v>
      </c>
      <c r="M175" t="s">
        <v>94</v>
      </c>
      <c r="N175" t="s">
        <v>112</v>
      </c>
      <c r="O175" t="s">
        <v>110</v>
      </c>
    </row>
    <row r="176" spans="1:15" x14ac:dyDescent="0.3">
      <c r="A176" t="s">
        <v>9</v>
      </c>
      <c r="B176">
        <v>17</v>
      </c>
      <c r="C176">
        <v>0</v>
      </c>
      <c r="D176">
        <v>0</v>
      </c>
      <c r="E176">
        <v>0</v>
      </c>
      <c r="F176" t="s">
        <v>24</v>
      </c>
      <c r="G176" t="s">
        <v>11</v>
      </c>
      <c r="H176" t="s">
        <v>12</v>
      </c>
      <c r="I176" t="s">
        <v>13</v>
      </c>
      <c r="J176">
        <v>0</v>
      </c>
      <c r="K176" t="s">
        <v>113</v>
      </c>
      <c r="L176" t="s">
        <v>109</v>
      </c>
      <c r="M176" t="s">
        <v>111</v>
      </c>
      <c r="N176" t="s">
        <v>112</v>
      </c>
      <c r="O176" t="s">
        <v>110</v>
      </c>
    </row>
    <row r="177" spans="1:15" x14ac:dyDescent="0.3">
      <c r="A177" t="s">
        <v>9</v>
      </c>
      <c r="B177">
        <v>49</v>
      </c>
      <c r="C177">
        <v>0</v>
      </c>
      <c r="D177">
        <v>0</v>
      </c>
      <c r="E177">
        <v>0</v>
      </c>
      <c r="F177" t="s">
        <v>36</v>
      </c>
      <c r="G177" t="s">
        <v>16</v>
      </c>
      <c r="H177" t="s">
        <v>12</v>
      </c>
      <c r="I177" t="s">
        <v>13</v>
      </c>
      <c r="J177">
        <v>0</v>
      </c>
      <c r="K177" t="s">
        <v>108</v>
      </c>
      <c r="L177" t="s">
        <v>109</v>
      </c>
      <c r="M177" t="s">
        <v>111</v>
      </c>
      <c r="N177" t="s">
        <v>112</v>
      </c>
      <c r="O177" t="s">
        <v>110</v>
      </c>
    </row>
    <row r="178" spans="1:15" x14ac:dyDescent="0.3">
      <c r="A178" t="s">
        <v>14</v>
      </c>
      <c r="B178">
        <v>14</v>
      </c>
      <c r="C178">
        <v>0</v>
      </c>
      <c r="D178">
        <v>0</v>
      </c>
      <c r="E178">
        <v>0</v>
      </c>
      <c r="F178" t="s">
        <v>49</v>
      </c>
      <c r="G178" t="s">
        <v>11</v>
      </c>
      <c r="H178" t="s">
        <v>18</v>
      </c>
      <c r="I178" t="s">
        <v>13</v>
      </c>
      <c r="J178">
        <v>0</v>
      </c>
      <c r="K178" t="s">
        <v>113</v>
      </c>
      <c r="L178" t="s">
        <v>109</v>
      </c>
      <c r="M178" t="s">
        <v>111</v>
      </c>
      <c r="N178" t="s">
        <v>112</v>
      </c>
      <c r="O178" t="s">
        <v>110</v>
      </c>
    </row>
    <row r="179" spans="1:15" x14ac:dyDescent="0.3">
      <c r="A179" t="s">
        <v>9</v>
      </c>
      <c r="B179">
        <v>41</v>
      </c>
      <c r="C179">
        <v>0</v>
      </c>
      <c r="D179">
        <v>0</v>
      </c>
      <c r="E179">
        <v>0</v>
      </c>
      <c r="F179" t="s">
        <v>34</v>
      </c>
      <c r="G179" t="s">
        <v>16</v>
      </c>
      <c r="H179" t="s">
        <v>12</v>
      </c>
      <c r="I179" t="s">
        <v>13</v>
      </c>
      <c r="J179">
        <v>0</v>
      </c>
      <c r="K179" t="s">
        <v>114</v>
      </c>
      <c r="L179" t="s">
        <v>109</v>
      </c>
      <c r="M179" t="s">
        <v>111</v>
      </c>
      <c r="N179" t="s">
        <v>112</v>
      </c>
      <c r="O179" t="s">
        <v>110</v>
      </c>
    </row>
    <row r="180" spans="1:15" x14ac:dyDescent="0.3">
      <c r="A180" t="s">
        <v>9</v>
      </c>
      <c r="B180">
        <v>27</v>
      </c>
      <c r="C180">
        <v>1</v>
      </c>
      <c r="D180">
        <v>1</v>
      </c>
      <c r="E180">
        <v>1</v>
      </c>
      <c r="F180" t="s">
        <v>52</v>
      </c>
      <c r="G180" t="s">
        <v>11</v>
      </c>
      <c r="H180" t="s">
        <v>18</v>
      </c>
      <c r="I180" t="s">
        <v>13</v>
      </c>
      <c r="J180">
        <v>1</v>
      </c>
      <c r="K180" t="s">
        <v>114</v>
      </c>
      <c r="L180" t="s">
        <v>95</v>
      </c>
      <c r="M180" t="s">
        <v>94</v>
      </c>
      <c r="N180" t="s">
        <v>116</v>
      </c>
      <c r="O180" t="s">
        <v>115</v>
      </c>
    </row>
    <row r="181" spans="1:15" x14ac:dyDescent="0.3">
      <c r="A181" t="s">
        <v>14</v>
      </c>
      <c r="B181">
        <v>38</v>
      </c>
      <c r="C181">
        <v>1</v>
      </c>
      <c r="D181">
        <v>1</v>
      </c>
      <c r="E181">
        <v>0</v>
      </c>
      <c r="F181" t="s">
        <v>49</v>
      </c>
      <c r="G181" t="s">
        <v>16</v>
      </c>
      <c r="H181" t="s">
        <v>12</v>
      </c>
      <c r="I181" t="s">
        <v>13</v>
      </c>
      <c r="J181">
        <v>1</v>
      </c>
      <c r="K181" t="s">
        <v>114</v>
      </c>
      <c r="L181" t="s">
        <v>95</v>
      </c>
      <c r="M181" t="s">
        <v>111</v>
      </c>
      <c r="N181" t="s">
        <v>116</v>
      </c>
      <c r="O181" t="s">
        <v>115</v>
      </c>
    </row>
    <row r="182" spans="1:15" x14ac:dyDescent="0.3">
      <c r="A182" t="s">
        <v>9</v>
      </c>
      <c r="B182">
        <v>14</v>
      </c>
      <c r="C182">
        <v>1</v>
      </c>
      <c r="D182">
        <v>1</v>
      </c>
      <c r="E182">
        <v>0</v>
      </c>
      <c r="F182" t="s">
        <v>51</v>
      </c>
      <c r="G182" t="s">
        <v>11</v>
      </c>
      <c r="H182" t="s">
        <v>18</v>
      </c>
      <c r="I182" t="s">
        <v>13</v>
      </c>
      <c r="J182">
        <v>1</v>
      </c>
      <c r="K182" t="s">
        <v>113</v>
      </c>
      <c r="L182" t="s">
        <v>95</v>
      </c>
      <c r="M182" t="s">
        <v>111</v>
      </c>
      <c r="N182" t="s">
        <v>116</v>
      </c>
      <c r="O182" t="s">
        <v>115</v>
      </c>
    </row>
    <row r="183" spans="1:15" x14ac:dyDescent="0.3">
      <c r="A183" t="s">
        <v>14</v>
      </c>
      <c r="B183">
        <v>28</v>
      </c>
      <c r="C183">
        <v>0</v>
      </c>
      <c r="D183">
        <v>0</v>
      </c>
      <c r="E183">
        <v>1</v>
      </c>
      <c r="F183" t="s">
        <v>49</v>
      </c>
      <c r="G183" t="s">
        <v>16</v>
      </c>
      <c r="H183" t="s">
        <v>23</v>
      </c>
      <c r="I183" t="s">
        <v>13</v>
      </c>
      <c r="J183">
        <v>0</v>
      </c>
      <c r="K183" t="s">
        <v>114</v>
      </c>
      <c r="L183" t="s">
        <v>109</v>
      </c>
      <c r="M183" t="s">
        <v>94</v>
      </c>
      <c r="N183" t="s">
        <v>112</v>
      </c>
      <c r="O183" t="s">
        <v>110</v>
      </c>
    </row>
    <row r="184" spans="1:15" x14ac:dyDescent="0.3">
      <c r="A184" t="s">
        <v>14</v>
      </c>
      <c r="B184">
        <v>35</v>
      </c>
      <c r="C184">
        <v>1</v>
      </c>
      <c r="D184">
        <v>1</v>
      </c>
      <c r="E184">
        <v>1</v>
      </c>
      <c r="F184" t="s">
        <v>52</v>
      </c>
      <c r="G184" t="s">
        <v>11</v>
      </c>
      <c r="H184" t="s">
        <v>12</v>
      </c>
      <c r="I184" t="s">
        <v>13</v>
      </c>
      <c r="J184">
        <v>1</v>
      </c>
      <c r="K184" t="s">
        <v>114</v>
      </c>
      <c r="L184" t="s">
        <v>95</v>
      </c>
      <c r="M184" t="s">
        <v>94</v>
      </c>
      <c r="N184" t="s">
        <v>116</v>
      </c>
      <c r="O184" t="s">
        <v>115</v>
      </c>
    </row>
    <row r="185" spans="1:15" x14ac:dyDescent="0.3">
      <c r="A185" t="s">
        <v>14</v>
      </c>
      <c r="B185">
        <v>59</v>
      </c>
      <c r="C185">
        <v>0</v>
      </c>
      <c r="D185">
        <v>0</v>
      </c>
      <c r="E185">
        <v>1</v>
      </c>
      <c r="F185" t="s">
        <v>52</v>
      </c>
      <c r="G185" t="s">
        <v>16</v>
      </c>
      <c r="H185" t="s">
        <v>12</v>
      </c>
      <c r="I185" t="s">
        <v>13</v>
      </c>
      <c r="J185">
        <v>0</v>
      </c>
      <c r="K185" t="s">
        <v>108</v>
      </c>
      <c r="L185" t="s">
        <v>109</v>
      </c>
      <c r="M185" t="s">
        <v>94</v>
      </c>
      <c r="N185" t="s">
        <v>112</v>
      </c>
      <c r="O185" t="s">
        <v>110</v>
      </c>
    </row>
    <row r="186" spans="1:15" x14ac:dyDescent="0.3">
      <c r="A186" t="s">
        <v>9</v>
      </c>
      <c r="B186">
        <v>58</v>
      </c>
      <c r="C186">
        <v>1</v>
      </c>
      <c r="D186">
        <v>1</v>
      </c>
      <c r="E186">
        <v>1</v>
      </c>
      <c r="F186" t="s">
        <v>42</v>
      </c>
      <c r="G186" t="s">
        <v>11</v>
      </c>
      <c r="H186" t="s">
        <v>12</v>
      </c>
      <c r="I186" t="s">
        <v>13</v>
      </c>
      <c r="J186">
        <v>1</v>
      </c>
      <c r="K186" t="s">
        <v>108</v>
      </c>
      <c r="L186" t="s">
        <v>95</v>
      </c>
      <c r="M186" t="s">
        <v>94</v>
      </c>
      <c r="N186" t="s">
        <v>116</v>
      </c>
      <c r="O186" t="s">
        <v>115</v>
      </c>
    </row>
    <row r="187" spans="1:15" x14ac:dyDescent="0.3">
      <c r="A187" t="s">
        <v>14</v>
      </c>
      <c r="B187">
        <v>40</v>
      </c>
      <c r="C187">
        <v>0</v>
      </c>
      <c r="D187">
        <v>0</v>
      </c>
      <c r="E187">
        <v>1</v>
      </c>
      <c r="F187" t="s">
        <v>47</v>
      </c>
      <c r="G187" t="s">
        <v>16</v>
      </c>
      <c r="H187" t="s">
        <v>12</v>
      </c>
      <c r="I187" t="s">
        <v>13</v>
      </c>
      <c r="J187">
        <v>0</v>
      </c>
      <c r="K187" t="s">
        <v>114</v>
      </c>
      <c r="L187" t="s">
        <v>109</v>
      </c>
      <c r="M187" t="s">
        <v>94</v>
      </c>
      <c r="N187" t="s">
        <v>112</v>
      </c>
      <c r="O187" t="s">
        <v>110</v>
      </c>
    </row>
    <row r="188" spans="1:15" x14ac:dyDescent="0.3">
      <c r="A188" t="s">
        <v>14</v>
      </c>
      <c r="B188">
        <v>25</v>
      </c>
      <c r="C188">
        <v>0</v>
      </c>
      <c r="D188">
        <v>0</v>
      </c>
      <c r="E188">
        <v>1</v>
      </c>
      <c r="F188" t="s">
        <v>17</v>
      </c>
      <c r="G188" t="s">
        <v>11</v>
      </c>
      <c r="H188" t="s">
        <v>23</v>
      </c>
      <c r="I188" t="s">
        <v>13</v>
      </c>
      <c r="J188">
        <v>0</v>
      </c>
      <c r="K188" t="s">
        <v>114</v>
      </c>
      <c r="L188" t="s">
        <v>109</v>
      </c>
      <c r="M188" t="s">
        <v>94</v>
      </c>
      <c r="N188" t="s">
        <v>112</v>
      </c>
      <c r="O188" t="s">
        <v>110</v>
      </c>
    </row>
    <row r="189" spans="1:15" x14ac:dyDescent="0.3">
      <c r="A189" t="s">
        <v>14</v>
      </c>
      <c r="B189">
        <v>63</v>
      </c>
      <c r="C189">
        <v>0</v>
      </c>
      <c r="D189">
        <v>0</v>
      </c>
      <c r="E189">
        <v>1</v>
      </c>
      <c r="F189" t="s">
        <v>39</v>
      </c>
      <c r="G189" t="s">
        <v>16</v>
      </c>
      <c r="H189" t="s">
        <v>18</v>
      </c>
      <c r="I189" t="s">
        <v>13</v>
      </c>
      <c r="J189">
        <v>0</v>
      </c>
      <c r="K189" t="s">
        <v>108</v>
      </c>
      <c r="L189" t="s">
        <v>109</v>
      </c>
      <c r="M189" t="s">
        <v>94</v>
      </c>
      <c r="N189" t="s">
        <v>112</v>
      </c>
      <c r="O189" t="s">
        <v>110</v>
      </c>
    </row>
    <row r="190" spans="1:15" x14ac:dyDescent="0.3">
      <c r="A190" t="s">
        <v>9</v>
      </c>
      <c r="B190">
        <v>48</v>
      </c>
      <c r="C190">
        <v>1</v>
      </c>
      <c r="D190">
        <v>1</v>
      </c>
      <c r="E190">
        <v>0</v>
      </c>
      <c r="F190" t="s">
        <v>41</v>
      </c>
      <c r="G190" t="s">
        <v>11</v>
      </c>
      <c r="H190" t="s">
        <v>12</v>
      </c>
      <c r="I190" t="s">
        <v>13</v>
      </c>
      <c r="J190">
        <v>1</v>
      </c>
      <c r="K190" t="s">
        <v>108</v>
      </c>
      <c r="L190" t="s">
        <v>95</v>
      </c>
      <c r="M190" t="s">
        <v>111</v>
      </c>
      <c r="N190" t="s">
        <v>116</v>
      </c>
      <c r="O190" t="s">
        <v>115</v>
      </c>
    </row>
    <row r="191" spans="1:15" x14ac:dyDescent="0.3">
      <c r="A191" t="s">
        <v>14</v>
      </c>
      <c r="B191">
        <v>15</v>
      </c>
      <c r="C191">
        <v>1</v>
      </c>
      <c r="D191">
        <v>1</v>
      </c>
      <c r="E191">
        <v>1</v>
      </c>
      <c r="F191" t="s">
        <v>26</v>
      </c>
      <c r="G191" t="s">
        <v>16</v>
      </c>
      <c r="H191" t="s">
        <v>23</v>
      </c>
      <c r="I191" t="s">
        <v>13</v>
      </c>
      <c r="J191">
        <v>1</v>
      </c>
      <c r="K191" t="s">
        <v>113</v>
      </c>
      <c r="L191" t="s">
        <v>95</v>
      </c>
      <c r="M191" t="s">
        <v>94</v>
      </c>
      <c r="N191" t="s">
        <v>116</v>
      </c>
      <c r="O191" t="s">
        <v>115</v>
      </c>
    </row>
    <row r="192" spans="1:15" x14ac:dyDescent="0.3">
      <c r="A192" t="s">
        <v>14</v>
      </c>
      <c r="B192">
        <v>60</v>
      </c>
      <c r="C192">
        <v>0</v>
      </c>
      <c r="D192">
        <v>0</v>
      </c>
      <c r="E192">
        <v>1</v>
      </c>
      <c r="F192" t="s">
        <v>48</v>
      </c>
      <c r="G192" t="s">
        <v>11</v>
      </c>
      <c r="H192" t="s">
        <v>18</v>
      </c>
      <c r="I192" t="s">
        <v>13</v>
      </c>
      <c r="J192">
        <v>0</v>
      </c>
      <c r="K192" t="s">
        <v>108</v>
      </c>
      <c r="L192" t="s">
        <v>109</v>
      </c>
      <c r="M192" t="s">
        <v>94</v>
      </c>
      <c r="N192" t="s">
        <v>112</v>
      </c>
      <c r="O192" t="s">
        <v>110</v>
      </c>
    </row>
    <row r="193" spans="1:15" x14ac:dyDescent="0.3">
      <c r="A193" t="s">
        <v>9</v>
      </c>
      <c r="B193">
        <v>13</v>
      </c>
      <c r="C193">
        <v>0</v>
      </c>
      <c r="D193">
        <v>0</v>
      </c>
      <c r="E193">
        <v>1</v>
      </c>
      <c r="F193" t="s">
        <v>43</v>
      </c>
      <c r="G193" t="s">
        <v>16</v>
      </c>
      <c r="H193" t="s">
        <v>23</v>
      </c>
      <c r="I193" t="s">
        <v>13</v>
      </c>
      <c r="J193">
        <v>0</v>
      </c>
      <c r="K193" t="s">
        <v>118</v>
      </c>
      <c r="L193" t="s">
        <v>109</v>
      </c>
      <c r="M193" t="s">
        <v>94</v>
      </c>
      <c r="N193" t="s">
        <v>112</v>
      </c>
      <c r="O193" t="s">
        <v>110</v>
      </c>
    </row>
    <row r="194" spans="1:15" x14ac:dyDescent="0.3">
      <c r="A194" t="s">
        <v>9</v>
      </c>
      <c r="B194">
        <v>58</v>
      </c>
      <c r="C194">
        <v>0</v>
      </c>
      <c r="D194">
        <v>0</v>
      </c>
      <c r="E194">
        <v>1</v>
      </c>
      <c r="F194" t="s">
        <v>33</v>
      </c>
      <c r="G194" t="s">
        <v>11</v>
      </c>
      <c r="H194" t="s">
        <v>23</v>
      </c>
      <c r="I194" t="s">
        <v>13</v>
      </c>
      <c r="J194">
        <v>0</v>
      </c>
      <c r="K194" t="s">
        <v>108</v>
      </c>
      <c r="L194" t="s">
        <v>109</v>
      </c>
      <c r="M194" t="s">
        <v>94</v>
      </c>
      <c r="N194" t="s">
        <v>112</v>
      </c>
      <c r="O194" t="s">
        <v>110</v>
      </c>
    </row>
    <row r="195" spans="1:15" x14ac:dyDescent="0.3">
      <c r="A195" t="s">
        <v>14</v>
      </c>
      <c r="B195">
        <v>53</v>
      </c>
      <c r="C195">
        <v>1</v>
      </c>
      <c r="D195">
        <v>1</v>
      </c>
      <c r="E195">
        <v>1</v>
      </c>
      <c r="F195" t="s">
        <v>21</v>
      </c>
      <c r="G195" t="s">
        <v>16</v>
      </c>
      <c r="H195" t="s">
        <v>18</v>
      </c>
      <c r="I195" t="s">
        <v>13</v>
      </c>
      <c r="J195">
        <v>1</v>
      </c>
      <c r="K195" t="s">
        <v>108</v>
      </c>
      <c r="L195" t="s">
        <v>95</v>
      </c>
      <c r="M195" t="s">
        <v>94</v>
      </c>
      <c r="N195" t="s">
        <v>116</v>
      </c>
      <c r="O195" t="s">
        <v>115</v>
      </c>
    </row>
    <row r="196" spans="1:15" x14ac:dyDescent="0.3">
      <c r="A196" t="s">
        <v>14</v>
      </c>
      <c r="B196">
        <v>61</v>
      </c>
      <c r="C196">
        <v>1</v>
      </c>
      <c r="D196">
        <v>1</v>
      </c>
      <c r="E196">
        <v>1</v>
      </c>
      <c r="F196" t="s">
        <v>48</v>
      </c>
      <c r="G196" t="s">
        <v>11</v>
      </c>
      <c r="H196" t="s">
        <v>23</v>
      </c>
      <c r="I196" t="s">
        <v>13</v>
      </c>
      <c r="J196">
        <v>1</v>
      </c>
      <c r="K196" t="s">
        <v>108</v>
      </c>
      <c r="L196" t="s">
        <v>95</v>
      </c>
      <c r="M196" t="s">
        <v>94</v>
      </c>
      <c r="N196" t="s">
        <v>116</v>
      </c>
      <c r="O196" t="s">
        <v>115</v>
      </c>
    </row>
    <row r="197" spans="1:15" x14ac:dyDescent="0.3">
      <c r="A197" t="s">
        <v>9</v>
      </c>
      <c r="B197">
        <v>44</v>
      </c>
      <c r="C197">
        <v>0</v>
      </c>
      <c r="D197">
        <v>0</v>
      </c>
      <c r="E197">
        <v>1</v>
      </c>
      <c r="F197" t="s">
        <v>48</v>
      </c>
      <c r="G197" t="s">
        <v>16</v>
      </c>
      <c r="H197" t="s">
        <v>18</v>
      </c>
      <c r="I197" t="s">
        <v>13</v>
      </c>
      <c r="J197">
        <v>0</v>
      </c>
      <c r="K197" t="s">
        <v>114</v>
      </c>
      <c r="L197" t="s">
        <v>109</v>
      </c>
      <c r="M197" t="s">
        <v>94</v>
      </c>
      <c r="N197" t="s">
        <v>112</v>
      </c>
      <c r="O197" t="s">
        <v>110</v>
      </c>
    </row>
    <row r="198" spans="1:15" x14ac:dyDescent="0.3">
      <c r="A198" t="s">
        <v>9</v>
      </c>
      <c r="B198">
        <v>40</v>
      </c>
      <c r="C198">
        <v>0</v>
      </c>
      <c r="D198">
        <v>0</v>
      </c>
      <c r="E198">
        <v>0</v>
      </c>
      <c r="F198" t="s">
        <v>47</v>
      </c>
      <c r="G198" t="s">
        <v>11</v>
      </c>
      <c r="H198" t="s">
        <v>23</v>
      </c>
      <c r="I198" t="s">
        <v>13</v>
      </c>
      <c r="J198">
        <v>0</v>
      </c>
      <c r="K198" t="s">
        <v>114</v>
      </c>
      <c r="L198" t="s">
        <v>109</v>
      </c>
      <c r="M198" t="s">
        <v>111</v>
      </c>
      <c r="N198" t="s">
        <v>112</v>
      </c>
      <c r="O198" t="s">
        <v>110</v>
      </c>
    </row>
    <row r="199" spans="1:15" x14ac:dyDescent="0.3">
      <c r="A199" t="s">
        <v>14</v>
      </c>
      <c r="B199">
        <v>49</v>
      </c>
      <c r="C199">
        <v>0</v>
      </c>
      <c r="D199">
        <v>0</v>
      </c>
      <c r="E199">
        <v>0</v>
      </c>
      <c r="F199" t="s">
        <v>21</v>
      </c>
      <c r="G199" t="s">
        <v>16</v>
      </c>
      <c r="H199" t="s">
        <v>23</v>
      </c>
      <c r="I199" t="s">
        <v>13</v>
      </c>
      <c r="J199">
        <v>0</v>
      </c>
      <c r="K199" t="s">
        <v>108</v>
      </c>
      <c r="L199" t="s">
        <v>109</v>
      </c>
      <c r="M199" t="s">
        <v>111</v>
      </c>
      <c r="N199" t="s">
        <v>112</v>
      </c>
      <c r="O199" t="s">
        <v>110</v>
      </c>
    </row>
    <row r="200" spans="1:15" x14ac:dyDescent="0.3">
      <c r="A200" t="s">
        <v>14</v>
      </c>
      <c r="B200">
        <v>56</v>
      </c>
      <c r="C200">
        <v>1</v>
      </c>
      <c r="D200">
        <v>1</v>
      </c>
      <c r="E200">
        <v>0</v>
      </c>
      <c r="F200" t="s">
        <v>27</v>
      </c>
      <c r="G200" t="s">
        <v>11</v>
      </c>
      <c r="H200" t="s">
        <v>12</v>
      </c>
      <c r="I200" t="s">
        <v>13</v>
      </c>
      <c r="J200">
        <v>1</v>
      </c>
      <c r="K200" t="s">
        <v>108</v>
      </c>
      <c r="L200" t="s">
        <v>95</v>
      </c>
      <c r="M200" t="s">
        <v>111</v>
      </c>
      <c r="N200" t="s">
        <v>116</v>
      </c>
      <c r="O200" t="s">
        <v>115</v>
      </c>
    </row>
    <row r="201" spans="1:15" x14ac:dyDescent="0.3">
      <c r="A201" t="s">
        <v>9</v>
      </c>
      <c r="B201">
        <v>28</v>
      </c>
      <c r="C201">
        <v>0</v>
      </c>
      <c r="D201">
        <v>0</v>
      </c>
      <c r="E201">
        <v>1</v>
      </c>
      <c r="F201" t="s">
        <v>49</v>
      </c>
      <c r="G201" t="s">
        <v>16</v>
      </c>
      <c r="H201" t="s">
        <v>12</v>
      </c>
      <c r="I201" t="s">
        <v>13</v>
      </c>
      <c r="J201">
        <v>0</v>
      </c>
      <c r="K201" t="s">
        <v>114</v>
      </c>
      <c r="L201" t="s">
        <v>109</v>
      </c>
      <c r="M201" t="s">
        <v>94</v>
      </c>
      <c r="N201" t="s">
        <v>112</v>
      </c>
      <c r="O201" t="s">
        <v>110</v>
      </c>
    </row>
    <row r="202" spans="1:15" x14ac:dyDescent="0.3">
      <c r="A202" t="s">
        <v>14</v>
      </c>
      <c r="B202">
        <v>40</v>
      </c>
      <c r="C202">
        <v>0</v>
      </c>
      <c r="D202">
        <v>0</v>
      </c>
      <c r="E202">
        <v>0</v>
      </c>
      <c r="F202" t="s">
        <v>50</v>
      </c>
      <c r="G202" t="s">
        <v>11</v>
      </c>
      <c r="H202" t="s">
        <v>23</v>
      </c>
      <c r="I202" t="s">
        <v>13</v>
      </c>
      <c r="J202">
        <v>0</v>
      </c>
      <c r="K202" t="s">
        <v>114</v>
      </c>
      <c r="L202" t="s">
        <v>109</v>
      </c>
      <c r="M202" t="s">
        <v>111</v>
      </c>
      <c r="N202" t="s">
        <v>112</v>
      </c>
      <c r="O202" t="s">
        <v>110</v>
      </c>
    </row>
    <row r="203" spans="1:15" x14ac:dyDescent="0.3">
      <c r="A203" t="s">
        <v>14</v>
      </c>
      <c r="B203">
        <v>25</v>
      </c>
      <c r="C203">
        <v>1</v>
      </c>
      <c r="D203">
        <v>1</v>
      </c>
      <c r="E203">
        <v>0</v>
      </c>
      <c r="F203" t="s">
        <v>52</v>
      </c>
      <c r="G203" t="s">
        <v>16</v>
      </c>
      <c r="H203" t="s">
        <v>23</v>
      </c>
      <c r="I203" t="s">
        <v>13</v>
      </c>
      <c r="J203">
        <v>1</v>
      </c>
      <c r="K203" t="s">
        <v>114</v>
      </c>
      <c r="L203" t="s">
        <v>95</v>
      </c>
      <c r="M203" t="s">
        <v>111</v>
      </c>
      <c r="N203" t="s">
        <v>116</v>
      </c>
      <c r="O203" t="s">
        <v>115</v>
      </c>
    </row>
    <row r="204" spans="1:15" x14ac:dyDescent="0.3">
      <c r="A204" t="s">
        <v>9</v>
      </c>
      <c r="B204">
        <v>52</v>
      </c>
      <c r="C204">
        <v>0</v>
      </c>
      <c r="D204">
        <v>0</v>
      </c>
      <c r="E204">
        <v>0</v>
      </c>
      <c r="F204" t="s">
        <v>17</v>
      </c>
      <c r="G204" t="s">
        <v>11</v>
      </c>
      <c r="H204" t="s">
        <v>12</v>
      </c>
      <c r="I204" t="s">
        <v>13</v>
      </c>
      <c r="J204">
        <v>0</v>
      </c>
      <c r="K204" t="s">
        <v>108</v>
      </c>
      <c r="L204" t="s">
        <v>109</v>
      </c>
      <c r="M204" t="s">
        <v>111</v>
      </c>
      <c r="N204" t="s">
        <v>112</v>
      </c>
      <c r="O204" t="s">
        <v>110</v>
      </c>
    </row>
    <row r="205" spans="1:15" x14ac:dyDescent="0.3">
      <c r="A205" t="s">
        <v>9</v>
      </c>
      <c r="B205">
        <v>60</v>
      </c>
      <c r="C205">
        <v>0</v>
      </c>
      <c r="D205">
        <v>0</v>
      </c>
      <c r="E205">
        <v>0</v>
      </c>
      <c r="F205" t="s">
        <v>43</v>
      </c>
      <c r="G205" t="s">
        <v>16</v>
      </c>
      <c r="H205" t="s">
        <v>18</v>
      </c>
      <c r="I205" t="s">
        <v>13</v>
      </c>
      <c r="J205">
        <v>0</v>
      </c>
      <c r="K205" t="s">
        <v>108</v>
      </c>
      <c r="L205" t="s">
        <v>109</v>
      </c>
      <c r="M205" t="s">
        <v>111</v>
      </c>
      <c r="N205" t="s">
        <v>112</v>
      </c>
      <c r="O205" t="s">
        <v>110</v>
      </c>
    </row>
    <row r="206" spans="1:15" x14ac:dyDescent="0.3">
      <c r="A206" t="s">
        <v>9</v>
      </c>
      <c r="B206">
        <v>59</v>
      </c>
      <c r="C206">
        <v>0</v>
      </c>
      <c r="D206">
        <v>0</v>
      </c>
      <c r="E206">
        <v>1</v>
      </c>
      <c r="F206" t="s">
        <v>30</v>
      </c>
      <c r="G206" t="s">
        <v>11</v>
      </c>
      <c r="H206" t="s">
        <v>12</v>
      </c>
      <c r="I206" t="s">
        <v>13</v>
      </c>
      <c r="J206">
        <v>0</v>
      </c>
      <c r="K206" t="s">
        <v>108</v>
      </c>
      <c r="L206" t="s">
        <v>109</v>
      </c>
      <c r="M206" t="s">
        <v>94</v>
      </c>
      <c r="N206" t="s">
        <v>112</v>
      </c>
      <c r="O206" t="s">
        <v>110</v>
      </c>
    </row>
    <row r="207" spans="1:15" x14ac:dyDescent="0.3">
      <c r="A207" t="s">
        <v>9</v>
      </c>
      <c r="B207">
        <v>35</v>
      </c>
      <c r="C207">
        <v>1</v>
      </c>
      <c r="D207">
        <v>1</v>
      </c>
      <c r="E207">
        <v>0</v>
      </c>
      <c r="F207" t="s">
        <v>35</v>
      </c>
      <c r="G207" t="s">
        <v>16</v>
      </c>
      <c r="H207" t="s">
        <v>12</v>
      </c>
      <c r="I207" t="s">
        <v>13</v>
      </c>
      <c r="J207">
        <v>1</v>
      </c>
      <c r="K207" t="s">
        <v>114</v>
      </c>
      <c r="L207" t="s">
        <v>95</v>
      </c>
      <c r="M207" t="s">
        <v>111</v>
      </c>
      <c r="N207" t="s">
        <v>116</v>
      </c>
      <c r="O207" t="s">
        <v>115</v>
      </c>
    </row>
    <row r="208" spans="1:15" x14ac:dyDescent="0.3">
      <c r="A208" t="s">
        <v>9</v>
      </c>
      <c r="B208">
        <v>48</v>
      </c>
      <c r="C208">
        <v>1</v>
      </c>
      <c r="D208">
        <v>1</v>
      </c>
      <c r="E208">
        <v>1</v>
      </c>
      <c r="F208" t="s">
        <v>47</v>
      </c>
      <c r="G208" t="s">
        <v>11</v>
      </c>
      <c r="H208" t="s">
        <v>18</v>
      </c>
      <c r="I208" t="s">
        <v>13</v>
      </c>
      <c r="J208">
        <v>1</v>
      </c>
      <c r="K208" t="s">
        <v>108</v>
      </c>
      <c r="L208" t="s">
        <v>95</v>
      </c>
      <c r="M208" t="s">
        <v>94</v>
      </c>
      <c r="N208" t="s">
        <v>116</v>
      </c>
      <c r="O208" t="s">
        <v>115</v>
      </c>
    </row>
    <row r="209" spans="1:15" x14ac:dyDescent="0.3">
      <c r="A209" t="s">
        <v>14</v>
      </c>
      <c r="B209">
        <v>31</v>
      </c>
      <c r="C209">
        <v>1</v>
      </c>
      <c r="D209">
        <v>1</v>
      </c>
      <c r="E209">
        <v>1</v>
      </c>
      <c r="F209" t="s">
        <v>17</v>
      </c>
      <c r="G209" t="s">
        <v>16</v>
      </c>
      <c r="H209" t="s">
        <v>18</v>
      </c>
      <c r="I209" t="s">
        <v>13</v>
      </c>
      <c r="J209">
        <v>1</v>
      </c>
      <c r="K209" t="s">
        <v>114</v>
      </c>
      <c r="L209" t="s">
        <v>95</v>
      </c>
      <c r="M209" t="s">
        <v>94</v>
      </c>
      <c r="N209" t="s">
        <v>116</v>
      </c>
      <c r="O209" t="s">
        <v>115</v>
      </c>
    </row>
    <row r="210" spans="1:15" x14ac:dyDescent="0.3">
      <c r="A210" t="s">
        <v>14</v>
      </c>
      <c r="B210">
        <v>33</v>
      </c>
      <c r="C210">
        <v>1</v>
      </c>
      <c r="D210">
        <v>1</v>
      </c>
      <c r="E210">
        <v>0</v>
      </c>
      <c r="F210" t="s">
        <v>40</v>
      </c>
      <c r="G210" t="s">
        <v>11</v>
      </c>
      <c r="H210" t="s">
        <v>23</v>
      </c>
      <c r="I210" t="s">
        <v>13</v>
      </c>
      <c r="J210">
        <v>1</v>
      </c>
      <c r="K210" t="s">
        <v>114</v>
      </c>
      <c r="L210" t="s">
        <v>95</v>
      </c>
      <c r="M210" t="s">
        <v>111</v>
      </c>
      <c r="N210" t="s">
        <v>116</v>
      </c>
      <c r="O210" t="s">
        <v>115</v>
      </c>
    </row>
    <row r="211" spans="1:15" x14ac:dyDescent="0.3">
      <c r="A211" t="s">
        <v>9</v>
      </c>
      <c r="B211">
        <v>39</v>
      </c>
      <c r="C211">
        <v>1</v>
      </c>
      <c r="D211">
        <v>1</v>
      </c>
      <c r="E211">
        <v>1</v>
      </c>
      <c r="F211" t="s">
        <v>22</v>
      </c>
      <c r="G211" t="s">
        <v>16</v>
      </c>
      <c r="H211" t="s">
        <v>12</v>
      </c>
      <c r="I211" t="s">
        <v>13</v>
      </c>
      <c r="J211">
        <v>1</v>
      </c>
      <c r="K211" t="s">
        <v>114</v>
      </c>
      <c r="L211" t="s">
        <v>95</v>
      </c>
      <c r="M211" t="s">
        <v>94</v>
      </c>
      <c r="N211" t="s">
        <v>116</v>
      </c>
      <c r="O211" t="s">
        <v>115</v>
      </c>
    </row>
    <row r="212" spans="1:15" x14ac:dyDescent="0.3">
      <c r="A212" t="s">
        <v>14</v>
      </c>
      <c r="B212">
        <v>34</v>
      </c>
      <c r="C212">
        <v>0</v>
      </c>
      <c r="D212">
        <v>0</v>
      </c>
      <c r="E212">
        <v>0</v>
      </c>
      <c r="F212" t="s">
        <v>37</v>
      </c>
      <c r="G212" t="s">
        <v>11</v>
      </c>
      <c r="H212" t="s">
        <v>18</v>
      </c>
      <c r="I212" t="s">
        <v>13</v>
      </c>
      <c r="J212">
        <v>0</v>
      </c>
      <c r="K212" t="s">
        <v>114</v>
      </c>
      <c r="L212" t="s">
        <v>109</v>
      </c>
      <c r="M212" t="s">
        <v>111</v>
      </c>
      <c r="N212" t="s">
        <v>112</v>
      </c>
      <c r="O212" t="s">
        <v>110</v>
      </c>
    </row>
    <row r="213" spans="1:15" x14ac:dyDescent="0.3">
      <c r="A213" t="s">
        <v>9</v>
      </c>
      <c r="B213">
        <v>33</v>
      </c>
      <c r="C213">
        <v>1</v>
      </c>
      <c r="D213">
        <v>1</v>
      </c>
      <c r="E213">
        <v>1</v>
      </c>
      <c r="F213" t="s">
        <v>49</v>
      </c>
      <c r="G213" t="s">
        <v>16</v>
      </c>
      <c r="H213" t="s">
        <v>18</v>
      </c>
      <c r="I213" t="s">
        <v>13</v>
      </c>
      <c r="J213">
        <v>1</v>
      </c>
      <c r="K213" t="s">
        <v>114</v>
      </c>
      <c r="L213" t="s">
        <v>95</v>
      </c>
      <c r="M213" t="s">
        <v>94</v>
      </c>
      <c r="N213" t="s">
        <v>116</v>
      </c>
      <c r="O213" t="s">
        <v>115</v>
      </c>
    </row>
    <row r="214" spans="1:15" x14ac:dyDescent="0.3">
      <c r="A214" t="s">
        <v>9</v>
      </c>
      <c r="B214">
        <v>18</v>
      </c>
      <c r="C214">
        <v>0</v>
      </c>
      <c r="D214">
        <v>1</v>
      </c>
      <c r="E214">
        <v>1</v>
      </c>
      <c r="F214" t="s">
        <v>49</v>
      </c>
      <c r="G214" t="s">
        <v>11</v>
      </c>
      <c r="H214" t="s">
        <v>23</v>
      </c>
      <c r="I214" t="s">
        <v>13</v>
      </c>
      <c r="J214">
        <v>1</v>
      </c>
      <c r="K214" t="s">
        <v>113</v>
      </c>
      <c r="L214" t="s">
        <v>95</v>
      </c>
      <c r="M214" t="s">
        <v>94</v>
      </c>
      <c r="N214" t="s">
        <v>112</v>
      </c>
      <c r="O214" t="s">
        <v>115</v>
      </c>
    </row>
    <row r="215" spans="1:15" x14ac:dyDescent="0.3">
      <c r="A215" t="s">
        <v>9</v>
      </c>
      <c r="B215">
        <v>43</v>
      </c>
      <c r="C215">
        <v>1</v>
      </c>
      <c r="D215">
        <v>1</v>
      </c>
      <c r="E215">
        <v>1</v>
      </c>
      <c r="F215" t="s">
        <v>32</v>
      </c>
      <c r="G215" t="s">
        <v>16</v>
      </c>
      <c r="H215" t="s">
        <v>18</v>
      </c>
      <c r="I215" t="s">
        <v>13</v>
      </c>
      <c r="J215">
        <v>1</v>
      </c>
      <c r="K215" t="s">
        <v>114</v>
      </c>
      <c r="L215" t="s">
        <v>95</v>
      </c>
      <c r="M215" t="s">
        <v>94</v>
      </c>
      <c r="N215" t="s">
        <v>116</v>
      </c>
      <c r="O215" t="s">
        <v>115</v>
      </c>
    </row>
    <row r="216" spans="1:15" x14ac:dyDescent="0.3">
      <c r="A216" t="s">
        <v>14</v>
      </c>
      <c r="B216">
        <v>61</v>
      </c>
      <c r="C216">
        <v>0</v>
      </c>
      <c r="D216">
        <v>0</v>
      </c>
      <c r="E216">
        <v>1</v>
      </c>
      <c r="F216" t="s">
        <v>25</v>
      </c>
      <c r="G216" t="s">
        <v>11</v>
      </c>
      <c r="H216" t="s">
        <v>12</v>
      </c>
      <c r="I216" t="s">
        <v>13</v>
      </c>
      <c r="J216">
        <v>0</v>
      </c>
      <c r="K216" t="s">
        <v>108</v>
      </c>
      <c r="L216" t="s">
        <v>109</v>
      </c>
      <c r="M216" t="s">
        <v>94</v>
      </c>
      <c r="N216" t="s">
        <v>112</v>
      </c>
      <c r="O216" t="s">
        <v>110</v>
      </c>
    </row>
    <row r="217" spans="1:15" x14ac:dyDescent="0.3">
      <c r="A217" t="s">
        <v>9</v>
      </c>
      <c r="B217">
        <v>46</v>
      </c>
      <c r="C217">
        <v>0</v>
      </c>
      <c r="D217">
        <v>0</v>
      </c>
      <c r="E217">
        <v>0</v>
      </c>
      <c r="F217" t="s">
        <v>20</v>
      </c>
      <c r="G217" t="s">
        <v>16</v>
      </c>
      <c r="H217" t="s">
        <v>18</v>
      </c>
      <c r="I217" t="s">
        <v>13</v>
      </c>
      <c r="J217">
        <v>0</v>
      </c>
      <c r="K217" t="s">
        <v>108</v>
      </c>
      <c r="L217" t="s">
        <v>109</v>
      </c>
      <c r="M217" t="s">
        <v>111</v>
      </c>
      <c r="N217" t="s">
        <v>112</v>
      </c>
      <c r="O217" t="s">
        <v>110</v>
      </c>
    </row>
    <row r="218" spans="1:15" x14ac:dyDescent="0.3">
      <c r="A218" t="s">
        <v>14</v>
      </c>
      <c r="B218">
        <v>59</v>
      </c>
      <c r="C218">
        <v>1</v>
      </c>
      <c r="D218">
        <v>1</v>
      </c>
      <c r="E218">
        <v>1</v>
      </c>
      <c r="F218" t="s">
        <v>29</v>
      </c>
      <c r="G218" t="s">
        <v>11</v>
      </c>
      <c r="H218" t="s">
        <v>18</v>
      </c>
      <c r="I218" t="s">
        <v>13</v>
      </c>
      <c r="J218">
        <v>1</v>
      </c>
      <c r="K218" t="s">
        <v>108</v>
      </c>
      <c r="L218" t="s">
        <v>95</v>
      </c>
      <c r="M218" t="s">
        <v>94</v>
      </c>
      <c r="N218" t="s">
        <v>116</v>
      </c>
      <c r="O218" t="s">
        <v>115</v>
      </c>
    </row>
    <row r="219" spans="1:15" x14ac:dyDescent="0.3">
      <c r="A219" t="s">
        <v>9</v>
      </c>
      <c r="B219">
        <v>55</v>
      </c>
      <c r="C219">
        <v>1</v>
      </c>
      <c r="D219">
        <v>1</v>
      </c>
      <c r="E219">
        <v>1</v>
      </c>
      <c r="F219" t="s">
        <v>28</v>
      </c>
      <c r="G219" t="s">
        <v>16</v>
      </c>
      <c r="H219" t="s">
        <v>12</v>
      </c>
      <c r="I219" t="s">
        <v>13</v>
      </c>
      <c r="J219">
        <v>1</v>
      </c>
      <c r="K219" t="s">
        <v>108</v>
      </c>
      <c r="L219" t="s">
        <v>95</v>
      </c>
      <c r="M219" t="s">
        <v>94</v>
      </c>
      <c r="N219" t="s">
        <v>116</v>
      </c>
      <c r="O219" t="s">
        <v>115</v>
      </c>
    </row>
    <row r="220" spans="1:15" x14ac:dyDescent="0.3">
      <c r="A220" t="s">
        <v>14</v>
      </c>
      <c r="B220">
        <v>25</v>
      </c>
      <c r="C220">
        <v>0</v>
      </c>
      <c r="D220">
        <v>0</v>
      </c>
      <c r="E220">
        <v>1</v>
      </c>
      <c r="F220" t="s">
        <v>10</v>
      </c>
      <c r="G220" t="s">
        <v>11</v>
      </c>
      <c r="H220" t="s">
        <v>23</v>
      </c>
      <c r="I220" t="s">
        <v>13</v>
      </c>
      <c r="J220">
        <v>0</v>
      </c>
      <c r="K220" t="s">
        <v>114</v>
      </c>
      <c r="L220" t="s">
        <v>109</v>
      </c>
      <c r="M220" t="s">
        <v>94</v>
      </c>
      <c r="N220" t="s">
        <v>112</v>
      </c>
      <c r="O220" t="s">
        <v>110</v>
      </c>
    </row>
    <row r="221" spans="1:15" x14ac:dyDescent="0.3">
      <c r="A221" t="s">
        <v>9</v>
      </c>
      <c r="B221">
        <v>53</v>
      </c>
      <c r="C221">
        <v>0</v>
      </c>
      <c r="D221">
        <v>0</v>
      </c>
      <c r="E221">
        <v>1</v>
      </c>
      <c r="F221" t="s">
        <v>32</v>
      </c>
      <c r="G221" t="s">
        <v>16</v>
      </c>
      <c r="H221" t="s">
        <v>23</v>
      </c>
      <c r="I221" t="s">
        <v>13</v>
      </c>
      <c r="J221">
        <v>0</v>
      </c>
      <c r="K221" t="s">
        <v>108</v>
      </c>
      <c r="L221" t="s">
        <v>109</v>
      </c>
      <c r="M221" t="s">
        <v>94</v>
      </c>
      <c r="N221" t="s">
        <v>112</v>
      </c>
      <c r="O221" t="s">
        <v>110</v>
      </c>
    </row>
    <row r="222" spans="1:15" x14ac:dyDescent="0.3">
      <c r="A222" t="s">
        <v>9</v>
      </c>
      <c r="B222">
        <v>32</v>
      </c>
      <c r="C222">
        <v>1</v>
      </c>
      <c r="D222">
        <v>1</v>
      </c>
      <c r="E222">
        <v>0</v>
      </c>
      <c r="F222" t="s">
        <v>50</v>
      </c>
      <c r="G222" t="s">
        <v>11</v>
      </c>
      <c r="H222" t="s">
        <v>12</v>
      </c>
      <c r="I222" t="s">
        <v>13</v>
      </c>
      <c r="J222">
        <v>1</v>
      </c>
      <c r="K222" t="s">
        <v>114</v>
      </c>
      <c r="L222" t="s">
        <v>95</v>
      </c>
      <c r="M222" t="s">
        <v>111</v>
      </c>
      <c r="N222" t="s">
        <v>116</v>
      </c>
      <c r="O222" t="s">
        <v>115</v>
      </c>
    </row>
    <row r="223" spans="1:15" x14ac:dyDescent="0.3">
      <c r="A223" t="s">
        <v>14</v>
      </c>
      <c r="B223">
        <v>40</v>
      </c>
      <c r="C223">
        <v>1</v>
      </c>
      <c r="D223">
        <v>1</v>
      </c>
      <c r="E223">
        <v>1</v>
      </c>
      <c r="F223" t="s">
        <v>43</v>
      </c>
      <c r="G223" t="s">
        <v>16</v>
      </c>
      <c r="H223" t="s">
        <v>18</v>
      </c>
      <c r="I223" t="s">
        <v>13</v>
      </c>
      <c r="J223">
        <v>1</v>
      </c>
      <c r="K223" t="s">
        <v>114</v>
      </c>
      <c r="L223" t="s">
        <v>95</v>
      </c>
      <c r="M223" t="s">
        <v>94</v>
      </c>
      <c r="N223" t="s">
        <v>116</v>
      </c>
      <c r="O223" t="s">
        <v>115</v>
      </c>
    </row>
    <row r="224" spans="1:15" x14ac:dyDescent="0.3">
      <c r="A224" t="s">
        <v>14</v>
      </c>
      <c r="B224">
        <v>57</v>
      </c>
      <c r="C224">
        <v>1</v>
      </c>
      <c r="D224">
        <v>1</v>
      </c>
      <c r="E224">
        <v>1</v>
      </c>
      <c r="F224" t="s">
        <v>35</v>
      </c>
      <c r="G224" t="s">
        <v>11</v>
      </c>
      <c r="H224" t="s">
        <v>12</v>
      </c>
      <c r="I224" t="s">
        <v>13</v>
      </c>
      <c r="J224">
        <v>1</v>
      </c>
      <c r="K224" t="s">
        <v>108</v>
      </c>
      <c r="L224" t="s">
        <v>95</v>
      </c>
      <c r="M224" t="s">
        <v>94</v>
      </c>
      <c r="N224" t="s">
        <v>116</v>
      </c>
      <c r="O224" t="s">
        <v>115</v>
      </c>
    </row>
    <row r="225" spans="1:15" x14ac:dyDescent="0.3">
      <c r="A225" t="s">
        <v>14</v>
      </c>
      <c r="B225">
        <v>43</v>
      </c>
      <c r="C225">
        <v>0</v>
      </c>
      <c r="D225">
        <v>0</v>
      </c>
      <c r="E225">
        <v>1</v>
      </c>
      <c r="F225" t="s">
        <v>29</v>
      </c>
      <c r="G225" t="s">
        <v>16</v>
      </c>
      <c r="H225" t="s">
        <v>18</v>
      </c>
      <c r="I225" t="s">
        <v>13</v>
      </c>
      <c r="J225">
        <v>0</v>
      </c>
      <c r="K225" t="s">
        <v>114</v>
      </c>
      <c r="L225" t="s">
        <v>109</v>
      </c>
      <c r="M225" t="s">
        <v>94</v>
      </c>
      <c r="N225" t="s">
        <v>112</v>
      </c>
      <c r="O225" t="s">
        <v>110</v>
      </c>
    </row>
    <row r="226" spans="1:15" x14ac:dyDescent="0.3">
      <c r="A226" t="s">
        <v>14</v>
      </c>
      <c r="B226">
        <v>43</v>
      </c>
      <c r="C226">
        <v>0</v>
      </c>
      <c r="D226">
        <v>0</v>
      </c>
      <c r="E226">
        <v>1</v>
      </c>
      <c r="F226" t="s">
        <v>40</v>
      </c>
      <c r="G226" t="s">
        <v>11</v>
      </c>
      <c r="H226" t="s">
        <v>12</v>
      </c>
      <c r="I226" t="s">
        <v>13</v>
      </c>
      <c r="J226">
        <v>0</v>
      </c>
      <c r="K226" t="s">
        <v>114</v>
      </c>
      <c r="L226" t="s">
        <v>109</v>
      </c>
      <c r="M226" t="s">
        <v>94</v>
      </c>
      <c r="N226" t="s">
        <v>112</v>
      </c>
      <c r="O226" t="s">
        <v>110</v>
      </c>
    </row>
    <row r="227" spans="1:15" x14ac:dyDescent="0.3">
      <c r="A227" t="s">
        <v>14</v>
      </c>
      <c r="B227">
        <v>57</v>
      </c>
      <c r="C227">
        <v>0</v>
      </c>
      <c r="D227">
        <v>0</v>
      </c>
      <c r="E227">
        <v>0</v>
      </c>
      <c r="F227" t="s">
        <v>44</v>
      </c>
      <c r="G227" t="s">
        <v>16</v>
      </c>
      <c r="H227" t="s">
        <v>12</v>
      </c>
      <c r="I227" t="s">
        <v>13</v>
      </c>
      <c r="J227">
        <v>0</v>
      </c>
      <c r="K227" t="s">
        <v>108</v>
      </c>
      <c r="L227" t="s">
        <v>109</v>
      </c>
      <c r="M227" t="s">
        <v>111</v>
      </c>
      <c r="N227" t="s">
        <v>112</v>
      </c>
      <c r="O227" t="s">
        <v>110</v>
      </c>
    </row>
    <row r="228" spans="1:15" x14ac:dyDescent="0.3">
      <c r="A228" t="s">
        <v>9</v>
      </c>
      <c r="B228">
        <v>55</v>
      </c>
      <c r="C228">
        <v>1</v>
      </c>
      <c r="D228">
        <v>1</v>
      </c>
      <c r="E228">
        <v>1</v>
      </c>
      <c r="F228" t="s">
        <v>15</v>
      </c>
      <c r="G228" t="s">
        <v>11</v>
      </c>
      <c r="H228" t="s">
        <v>18</v>
      </c>
      <c r="I228" t="s">
        <v>13</v>
      </c>
      <c r="J228">
        <v>1</v>
      </c>
      <c r="K228" t="s">
        <v>108</v>
      </c>
      <c r="L228" t="s">
        <v>95</v>
      </c>
      <c r="M228" t="s">
        <v>94</v>
      </c>
      <c r="N228" t="s">
        <v>116</v>
      </c>
      <c r="O228" t="s">
        <v>115</v>
      </c>
    </row>
    <row r="229" spans="1:15" x14ac:dyDescent="0.3">
      <c r="A229" t="s">
        <v>9</v>
      </c>
      <c r="B229">
        <v>16</v>
      </c>
      <c r="C229">
        <v>1</v>
      </c>
      <c r="D229">
        <v>1</v>
      </c>
      <c r="E229">
        <v>0</v>
      </c>
      <c r="F229" t="s">
        <v>52</v>
      </c>
      <c r="G229" t="s">
        <v>16</v>
      </c>
      <c r="H229" t="s">
        <v>12</v>
      </c>
      <c r="I229" t="s">
        <v>13</v>
      </c>
      <c r="J229">
        <v>1</v>
      </c>
      <c r="K229" t="s">
        <v>113</v>
      </c>
      <c r="L229" t="s">
        <v>95</v>
      </c>
      <c r="M229" t="s">
        <v>111</v>
      </c>
      <c r="N229" t="s">
        <v>116</v>
      </c>
      <c r="O229" t="s">
        <v>115</v>
      </c>
    </row>
    <row r="230" spans="1:15" x14ac:dyDescent="0.3">
      <c r="A230" t="s">
        <v>14</v>
      </c>
      <c r="B230">
        <v>25</v>
      </c>
      <c r="C230">
        <v>0</v>
      </c>
      <c r="D230">
        <v>0</v>
      </c>
      <c r="E230">
        <v>1</v>
      </c>
      <c r="F230" t="s">
        <v>31</v>
      </c>
      <c r="G230" t="s">
        <v>11</v>
      </c>
      <c r="H230" t="s">
        <v>18</v>
      </c>
      <c r="I230" t="s">
        <v>13</v>
      </c>
      <c r="J230">
        <v>0</v>
      </c>
      <c r="K230" t="s">
        <v>114</v>
      </c>
      <c r="L230" t="s">
        <v>109</v>
      </c>
      <c r="M230" t="s">
        <v>94</v>
      </c>
      <c r="N230" t="s">
        <v>112</v>
      </c>
      <c r="O230" t="s">
        <v>110</v>
      </c>
    </row>
    <row r="231" spans="1:15" x14ac:dyDescent="0.3">
      <c r="A231" t="s">
        <v>9</v>
      </c>
      <c r="B231">
        <v>28</v>
      </c>
      <c r="C231">
        <v>1</v>
      </c>
      <c r="D231">
        <v>1</v>
      </c>
      <c r="E231">
        <v>0</v>
      </c>
      <c r="F231" t="s">
        <v>52</v>
      </c>
      <c r="G231" t="s">
        <v>16</v>
      </c>
      <c r="H231" t="s">
        <v>18</v>
      </c>
      <c r="I231" t="s">
        <v>13</v>
      </c>
      <c r="J231">
        <v>1</v>
      </c>
      <c r="K231" t="s">
        <v>114</v>
      </c>
      <c r="L231" t="s">
        <v>95</v>
      </c>
      <c r="M231" t="s">
        <v>111</v>
      </c>
      <c r="N231" t="s">
        <v>116</v>
      </c>
      <c r="O231" t="s">
        <v>115</v>
      </c>
    </row>
    <row r="232" spans="1:15" x14ac:dyDescent="0.3">
      <c r="A232" t="s">
        <v>9</v>
      </c>
      <c r="B232">
        <v>41</v>
      </c>
      <c r="C232">
        <v>0</v>
      </c>
      <c r="D232">
        <v>0</v>
      </c>
      <c r="E232">
        <v>0</v>
      </c>
      <c r="F232" t="s">
        <v>51</v>
      </c>
      <c r="G232" t="s">
        <v>11</v>
      </c>
      <c r="H232" t="s">
        <v>18</v>
      </c>
      <c r="I232" t="s">
        <v>13</v>
      </c>
      <c r="J232">
        <v>0</v>
      </c>
      <c r="K232" t="s">
        <v>114</v>
      </c>
      <c r="L232" t="s">
        <v>109</v>
      </c>
      <c r="M232" t="s">
        <v>111</v>
      </c>
      <c r="N232" t="s">
        <v>112</v>
      </c>
      <c r="O232" t="s">
        <v>110</v>
      </c>
    </row>
    <row r="233" spans="1:15" x14ac:dyDescent="0.3">
      <c r="A233" t="s">
        <v>14</v>
      </c>
      <c r="B233">
        <v>52</v>
      </c>
      <c r="C233">
        <v>1</v>
      </c>
      <c r="D233">
        <v>1</v>
      </c>
      <c r="E233">
        <v>1</v>
      </c>
      <c r="F233" t="s">
        <v>38</v>
      </c>
      <c r="G233" t="s">
        <v>16</v>
      </c>
      <c r="H233" t="s">
        <v>18</v>
      </c>
      <c r="I233" t="s">
        <v>13</v>
      </c>
      <c r="J233">
        <v>1</v>
      </c>
      <c r="K233" t="s">
        <v>108</v>
      </c>
      <c r="L233" t="s">
        <v>95</v>
      </c>
      <c r="M233" t="s">
        <v>94</v>
      </c>
      <c r="N233" t="s">
        <v>116</v>
      </c>
      <c r="O233" t="s">
        <v>115</v>
      </c>
    </row>
    <row r="234" spans="1:15" x14ac:dyDescent="0.3">
      <c r="A234" t="s">
        <v>14</v>
      </c>
      <c r="B234">
        <v>46</v>
      </c>
      <c r="C234">
        <v>1</v>
      </c>
      <c r="D234">
        <v>1</v>
      </c>
      <c r="E234">
        <v>0</v>
      </c>
      <c r="F234" t="s">
        <v>33</v>
      </c>
      <c r="G234" t="s">
        <v>11</v>
      </c>
      <c r="H234" t="s">
        <v>23</v>
      </c>
      <c r="I234" t="s">
        <v>13</v>
      </c>
      <c r="J234">
        <v>1</v>
      </c>
      <c r="K234" t="s">
        <v>108</v>
      </c>
      <c r="L234" t="s">
        <v>95</v>
      </c>
      <c r="M234" t="s">
        <v>111</v>
      </c>
      <c r="N234" t="s">
        <v>116</v>
      </c>
      <c r="O234" t="s">
        <v>115</v>
      </c>
    </row>
    <row r="235" spans="1:15" x14ac:dyDescent="0.3">
      <c r="A235" t="s">
        <v>9</v>
      </c>
      <c r="B235">
        <v>55</v>
      </c>
      <c r="C235">
        <v>0</v>
      </c>
      <c r="D235">
        <v>0</v>
      </c>
      <c r="E235">
        <v>1</v>
      </c>
      <c r="F235" t="s">
        <v>36</v>
      </c>
      <c r="G235" t="s">
        <v>16</v>
      </c>
      <c r="H235" t="s">
        <v>12</v>
      </c>
      <c r="I235" t="s">
        <v>13</v>
      </c>
      <c r="J235">
        <v>0</v>
      </c>
      <c r="K235" t="s">
        <v>108</v>
      </c>
      <c r="L235" t="s">
        <v>109</v>
      </c>
      <c r="M235" t="s">
        <v>94</v>
      </c>
      <c r="N235" t="s">
        <v>112</v>
      </c>
      <c r="O235" t="s">
        <v>110</v>
      </c>
    </row>
    <row r="236" spans="1:15" x14ac:dyDescent="0.3">
      <c r="A236" t="s">
        <v>9</v>
      </c>
      <c r="B236">
        <v>53</v>
      </c>
      <c r="C236">
        <v>1</v>
      </c>
      <c r="D236">
        <v>1</v>
      </c>
      <c r="E236">
        <v>1</v>
      </c>
      <c r="F236" t="s">
        <v>24</v>
      </c>
      <c r="G236" t="s">
        <v>11</v>
      </c>
      <c r="H236" t="s">
        <v>23</v>
      </c>
      <c r="I236" t="s">
        <v>13</v>
      </c>
      <c r="J236">
        <v>1</v>
      </c>
      <c r="K236" t="s">
        <v>108</v>
      </c>
      <c r="L236" t="s">
        <v>95</v>
      </c>
      <c r="M236" t="s">
        <v>94</v>
      </c>
      <c r="N236" t="s">
        <v>116</v>
      </c>
      <c r="O236" t="s">
        <v>115</v>
      </c>
    </row>
    <row r="237" spans="1:15" x14ac:dyDescent="0.3">
      <c r="A237" t="s">
        <v>9</v>
      </c>
      <c r="B237">
        <v>42</v>
      </c>
      <c r="C237">
        <v>1</v>
      </c>
      <c r="D237">
        <v>1</v>
      </c>
      <c r="E237">
        <v>0</v>
      </c>
      <c r="F237" t="s">
        <v>48</v>
      </c>
      <c r="G237" t="s">
        <v>16</v>
      </c>
      <c r="H237" t="s">
        <v>18</v>
      </c>
      <c r="I237" t="s">
        <v>13</v>
      </c>
      <c r="J237">
        <v>1</v>
      </c>
      <c r="K237" t="s">
        <v>114</v>
      </c>
      <c r="L237" t="s">
        <v>95</v>
      </c>
      <c r="M237" t="s">
        <v>111</v>
      </c>
      <c r="N237" t="s">
        <v>116</v>
      </c>
      <c r="O237" t="s">
        <v>115</v>
      </c>
    </row>
    <row r="238" spans="1:15" x14ac:dyDescent="0.3">
      <c r="A238" t="s">
        <v>9</v>
      </c>
      <c r="B238">
        <v>30</v>
      </c>
      <c r="C238">
        <v>0</v>
      </c>
      <c r="D238">
        <v>0</v>
      </c>
      <c r="E238">
        <v>0</v>
      </c>
      <c r="F238" t="s">
        <v>49</v>
      </c>
      <c r="G238" t="s">
        <v>11</v>
      </c>
      <c r="H238" t="s">
        <v>12</v>
      </c>
      <c r="I238" t="s">
        <v>13</v>
      </c>
      <c r="J238">
        <v>0</v>
      </c>
      <c r="K238" t="s">
        <v>114</v>
      </c>
      <c r="L238" t="s">
        <v>109</v>
      </c>
      <c r="M238" t="s">
        <v>111</v>
      </c>
      <c r="N238" t="s">
        <v>112</v>
      </c>
      <c r="O238" t="s">
        <v>110</v>
      </c>
    </row>
    <row r="239" spans="1:15" x14ac:dyDescent="0.3">
      <c r="A239" t="s">
        <v>9</v>
      </c>
      <c r="B239">
        <v>18</v>
      </c>
      <c r="C239">
        <v>1</v>
      </c>
      <c r="D239">
        <v>1</v>
      </c>
      <c r="E239">
        <v>0</v>
      </c>
      <c r="F239" t="s">
        <v>49</v>
      </c>
      <c r="G239" t="s">
        <v>16</v>
      </c>
      <c r="H239" t="s">
        <v>23</v>
      </c>
      <c r="I239" t="s">
        <v>13</v>
      </c>
      <c r="J239">
        <v>1</v>
      </c>
      <c r="K239" t="s">
        <v>113</v>
      </c>
      <c r="L239" t="s">
        <v>95</v>
      </c>
      <c r="M239" t="s">
        <v>111</v>
      </c>
      <c r="N239" t="s">
        <v>116</v>
      </c>
      <c r="O239" t="s">
        <v>115</v>
      </c>
    </row>
    <row r="240" spans="1:15" x14ac:dyDescent="0.3">
      <c r="A240" t="s">
        <v>9</v>
      </c>
      <c r="B240">
        <v>44</v>
      </c>
      <c r="C240">
        <v>0</v>
      </c>
      <c r="D240">
        <v>0</v>
      </c>
      <c r="E240">
        <v>1</v>
      </c>
      <c r="F240" t="s">
        <v>46</v>
      </c>
      <c r="G240" t="s">
        <v>11</v>
      </c>
      <c r="H240" t="s">
        <v>12</v>
      </c>
      <c r="I240" t="s">
        <v>13</v>
      </c>
      <c r="J240">
        <v>0</v>
      </c>
      <c r="K240" t="s">
        <v>114</v>
      </c>
      <c r="L240" t="s">
        <v>109</v>
      </c>
      <c r="M240" t="s">
        <v>94</v>
      </c>
      <c r="N240" t="s">
        <v>112</v>
      </c>
      <c r="O240" t="s">
        <v>110</v>
      </c>
    </row>
    <row r="241" spans="1:15" x14ac:dyDescent="0.3">
      <c r="A241" t="s">
        <v>9</v>
      </c>
      <c r="B241">
        <v>21</v>
      </c>
      <c r="C241">
        <v>1</v>
      </c>
      <c r="D241">
        <v>1</v>
      </c>
      <c r="E241">
        <v>1</v>
      </c>
      <c r="F241" t="s">
        <v>50</v>
      </c>
      <c r="G241" t="s">
        <v>16</v>
      </c>
      <c r="H241" t="s">
        <v>23</v>
      </c>
      <c r="I241" t="s">
        <v>13</v>
      </c>
      <c r="J241">
        <v>1</v>
      </c>
      <c r="K241" t="s">
        <v>117</v>
      </c>
      <c r="L241" t="s">
        <v>95</v>
      </c>
      <c r="M241" t="s">
        <v>94</v>
      </c>
      <c r="N241" t="s">
        <v>116</v>
      </c>
      <c r="O241" t="s">
        <v>115</v>
      </c>
    </row>
    <row r="242" spans="1:15" x14ac:dyDescent="0.3">
      <c r="A242" t="s">
        <v>14</v>
      </c>
      <c r="B242">
        <v>56</v>
      </c>
      <c r="C242">
        <v>0</v>
      </c>
      <c r="D242">
        <v>0</v>
      </c>
      <c r="E242">
        <v>0</v>
      </c>
      <c r="F242" t="s">
        <v>27</v>
      </c>
      <c r="G242" t="s">
        <v>11</v>
      </c>
      <c r="H242" t="s">
        <v>12</v>
      </c>
      <c r="I242" t="s">
        <v>13</v>
      </c>
      <c r="J242">
        <v>0</v>
      </c>
      <c r="K242" t="s">
        <v>108</v>
      </c>
      <c r="L242" t="s">
        <v>109</v>
      </c>
      <c r="M242" t="s">
        <v>111</v>
      </c>
      <c r="N242" t="s">
        <v>112</v>
      </c>
      <c r="O242" t="s">
        <v>110</v>
      </c>
    </row>
    <row r="243" spans="1:15" x14ac:dyDescent="0.3">
      <c r="A243" t="s">
        <v>14</v>
      </c>
      <c r="B243">
        <v>50</v>
      </c>
      <c r="C243">
        <v>1</v>
      </c>
      <c r="D243">
        <v>1</v>
      </c>
      <c r="E243">
        <v>0</v>
      </c>
      <c r="F243" t="s">
        <v>47</v>
      </c>
      <c r="G243" t="s">
        <v>16</v>
      </c>
      <c r="H243" t="s">
        <v>12</v>
      </c>
      <c r="I243" t="s">
        <v>13</v>
      </c>
      <c r="J243">
        <v>1</v>
      </c>
      <c r="K243" t="s">
        <v>108</v>
      </c>
      <c r="L243" t="s">
        <v>95</v>
      </c>
      <c r="M243" t="s">
        <v>111</v>
      </c>
      <c r="N243" t="s">
        <v>116</v>
      </c>
      <c r="O243" t="s">
        <v>115</v>
      </c>
    </row>
    <row r="244" spans="1:15" x14ac:dyDescent="0.3">
      <c r="A244" t="s">
        <v>9</v>
      </c>
      <c r="B244">
        <v>12</v>
      </c>
      <c r="C244">
        <v>1</v>
      </c>
      <c r="D244">
        <v>1</v>
      </c>
      <c r="E244">
        <v>0</v>
      </c>
      <c r="F244" t="s">
        <v>37</v>
      </c>
      <c r="G244" t="s">
        <v>11</v>
      </c>
      <c r="H244" t="s">
        <v>23</v>
      </c>
      <c r="I244" t="s">
        <v>13</v>
      </c>
      <c r="J244">
        <v>1</v>
      </c>
      <c r="K244" t="s">
        <v>118</v>
      </c>
      <c r="L244" t="s">
        <v>95</v>
      </c>
      <c r="M244" t="s">
        <v>111</v>
      </c>
      <c r="N244" t="s">
        <v>116</v>
      </c>
      <c r="O244" t="s">
        <v>115</v>
      </c>
    </row>
    <row r="245" spans="1:15" x14ac:dyDescent="0.3">
      <c r="A245" t="s">
        <v>14</v>
      </c>
      <c r="B245">
        <v>43</v>
      </c>
      <c r="C245">
        <v>0</v>
      </c>
      <c r="D245">
        <v>0</v>
      </c>
      <c r="E245">
        <v>0</v>
      </c>
      <c r="F245" t="s">
        <v>21</v>
      </c>
      <c r="G245" t="s">
        <v>16</v>
      </c>
      <c r="H245" t="s">
        <v>18</v>
      </c>
      <c r="I245" t="s">
        <v>13</v>
      </c>
      <c r="J245">
        <v>0</v>
      </c>
      <c r="K245" t="s">
        <v>114</v>
      </c>
      <c r="L245" t="s">
        <v>109</v>
      </c>
      <c r="M245" t="s">
        <v>111</v>
      </c>
      <c r="N245" t="s">
        <v>112</v>
      </c>
      <c r="O245" t="s">
        <v>110</v>
      </c>
    </row>
    <row r="246" spans="1:15" x14ac:dyDescent="0.3">
      <c r="A246" t="s">
        <v>9</v>
      </c>
      <c r="B246">
        <v>42</v>
      </c>
      <c r="C246">
        <v>1</v>
      </c>
      <c r="D246">
        <v>1</v>
      </c>
      <c r="E246">
        <v>0</v>
      </c>
      <c r="F246" t="s">
        <v>27</v>
      </c>
      <c r="G246" t="s">
        <v>11</v>
      </c>
      <c r="H246" t="s">
        <v>12</v>
      </c>
      <c r="I246" t="s">
        <v>13</v>
      </c>
      <c r="J246">
        <v>1</v>
      </c>
      <c r="K246" t="s">
        <v>114</v>
      </c>
      <c r="L246" t="s">
        <v>95</v>
      </c>
      <c r="M246" t="s">
        <v>111</v>
      </c>
      <c r="N246" t="s">
        <v>116</v>
      </c>
      <c r="O246" t="s">
        <v>115</v>
      </c>
    </row>
    <row r="247" spans="1:15" x14ac:dyDescent="0.3">
      <c r="A247" t="s">
        <v>9</v>
      </c>
      <c r="B247">
        <v>38</v>
      </c>
      <c r="C247">
        <v>0</v>
      </c>
      <c r="D247">
        <v>1</v>
      </c>
      <c r="E247">
        <v>0</v>
      </c>
      <c r="F247" t="s">
        <v>32</v>
      </c>
      <c r="G247" t="s">
        <v>16</v>
      </c>
      <c r="H247" t="s">
        <v>18</v>
      </c>
      <c r="I247" t="s">
        <v>13</v>
      </c>
      <c r="J247">
        <v>1</v>
      </c>
      <c r="K247" t="s">
        <v>114</v>
      </c>
      <c r="L247" t="s">
        <v>95</v>
      </c>
      <c r="M247" t="s">
        <v>111</v>
      </c>
      <c r="N247" t="s">
        <v>112</v>
      </c>
      <c r="O247" t="s">
        <v>115</v>
      </c>
    </row>
    <row r="248" spans="1:15" x14ac:dyDescent="0.3">
      <c r="A248" t="s">
        <v>14</v>
      </c>
      <c r="B248">
        <v>62</v>
      </c>
      <c r="C248">
        <v>1</v>
      </c>
      <c r="D248">
        <v>1</v>
      </c>
      <c r="E248">
        <v>0</v>
      </c>
      <c r="F248" t="s">
        <v>43</v>
      </c>
      <c r="G248" t="s">
        <v>11</v>
      </c>
      <c r="H248" t="s">
        <v>23</v>
      </c>
      <c r="I248" t="s">
        <v>13</v>
      </c>
      <c r="J248">
        <v>1</v>
      </c>
      <c r="K248" t="s">
        <v>108</v>
      </c>
      <c r="L248" t="s">
        <v>95</v>
      </c>
      <c r="M248" t="s">
        <v>111</v>
      </c>
      <c r="N248" t="s">
        <v>116</v>
      </c>
      <c r="O248" t="s">
        <v>115</v>
      </c>
    </row>
    <row r="249" spans="1:15" x14ac:dyDescent="0.3">
      <c r="A249" t="s">
        <v>9</v>
      </c>
      <c r="B249">
        <v>32</v>
      </c>
      <c r="C249">
        <v>0</v>
      </c>
      <c r="D249">
        <v>0</v>
      </c>
      <c r="E249">
        <v>0</v>
      </c>
      <c r="F249" t="s">
        <v>48</v>
      </c>
      <c r="G249" t="s">
        <v>16</v>
      </c>
      <c r="H249" t="s">
        <v>23</v>
      </c>
      <c r="I249" t="s">
        <v>13</v>
      </c>
      <c r="J249">
        <v>0</v>
      </c>
      <c r="K249" t="s">
        <v>114</v>
      </c>
      <c r="L249" t="s">
        <v>109</v>
      </c>
      <c r="M249" t="s">
        <v>111</v>
      </c>
      <c r="N249" t="s">
        <v>112</v>
      </c>
      <c r="O249" t="s">
        <v>110</v>
      </c>
    </row>
    <row r="250" spans="1:15" x14ac:dyDescent="0.3">
      <c r="A250" t="s">
        <v>14</v>
      </c>
      <c r="B250">
        <v>19</v>
      </c>
      <c r="C250">
        <v>1</v>
      </c>
      <c r="D250">
        <v>1</v>
      </c>
      <c r="E250">
        <v>0</v>
      </c>
      <c r="F250" t="s">
        <v>49</v>
      </c>
      <c r="G250" t="s">
        <v>11</v>
      </c>
      <c r="H250" t="s">
        <v>12</v>
      </c>
      <c r="I250" t="s">
        <v>13</v>
      </c>
      <c r="J250">
        <v>1</v>
      </c>
      <c r="K250" t="s">
        <v>117</v>
      </c>
      <c r="L250" t="s">
        <v>95</v>
      </c>
      <c r="M250" t="s">
        <v>111</v>
      </c>
      <c r="N250" t="s">
        <v>116</v>
      </c>
      <c r="O250" t="s">
        <v>115</v>
      </c>
    </row>
    <row r="251" spans="1:15" x14ac:dyDescent="0.3">
      <c r="A251" t="s">
        <v>9</v>
      </c>
      <c r="B251">
        <v>19</v>
      </c>
      <c r="C251">
        <v>1</v>
      </c>
      <c r="D251">
        <v>1</v>
      </c>
      <c r="E251">
        <v>1</v>
      </c>
      <c r="F251" t="s">
        <v>25</v>
      </c>
      <c r="G251" t="s">
        <v>16</v>
      </c>
      <c r="H251" t="s">
        <v>18</v>
      </c>
      <c r="I251" t="s">
        <v>13</v>
      </c>
      <c r="J251">
        <v>1</v>
      </c>
      <c r="K251" t="s">
        <v>117</v>
      </c>
      <c r="L251" t="s">
        <v>95</v>
      </c>
      <c r="M251" t="s">
        <v>94</v>
      </c>
      <c r="N251" t="s">
        <v>116</v>
      </c>
      <c r="O251" t="s">
        <v>115</v>
      </c>
    </row>
    <row r="252" spans="1:15" x14ac:dyDescent="0.3">
      <c r="A252" t="s">
        <v>14</v>
      </c>
      <c r="B252">
        <v>40</v>
      </c>
      <c r="C252">
        <v>1</v>
      </c>
      <c r="D252">
        <v>1</v>
      </c>
      <c r="E252">
        <v>1</v>
      </c>
      <c r="F252" t="s">
        <v>39</v>
      </c>
      <c r="G252" t="s">
        <v>11</v>
      </c>
      <c r="H252" t="s">
        <v>18</v>
      </c>
      <c r="I252" t="s">
        <v>13</v>
      </c>
      <c r="J252">
        <v>1</v>
      </c>
      <c r="K252" t="s">
        <v>114</v>
      </c>
      <c r="L252" t="s">
        <v>95</v>
      </c>
      <c r="M252" t="s">
        <v>94</v>
      </c>
      <c r="N252" t="s">
        <v>116</v>
      </c>
      <c r="O252" t="s">
        <v>115</v>
      </c>
    </row>
    <row r="253" spans="1:15" x14ac:dyDescent="0.3">
      <c r="A253" t="s">
        <v>9</v>
      </c>
      <c r="B253">
        <v>10</v>
      </c>
      <c r="C253">
        <v>0</v>
      </c>
      <c r="D253">
        <v>0</v>
      </c>
      <c r="E253">
        <v>1</v>
      </c>
      <c r="F253" t="s">
        <v>27</v>
      </c>
      <c r="G253" t="s">
        <v>16</v>
      </c>
      <c r="H253" t="s">
        <v>23</v>
      </c>
      <c r="I253" t="s">
        <v>13</v>
      </c>
      <c r="J253">
        <v>0</v>
      </c>
      <c r="K253" t="s">
        <v>118</v>
      </c>
      <c r="L253" t="s">
        <v>109</v>
      </c>
      <c r="M253" t="s">
        <v>94</v>
      </c>
      <c r="N253" t="s">
        <v>112</v>
      </c>
      <c r="O253" t="s">
        <v>110</v>
      </c>
    </row>
    <row r="254" spans="1:15" x14ac:dyDescent="0.3">
      <c r="A254" t="s">
        <v>9</v>
      </c>
      <c r="B254">
        <v>20</v>
      </c>
      <c r="C254">
        <v>0</v>
      </c>
      <c r="D254">
        <v>0</v>
      </c>
      <c r="E254">
        <v>0</v>
      </c>
      <c r="F254" t="s">
        <v>22</v>
      </c>
      <c r="G254" t="s">
        <v>11</v>
      </c>
      <c r="H254" t="s">
        <v>23</v>
      </c>
      <c r="I254" t="s">
        <v>13</v>
      </c>
      <c r="J254">
        <v>0</v>
      </c>
      <c r="K254" t="s">
        <v>117</v>
      </c>
      <c r="L254" t="s">
        <v>109</v>
      </c>
      <c r="M254" t="s">
        <v>111</v>
      </c>
      <c r="N254" t="s">
        <v>112</v>
      </c>
      <c r="O254" t="s">
        <v>110</v>
      </c>
    </row>
    <row r="255" spans="1:15" x14ac:dyDescent="0.3">
      <c r="A255" t="s">
        <v>14</v>
      </c>
      <c r="B255">
        <v>26</v>
      </c>
      <c r="C255">
        <v>0</v>
      </c>
      <c r="D255">
        <v>0</v>
      </c>
      <c r="E255">
        <v>0</v>
      </c>
      <c r="F255" t="s">
        <v>24</v>
      </c>
      <c r="G255" t="s">
        <v>16</v>
      </c>
      <c r="H255" t="s">
        <v>18</v>
      </c>
      <c r="I255" t="s">
        <v>13</v>
      </c>
      <c r="J255">
        <v>0</v>
      </c>
      <c r="K255" t="s">
        <v>114</v>
      </c>
      <c r="L255" t="s">
        <v>109</v>
      </c>
      <c r="M255" t="s">
        <v>111</v>
      </c>
      <c r="N255" t="s">
        <v>112</v>
      </c>
      <c r="O255" t="s">
        <v>110</v>
      </c>
    </row>
    <row r="256" spans="1:15" x14ac:dyDescent="0.3">
      <c r="A256" t="s">
        <v>14</v>
      </c>
      <c r="B256">
        <v>29</v>
      </c>
      <c r="C256">
        <v>0</v>
      </c>
      <c r="D256">
        <v>0</v>
      </c>
      <c r="E256">
        <v>0</v>
      </c>
      <c r="F256" t="s">
        <v>40</v>
      </c>
      <c r="G256" t="s">
        <v>11</v>
      </c>
      <c r="H256" t="s">
        <v>23</v>
      </c>
      <c r="I256" t="s">
        <v>13</v>
      </c>
      <c r="J256">
        <v>0</v>
      </c>
      <c r="K256" t="s">
        <v>114</v>
      </c>
      <c r="L256" t="s">
        <v>109</v>
      </c>
      <c r="M256" t="s">
        <v>111</v>
      </c>
      <c r="N256" t="s">
        <v>112</v>
      </c>
      <c r="O256" t="s">
        <v>110</v>
      </c>
    </row>
    <row r="257" spans="1:15" x14ac:dyDescent="0.3">
      <c r="A257" t="s">
        <v>14</v>
      </c>
      <c r="B257">
        <v>39</v>
      </c>
      <c r="C257">
        <v>1</v>
      </c>
      <c r="D257">
        <v>1</v>
      </c>
      <c r="E257">
        <v>1</v>
      </c>
      <c r="F257" t="s">
        <v>28</v>
      </c>
      <c r="G257" t="s">
        <v>16</v>
      </c>
      <c r="H257" t="s">
        <v>18</v>
      </c>
      <c r="I257" t="s">
        <v>13</v>
      </c>
      <c r="J257">
        <v>1</v>
      </c>
      <c r="K257" t="s">
        <v>114</v>
      </c>
      <c r="L257" t="s">
        <v>95</v>
      </c>
      <c r="M257" t="s">
        <v>94</v>
      </c>
      <c r="N257" t="s">
        <v>116</v>
      </c>
      <c r="O257" t="s">
        <v>115</v>
      </c>
    </row>
    <row r="258" spans="1:15" x14ac:dyDescent="0.3">
      <c r="A258" t="s">
        <v>9</v>
      </c>
      <c r="B258">
        <v>65</v>
      </c>
      <c r="C258">
        <v>1</v>
      </c>
      <c r="D258">
        <v>1</v>
      </c>
      <c r="E258">
        <v>1</v>
      </c>
      <c r="F258" t="s">
        <v>41</v>
      </c>
      <c r="G258" t="s">
        <v>11</v>
      </c>
      <c r="H258" t="s">
        <v>18</v>
      </c>
      <c r="I258" t="s">
        <v>13</v>
      </c>
      <c r="J258">
        <v>1</v>
      </c>
      <c r="K258" t="s">
        <v>119</v>
      </c>
      <c r="L258" t="s">
        <v>95</v>
      </c>
      <c r="M258" t="s">
        <v>94</v>
      </c>
      <c r="N258" t="s">
        <v>116</v>
      </c>
      <c r="O258" t="s">
        <v>115</v>
      </c>
    </row>
    <row r="259" spans="1:15" x14ac:dyDescent="0.3">
      <c r="A259" t="s">
        <v>9</v>
      </c>
      <c r="B259">
        <v>38</v>
      </c>
      <c r="C259">
        <v>0</v>
      </c>
      <c r="D259">
        <v>0</v>
      </c>
      <c r="E259">
        <v>1</v>
      </c>
      <c r="F259" t="s">
        <v>48</v>
      </c>
      <c r="G259" t="s">
        <v>16</v>
      </c>
      <c r="H259" t="s">
        <v>18</v>
      </c>
      <c r="I259" t="s">
        <v>13</v>
      </c>
      <c r="J259">
        <v>0</v>
      </c>
      <c r="K259" t="s">
        <v>114</v>
      </c>
      <c r="L259" t="s">
        <v>109</v>
      </c>
      <c r="M259" t="s">
        <v>94</v>
      </c>
      <c r="N259" t="s">
        <v>112</v>
      </c>
      <c r="O259" t="s">
        <v>110</v>
      </c>
    </row>
    <row r="260" spans="1:15" x14ac:dyDescent="0.3">
      <c r="A260" t="s">
        <v>14</v>
      </c>
      <c r="B260">
        <v>14</v>
      </c>
      <c r="C260">
        <v>0</v>
      </c>
      <c r="D260">
        <v>0</v>
      </c>
      <c r="E260">
        <v>0</v>
      </c>
      <c r="F260" t="s">
        <v>48</v>
      </c>
      <c r="G260" t="s">
        <v>11</v>
      </c>
      <c r="H260" t="s">
        <v>23</v>
      </c>
      <c r="I260" t="s">
        <v>13</v>
      </c>
      <c r="J260">
        <v>0</v>
      </c>
      <c r="K260" t="s">
        <v>113</v>
      </c>
      <c r="L260" t="s">
        <v>109</v>
      </c>
      <c r="M260" t="s">
        <v>111</v>
      </c>
      <c r="N260" t="s">
        <v>112</v>
      </c>
      <c r="O260" t="s">
        <v>110</v>
      </c>
    </row>
    <row r="261" spans="1:15" x14ac:dyDescent="0.3">
      <c r="A261" t="s">
        <v>9</v>
      </c>
      <c r="B261">
        <v>62</v>
      </c>
      <c r="C261">
        <v>0</v>
      </c>
      <c r="D261">
        <v>0</v>
      </c>
      <c r="E261">
        <v>0</v>
      </c>
      <c r="F261" t="s">
        <v>25</v>
      </c>
      <c r="G261" t="s">
        <v>16</v>
      </c>
      <c r="H261" t="s">
        <v>23</v>
      </c>
      <c r="I261" t="s">
        <v>13</v>
      </c>
      <c r="J261">
        <v>0</v>
      </c>
      <c r="K261" t="s">
        <v>108</v>
      </c>
      <c r="L261" t="s">
        <v>109</v>
      </c>
      <c r="M261" t="s">
        <v>111</v>
      </c>
      <c r="N261" t="s">
        <v>112</v>
      </c>
      <c r="O261" t="s">
        <v>110</v>
      </c>
    </row>
    <row r="262" spans="1:15" x14ac:dyDescent="0.3">
      <c r="A262" t="s">
        <v>9</v>
      </c>
      <c r="B262">
        <v>37</v>
      </c>
      <c r="C262">
        <v>0</v>
      </c>
      <c r="D262">
        <v>0</v>
      </c>
      <c r="E262">
        <v>1</v>
      </c>
      <c r="F262" t="s">
        <v>39</v>
      </c>
      <c r="G262" t="s">
        <v>11</v>
      </c>
      <c r="H262" t="s">
        <v>18</v>
      </c>
      <c r="I262" t="s">
        <v>13</v>
      </c>
      <c r="J262">
        <v>0</v>
      </c>
      <c r="K262" t="s">
        <v>114</v>
      </c>
      <c r="L262" t="s">
        <v>109</v>
      </c>
      <c r="M262" t="s">
        <v>94</v>
      </c>
      <c r="N262" t="s">
        <v>112</v>
      </c>
      <c r="O262" t="s">
        <v>110</v>
      </c>
    </row>
    <row r="263" spans="1:15" x14ac:dyDescent="0.3">
      <c r="A263" t="s">
        <v>9</v>
      </c>
      <c r="B263">
        <v>25</v>
      </c>
      <c r="C263">
        <v>1</v>
      </c>
      <c r="D263">
        <v>1</v>
      </c>
      <c r="E263">
        <v>1</v>
      </c>
      <c r="F263" t="s">
        <v>44</v>
      </c>
      <c r="G263" t="s">
        <v>16</v>
      </c>
      <c r="H263" t="s">
        <v>23</v>
      </c>
      <c r="I263" t="s">
        <v>13</v>
      </c>
      <c r="J263">
        <v>1</v>
      </c>
      <c r="K263" t="s">
        <v>114</v>
      </c>
      <c r="L263" t="s">
        <v>95</v>
      </c>
      <c r="M263" t="s">
        <v>94</v>
      </c>
      <c r="N263" t="s">
        <v>116</v>
      </c>
      <c r="O263" t="s">
        <v>115</v>
      </c>
    </row>
    <row r="264" spans="1:15" x14ac:dyDescent="0.3">
      <c r="A264" t="s">
        <v>9</v>
      </c>
      <c r="B264">
        <v>64</v>
      </c>
      <c r="C264">
        <v>1</v>
      </c>
      <c r="D264">
        <v>1</v>
      </c>
      <c r="E264">
        <v>0</v>
      </c>
      <c r="F264" t="s">
        <v>49</v>
      </c>
      <c r="G264" t="s">
        <v>11</v>
      </c>
      <c r="H264" t="s">
        <v>23</v>
      </c>
      <c r="I264" t="s">
        <v>13</v>
      </c>
      <c r="J264">
        <v>1</v>
      </c>
      <c r="K264" t="s">
        <v>108</v>
      </c>
      <c r="L264" t="s">
        <v>95</v>
      </c>
      <c r="M264" t="s">
        <v>111</v>
      </c>
      <c r="N264" t="s">
        <v>116</v>
      </c>
      <c r="O264" t="s">
        <v>115</v>
      </c>
    </row>
    <row r="265" spans="1:15" x14ac:dyDescent="0.3">
      <c r="A265" t="s">
        <v>9</v>
      </c>
      <c r="B265">
        <v>51</v>
      </c>
      <c r="C265">
        <v>1</v>
      </c>
      <c r="D265">
        <v>1</v>
      </c>
      <c r="E265">
        <v>1</v>
      </c>
      <c r="F265" t="s">
        <v>32</v>
      </c>
      <c r="G265" t="s">
        <v>16</v>
      </c>
      <c r="H265" t="s">
        <v>18</v>
      </c>
      <c r="I265" t="s">
        <v>13</v>
      </c>
      <c r="J265">
        <v>1</v>
      </c>
      <c r="K265" t="s">
        <v>108</v>
      </c>
      <c r="L265" t="s">
        <v>95</v>
      </c>
      <c r="M265" t="s">
        <v>94</v>
      </c>
      <c r="N265" t="s">
        <v>116</v>
      </c>
      <c r="O265" t="s">
        <v>115</v>
      </c>
    </row>
    <row r="266" spans="1:15" x14ac:dyDescent="0.3">
      <c r="A266" t="s">
        <v>9</v>
      </c>
      <c r="B266">
        <v>11</v>
      </c>
      <c r="C266">
        <v>0</v>
      </c>
      <c r="D266">
        <v>0</v>
      </c>
      <c r="E266">
        <v>1</v>
      </c>
      <c r="F266" t="s">
        <v>10</v>
      </c>
      <c r="G266" t="s">
        <v>11</v>
      </c>
      <c r="H266" t="s">
        <v>12</v>
      </c>
      <c r="I266" t="s">
        <v>13</v>
      </c>
      <c r="J266">
        <v>0</v>
      </c>
      <c r="K266" t="s">
        <v>118</v>
      </c>
      <c r="L266" t="s">
        <v>109</v>
      </c>
      <c r="M266" t="s">
        <v>94</v>
      </c>
      <c r="N266" t="s">
        <v>112</v>
      </c>
      <c r="O266" t="s">
        <v>110</v>
      </c>
    </row>
    <row r="267" spans="1:15" x14ac:dyDescent="0.3">
      <c r="A267" t="s">
        <v>14</v>
      </c>
      <c r="B267">
        <v>20</v>
      </c>
      <c r="C267">
        <v>1</v>
      </c>
      <c r="D267">
        <v>1</v>
      </c>
      <c r="E267">
        <v>1</v>
      </c>
      <c r="F267" t="s">
        <v>40</v>
      </c>
      <c r="G267" t="s">
        <v>16</v>
      </c>
      <c r="H267" t="s">
        <v>12</v>
      </c>
      <c r="I267" t="s">
        <v>13</v>
      </c>
      <c r="J267">
        <v>1</v>
      </c>
      <c r="K267" t="s">
        <v>117</v>
      </c>
      <c r="L267" t="s">
        <v>95</v>
      </c>
      <c r="M267" t="s">
        <v>94</v>
      </c>
      <c r="N267" t="s">
        <v>116</v>
      </c>
      <c r="O267" t="s">
        <v>115</v>
      </c>
    </row>
    <row r="268" spans="1:15" x14ac:dyDescent="0.3">
      <c r="A268" t="s">
        <v>14</v>
      </c>
      <c r="B268">
        <v>8</v>
      </c>
      <c r="C268">
        <v>0</v>
      </c>
      <c r="D268">
        <v>0</v>
      </c>
      <c r="E268">
        <v>0</v>
      </c>
      <c r="F268" t="s">
        <v>46</v>
      </c>
      <c r="G268" t="s">
        <v>11</v>
      </c>
      <c r="H268" t="s">
        <v>23</v>
      </c>
      <c r="I268" t="s">
        <v>13</v>
      </c>
      <c r="J268">
        <v>0</v>
      </c>
      <c r="K268" t="s">
        <v>118</v>
      </c>
      <c r="L268" t="s">
        <v>109</v>
      </c>
      <c r="M268" t="s">
        <v>111</v>
      </c>
      <c r="N268" t="s">
        <v>112</v>
      </c>
      <c r="O268" t="s">
        <v>110</v>
      </c>
    </row>
    <row r="269" spans="1:15" x14ac:dyDescent="0.3">
      <c r="A269" t="s">
        <v>14</v>
      </c>
      <c r="B269">
        <v>27</v>
      </c>
      <c r="C269">
        <v>1</v>
      </c>
      <c r="D269">
        <v>1</v>
      </c>
      <c r="E269">
        <v>1</v>
      </c>
      <c r="F269" t="s">
        <v>43</v>
      </c>
      <c r="G269" t="s">
        <v>16</v>
      </c>
      <c r="H269" t="s">
        <v>23</v>
      </c>
      <c r="I269" t="s">
        <v>13</v>
      </c>
      <c r="J269">
        <v>1</v>
      </c>
      <c r="K269" t="s">
        <v>114</v>
      </c>
      <c r="L269" t="s">
        <v>95</v>
      </c>
      <c r="M269" t="s">
        <v>94</v>
      </c>
      <c r="N269" t="s">
        <v>116</v>
      </c>
      <c r="O269" t="s">
        <v>115</v>
      </c>
    </row>
    <row r="270" spans="1:15" x14ac:dyDescent="0.3">
      <c r="A270" t="s">
        <v>9</v>
      </c>
      <c r="B270">
        <v>44</v>
      </c>
      <c r="C270">
        <v>1</v>
      </c>
      <c r="D270">
        <v>1</v>
      </c>
      <c r="E270">
        <v>1</v>
      </c>
      <c r="F270" t="s">
        <v>19</v>
      </c>
      <c r="G270" t="s">
        <v>11</v>
      </c>
      <c r="H270" t="s">
        <v>12</v>
      </c>
      <c r="I270" t="s">
        <v>13</v>
      </c>
      <c r="J270">
        <v>1</v>
      </c>
      <c r="K270" t="s">
        <v>114</v>
      </c>
      <c r="L270" t="s">
        <v>95</v>
      </c>
      <c r="M270" t="s">
        <v>94</v>
      </c>
      <c r="N270" t="s">
        <v>116</v>
      </c>
      <c r="O270" t="s">
        <v>115</v>
      </c>
    </row>
    <row r="271" spans="1:15" x14ac:dyDescent="0.3">
      <c r="A271" t="s">
        <v>9</v>
      </c>
      <c r="B271">
        <v>28</v>
      </c>
      <c r="C271">
        <v>1</v>
      </c>
      <c r="D271">
        <v>1</v>
      </c>
      <c r="E271">
        <v>0</v>
      </c>
      <c r="F271" t="s">
        <v>21</v>
      </c>
      <c r="G271" t="s">
        <v>16</v>
      </c>
      <c r="H271" t="s">
        <v>23</v>
      </c>
      <c r="I271" t="s">
        <v>13</v>
      </c>
      <c r="J271">
        <v>1</v>
      </c>
      <c r="K271" t="s">
        <v>114</v>
      </c>
      <c r="L271" t="s">
        <v>95</v>
      </c>
      <c r="M271" t="s">
        <v>111</v>
      </c>
      <c r="N271" t="s">
        <v>116</v>
      </c>
      <c r="O271" t="s">
        <v>115</v>
      </c>
    </row>
    <row r="272" spans="1:15" x14ac:dyDescent="0.3">
      <c r="A272" t="s">
        <v>14</v>
      </c>
      <c r="B272">
        <v>38</v>
      </c>
      <c r="C272">
        <v>0</v>
      </c>
      <c r="D272">
        <v>0</v>
      </c>
      <c r="E272">
        <v>0</v>
      </c>
      <c r="F272" t="s">
        <v>35</v>
      </c>
      <c r="G272" t="s">
        <v>11</v>
      </c>
      <c r="H272" t="s">
        <v>23</v>
      </c>
      <c r="I272" t="s">
        <v>13</v>
      </c>
      <c r="J272">
        <v>0</v>
      </c>
      <c r="K272" t="s">
        <v>114</v>
      </c>
      <c r="L272" t="s">
        <v>109</v>
      </c>
      <c r="M272" t="s">
        <v>111</v>
      </c>
      <c r="N272" t="s">
        <v>112</v>
      </c>
      <c r="O272" t="s">
        <v>110</v>
      </c>
    </row>
    <row r="273" spans="1:15" x14ac:dyDescent="0.3">
      <c r="A273" t="s">
        <v>14</v>
      </c>
      <c r="B273">
        <v>27</v>
      </c>
      <c r="C273">
        <v>0</v>
      </c>
      <c r="D273">
        <v>0</v>
      </c>
      <c r="E273">
        <v>0</v>
      </c>
      <c r="F273" t="s">
        <v>49</v>
      </c>
      <c r="G273" t="s">
        <v>16</v>
      </c>
      <c r="H273" t="s">
        <v>23</v>
      </c>
      <c r="I273" t="s">
        <v>13</v>
      </c>
      <c r="J273">
        <v>0</v>
      </c>
      <c r="K273" t="s">
        <v>114</v>
      </c>
      <c r="L273" t="s">
        <v>109</v>
      </c>
      <c r="M273" t="s">
        <v>111</v>
      </c>
      <c r="N273" t="s">
        <v>112</v>
      </c>
      <c r="O273" t="s">
        <v>110</v>
      </c>
    </row>
    <row r="274" spans="1:15" x14ac:dyDescent="0.3">
      <c r="A274" t="s">
        <v>14</v>
      </c>
      <c r="B274">
        <v>36</v>
      </c>
      <c r="C274">
        <v>1</v>
      </c>
      <c r="D274">
        <v>1</v>
      </c>
      <c r="E274">
        <v>0</v>
      </c>
      <c r="F274" t="s">
        <v>48</v>
      </c>
      <c r="G274" t="s">
        <v>11</v>
      </c>
      <c r="H274" t="s">
        <v>12</v>
      </c>
      <c r="I274" t="s">
        <v>13</v>
      </c>
      <c r="J274">
        <v>1</v>
      </c>
      <c r="K274" t="s">
        <v>114</v>
      </c>
      <c r="L274" t="s">
        <v>95</v>
      </c>
      <c r="M274" t="s">
        <v>111</v>
      </c>
      <c r="N274" t="s">
        <v>116</v>
      </c>
      <c r="O274" t="s">
        <v>115</v>
      </c>
    </row>
    <row r="275" spans="1:15" x14ac:dyDescent="0.3">
      <c r="A275" t="s">
        <v>9</v>
      </c>
      <c r="B275">
        <v>65</v>
      </c>
      <c r="C275">
        <v>0</v>
      </c>
      <c r="D275">
        <v>0</v>
      </c>
      <c r="E275">
        <v>1</v>
      </c>
      <c r="F275" t="s">
        <v>17</v>
      </c>
      <c r="G275" t="s">
        <v>16</v>
      </c>
      <c r="H275" t="s">
        <v>12</v>
      </c>
      <c r="I275" t="s">
        <v>13</v>
      </c>
      <c r="J275">
        <v>0</v>
      </c>
      <c r="K275" t="s">
        <v>119</v>
      </c>
      <c r="L275" t="s">
        <v>109</v>
      </c>
      <c r="M275" t="s">
        <v>94</v>
      </c>
      <c r="N275" t="s">
        <v>112</v>
      </c>
      <c r="O275" t="s">
        <v>110</v>
      </c>
    </row>
    <row r="276" spans="1:15" x14ac:dyDescent="0.3">
      <c r="A276" t="s">
        <v>9</v>
      </c>
      <c r="B276">
        <v>38</v>
      </c>
      <c r="C276">
        <v>1</v>
      </c>
      <c r="D276">
        <v>1</v>
      </c>
      <c r="E276">
        <v>0</v>
      </c>
      <c r="F276" t="s">
        <v>34</v>
      </c>
      <c r="G276" t="s">
        <v>11</v>
      </c>
      <c r="H276" t="s">
        <v>18</v>
      </c>
      <c r="I276" t="s">
        <v>13</v>
      </c>
      <c r="J276">
        <v>1</v>
      </c>
      <c r="K276" t="s">
        <v>114</v>
      </c>
      <c r="L276" t="s">
        <v>95</v>
      </c>
      <c r="M276" t="s">
        <v>111</v>
      </c>
      <c r="N276" t="s">
        <v>116</v>
      </c>
      <c r="O276" t="s">
        <v>115</v>
      </c>
    </row>
    <row r="277" spans="1:15" x14ac:dyDescent="0.3">
      <c r="A277" t="s">
        <v>9</v>
      </c>
      <c r="B277">
        <v>42</v>
      </c>
      <c r="C277">
        <v>1</v>
      </c>
      <c r="D277">
        <v>1</v>
      </c>
      <c r="E277">
        <v>0</v>
      </c>
      <c r="F277" t="s">
        <v>24</v>
      </c>
      <c r="G277" t="s">
        <v>16</v>
      </c>
      <c r="H277" t="s">
        <v>12</v>
      </c>
      <c r="I277" t="s">
        <v>13</v>
      </c>
      <c r="J277">
        <v>1</v>
      </c>
      <c r="K277" t="s">
        <v>114</v>
      </c>
      <c r="L277" t="s">
        <v>95</v>
      </c>
      <c r="M277" t="s">
        <v>111</v>
      </c>
      <c r="N277" t="s">
        <v>116</v>
      </c>
      <c r="O277" t="s">
        <v>115</v>
      </c>
    </row>
    <row r="278" spans="1:15" x14ac:dyDescent="0.3">
      <c r="A278" t="s">
        <v>14</v>
      </c>
      <c r="B278">
        <v>10</v>
      </c>
      <c r="C278">
        <v>1</v>
      </c>
      <c r="D278">
        <v>1</v>
      </c>
      <c r="E278">
        <v>1</v>
      </c>
      <c r="F278" t="s">
        <v>47</v>
      </c>
      <c r="G278" t="s">
        <v>11</v>
      </c>
      <c r="H278" t="s">
        <v>12</v>
      </c>
      <c r="I278" t="s">
        <v>13</v>
      </c>
      <c r="J278">
        <v>1</v>
      </c>
      <c r="K278" t="s">
        <v>118</v>
      </c>
      <c r="L278" t="s">
        <v>95</v>
      </c>
      <c r="M278" t="s">
        <v>94</v>
      </c>
      <c r="N278" t="s">
        <v>116</v>
      </c>
      <c r="O278" t="s">
        <v>115</v>
      </c>
    </row>
    <row r="279" spans="1:15" x14ac:dyDescent="0.3">
      <c r="A279" t="s">
        <v>14</v>
      </c>
      <c r="B279">
        <v>44</v>
      </c>
      <c r="C279">
        <v>0</v>
      </c>
      <c r="D279">
        <v>0</v>
      </c>
      <c r="E279">
        <v>0</v>
      </c>
      <c r="F279" t="s">
        <v>41</v>
      </c>
      <c r="G279" t="s">
        <v>16</v>
      </c>
      <c r="H279" t="s">
        <v>23</v>
      </c>
      <c r="I279" t="s">
        <v>13</v>
      </c>
      <c r="J279">
        <v>0</v>
      </c>
      <c r="K279" t="s">
        <v>114</v>
      </c>
      <c r="L279" t="s">
        <v>109</v>
      </c>
      <c r="M279" t="s">
        <v>111</v>
      </c>
      <c r="N279" t="s">
        <v>112</v>
      </c>
      <c r="O279" t="s">
        <v>110</v>
      </c>
    </row>
    <row r="280" spans="1:15" x14ac:dyDescent="0.3">
      <c r="A280" t="s">
        <v>14</v>
      </c>
      <c r="B280">
        <v>19</v>
      </c>
      <c r="C280">
        <v>1</v>
      </c>
      <c r="D280">
        <v>1</v>
      </c>
      <c r="E280">
        <v>1</v>
      </c>
      <c r="F280" t="s">
        <v>37</v>
      </c>
      <c r="G280" t="s">
        <v>11</v>
      </c>
      <c r="H280" t="s">
        <v>18</v>
      </c>
      <c r="I280" t="s">
        <v>13</v>
      </c>
      <c r="J280">
        <v>1</v>
      </c>
      <c r="K280" t="s">
        <v>117</v>
      </c>
      <c r="L280" t="s">
        <v>95</v>
      </c>
      <c r="M280" t="s">
        <v>94</v>
      </c>
      <c r="N280" t="s">
        <v>116</v>
      </c>
      <c r="O280" t="s">
        <v>115</v>
      </c>
    </row>
    <row r="281" spans="1:15" x14ac:dyDescent="0.3">
      <c r="A281" t="s">
        <v>14</v>
      </c>
      <c r="B281">
        <v>18</v>
      </c>
      <c r="C281">
        <v>1</v>
      </c>
      <c r="D281">
        <v>1</v>
      </c>
      <c r="E281">
        <v>1</v>
      </c>
      <c r="F281" t="s">
        <v>35</v>
      </c>
      <c r="G281" t="s">
        <v>16</v>
      </c>
      <c r="H281" t="s">
        <v>18</v>
      </c>
      <c r="I281" t="s">
        <v>13</v>
      </c>
      <c r="J281">
        <v>1</v>
      </c>
      <c r="K281" t="s">
        <v>113</v>
      </c>
      <c r="L281" t="s">
        <v>95</v>
      </c>
      <c r="M281" t="s">
        <v>94</v>
      </c>
      <c r="N281" t="s">
        <v>116</v>
      </c>
      <c r="O281" t="s">
        <v>115</v>
      </c>
    </row>
    <row r="282" spans="1:15" x14ac:dyDescent="0.3">
      <c r="A282" t="s">
        <v>14</v>
      </c>
      <c r="B282">
        <v>29</v>
      </c>
      <c r="C282">
        <v>0</v>
      </c>
      <c r="D282">
        <v>0</v>
      </c>
      <c r="E282">
        <v>1</v>
      </c>
      <c r="F282" t="s">
        <v>50</v>
      </c>
      <c r="G282" t="s">
        <v>11</v>
      </c>
      <c r="H282" t="s">
        <v>18</v>
      </c>
      <c r="I282" t="s">
        <v>13</v>
      </c>
      <c r="J282">
        <v>0</v>
      </c>
      <c r="K282" t="s">
        <v>114</v>
      </c>
      <c r="L282" t="s">
        <v>109</v>
      </c>
      <c r="M282" t="s">
        <v>94</v>
      </c>
      <c r="N282" t="s">
        <v>112</v>
      </c>
      <c r="O282" t="s">
        <v>110</v>
      </c>
    </row>
    <row r="283" spans="1:15" x14ac:dyDescent="0.3">
      <c r="A283" t="s">
        <v>14</v>
      </c>
      <c r="B283">
        <v>58</v>
      </c>
      <c r="C283">
        <v>1</v>
      </c>
      <c r="D283">
        <v>1</v>
      </c>
      <c r="E283">
        <v>1</v>
      </c>
      <c r="F283" t="s">
        <v>48</v>
      </c>
      <c r="G283" t="s">
        <v>16</v>
      </c>
      <c r="H283" t="s">
        <v>18</v>
      </c>
      <c r="I283" t="s">
        <v>13</v>
      </c>
      <c r="J283">
        <v>1</v>
      </c>
      <c r="K283" t="s">
        <v>108</v>
      </c>
      <c r="L283" t="s">
        <v>95</v>
      </c>
      <c r="M283" t="s">
        <v>94</v>
      </c>
      <c r="N283" t="s">
        <v>116</v>
      </c>
      <c r="O283" t="s">
        <v>115</v>
      </c>
    </row>
    <row r="284" spans="1:15" x14ac:dyDescent="0.3">
      <c r="A284" t="s">
        <v>9</v>
      </c>
      <c r="B284">
        <v>45</v>
      </c>
      <c r="C284">
        <v>1</v>
      </c>
      <c r="D284">
        <v>1</v>
      </c>
      <c r="E284">
        <v>1</v>
      </c>
      <c r="F284" t="s">
        <v>27</v>
      </c>
      <c r="G284" t="s">
        <v>11</v>
      </c>
      <c r="H284" t="s">
        <v>18</v>
      </c>
      <c r="I284" t="s">
        <v>13</v>
      </c>
      <c r="J284">
        <v>1</v>
      </c>
      <c r="K284" t="s">
        <v>108</v>
      </c>
      <c r="L284" t="s">
        <v>95</v>
      </c>
      <c r="M284" t="s">
        <v>94</v>
      </c>
      <c r="N284" t="s">
        <v>116</v>
      </c>
      <c r="O284" t="s">
        <v>115</v>
      </c>
    </row>
    <row r="285" spans="1:15" x14ac:dyDescent="0.3">
      <c r="A285" t="s">
        <v>9</v>
      </c>
      <c r="B285">
        <v>40</v>
      </c>
      <c r="C285">
        <v>1</v>
      </c>
      <c r="D285">
        <v>1</v>
      </c>
      <c r="E285">
        <v>0</v>
      </c>
      <c r="F285" t="s">
        <v>50</v>
      </c>
      <c r="G285" t="s">
        <v>16</v>
      </c>
      <c r="H285" t="s">
        <v>18</v>
      </c>
      <c r="I285" t="s">
        <v>13</v>
      </c>
      <c r="J285">
        <v>1</v>
      </c>
      <c r="K285" t="s">
        <v>114</v>
      </c>
      <c r="L285" t="s">
        <v>95</v>
      </c>
      <c r="M285" t="s">
        <v>111</v>
      </c>
      <c r="N285" t="s">
        <v>116</v>
      </c>
      <c r="O285" t="s">
        <v>115</v>
      </c>
    </row>
    <row r="286" spans="1:15" x14ac:dyDescent="0.3">
      <c r="A286" t="s">
        <v>9</v>
      </c>
      <c r="B286">
        <v>20</v>
      </c>
      <c r="C286">
        <v>0</v>
      </c>
      <c r="D286">
        <v>0</v>
      </c>
      <c r="E286">
        <v>0</v>
      </c>
      <c r="F286" t="s">
        <v>37</v>
      </c>
      <c r="G286" t="s">
        <v>11</v>
      </c>
      <c r="H286" t="s">
        <v>12</v>
      </c>
      <c r="I286" t="s">
        <v>13</v>
      </c>
      <c r="J286">
        <v>0</v>
      </c>
      <c r="K286" t="s">
        <v>117</v>
      </c>
      <c r="L286" t="s">
        <v>109</v>
      </c>
      <c r="M286" t="s">
        <v>111</v>
      </c>
      <c r="N286" t="s">
        <v>112</v>
      </c>
      <c r="O286" t="s">
        <v>110</v>
      </c>
    </row>
    <row r="287" spans="1:15" x14ac:dyDescent="0.3">
      <c r="A287" t="s">
        <v>14</v>
      </c>
      <c r="B287">
        <v>41</v>
      </c>
      <c r="C287">
        <v>0</v>
      </c>
      <c r="D287">
        <v>0</v>
      </c>
      <c r="E287">
        <v>0</v>
      </c>
      <c r="F287" t="s">
        <v>33</v>
      </c>
      <c r="G287" t="s">
        <v>16</v>
      </c>
      <c r="H287" t="s">
        <v>12</v>
      </c>
      <c r="I287" t="s">
        <v>13</v>
      </c>
      <c r="J287">
        <v>0</v>
      </c>
      <c r="K287" t="s">
        <v>114</v>
      </c>
      <c r="L287" t="s">
        <v>109</v>
      </c>
      <c r="M287" t="s">
        <v>111</v>
      </c>
      <c r="N287" t="s">
        <v>112</v>
      </c>
      <c r="O287" t="s">
        <v>110</v>
      </c>
    </row>
    <row r="288" spans="1:15" x14ac:dyDescent="0.3">
      <c r="A288" t="s">
        <v>14</v>
      </c>
      <c r="B288">
        <v>23</v>
      </c>
      <c r="C288">
        <v>1</v>
      </c>
      <c r="D288">
        <v>1</v>
      </c>
      <c r="E288">
        <v>0</v>
      </c>
      <c r="F288" t="s">
        <v>37</v>
      </c>
      <c r="G288" t="s">
        <v>11</v>
      </c>
      <c r="H288" t="s">
        <v>12</v>
      </c>
      <c r="I288" t="s">
        <v>13</v>
      </c>
      <c r="J288">
        <v>1</v>
      </c>
      <c r="K288" t="s">
        <v>117</v>
      </c>
      <c r="L288" t="s">
        <v>95</v>
      </c>
      <c r="M288" t="s">
        <v>111</v>
      </c>
      <c r="N288" t="s">
        <v>116</v>
      </c>
      <c r="O288" t="s">
        <v>115</v>
      </c>
    </row>
    <row r="289" spans="1:15" x14ac:dyDescent="0.3">
      <c r="A289" t="s">
        <v>14</v>
      </c>
      <c r="B289">
        <v>29</v>
      </c>
      <c r="C289">
        <v>0</v>
      </c>
      <c r="D289">
        <v>0</v>
      </c>
      <c r="E289">
        <v>0</v>
      </c>
      <c r="F289" t="s">
        <v>51</v>
      </c>
      <c r="G289" t="s">
        <v>16</v>
      </c>
      <c r="H289" t="s">
        <v>12</v>
      </c>
      <c r="I289" t="s">
        <v>13</v>
      </c>
      <c r="J289">
        <v>0</v>
      </c>
      <c r="K289" t="s">
        <v>114</v>
      </c>
      <c r="L289" t="s">
        <v>109</v>
      </c>
      <c r="M289" t="s">
        <v>111</v>
      </c>
      <c r="N289" t="s">
        <v>112</v>
      </c>
      <c r="O289" t="s">
        <v>110</v>
      </c>
    </row>
    <row r="290" spans="1:15" x14ac:dyDescent="0.3">
      <c r="A290" t="s">
        <v>14</v>
      </c>
      <c r="B290">
        <v>48</v>
      </c>
      <c r="C290">
        <v>1</v>
      </c>
      <c r="D290">
        <v>1</v>
      </c>
      <c r="E290">
        <v>1</v>
      </c>
      <c r="F290" t="s">
        <v>36</v>
      </c>
      <c r="G290" t="s">
        <v>11</v>
      </c>
      <c r="H290" t="s">
        <v>12</v>
      </c>
      <c r="I290" t="s">
        <v>13</v>
      </c>
      <c r="J290">
        <v>1</v>
      </c>
      <c r="K290" t="s">
        <v>108</v>
      </c>
      <c r="L290" t="s">
        <v>95</v>
      </c>
      <c r="M290" t="s">
        <v>94</v>
      </c>
      <c r="N290" t="s">
        <v>116</v>
      </c>
      <c r="O290" t="s">
        <v>115</v>
      </c>
    </row>
    <row r="291" spans="1:15" x14ac:dyDescent="0.3">
      <c r="A291" t="s">
        <v>9</v>
      </c>
      <c r="B291">
        <v>17</v>
      </c>
      <c r="C291">
        <v>0</v>
      </c>
      <c r="D291">
        <v>0</v>
      </c>
      <c r="E291">
        <v>0</v>
      </c>
      <c r="F291" t="s">
        <v>49</v>
      </c>
      <c r="G291" t="s">
        <v>16</v>
      </c>
      <c r="H291" t="s">
        <v>12</v>
      </c>
      <c r="I291" t="s">
        <v>13</v>
      </c>
      <c r="J291">
        <v>0</v>
      </c>
      <c r="K291" t="s">
        <v>113</v>
      </c>
      <c r="L291" t="s">
        <v>109</v>
      </c>
      <c r="M291" t="s">
        <v>111</v>
      </c>
      <c r="N291" t="s">
        <v>112</v>
      </c>
      <c r="O291" t="s">
        <v>110</v>
      </c>
    </row>
    <row r="292" spans="1:15" x14ac:dyDescent="0.3">
      <c r="A292" t="s">
        <v>9</v>
      </c>
      <c r="B292">
        <v>62</v>
      </c>
      <c r="C292">
        <v>0</v>
      </c>
      <c r="D292">
        <v>0</v>
      </c>
      <c r="E292">
        <v>0</v>
      </c>
      <c r="F292" t="s">
        <v>19</v>
      </c>
      <c r="G292" t="s">
        <v>11</v>
      </c>
      <c r="H292" t="s">
        <v>23</v>
      </c>
      <c r="I292" t="s">
        <v>13</v>
      </c>
      <c r="J292">
        <v>0</v>
      </c>
      <c r="K292" t="s">
        <v>108</v>
      </c>
      <c r="L292" t="s">
        <v>109</v>
      </c>
      <c r="M292" t="s">
        <v>111</v>
      </c>
      <c r="N292" t="s">
        <v>112</v>
      </c>
      <c r="O292" t="s">
        <v>110</v>
      </c>
    </row>
    <row r="293" spans="1:15" x14ac:dyDescent="0.3">
      <c r="A293" t="s">
        <v>9</v>
      </c>
      <c r="B293">
        <v>34</v>
      </c>
      <c r="C293">
        <v>1</v>
      </c>
      <c r="D293">
        <v>1</v>
      </c>
      <c r="E293">
        <v>0</v>
      </c>
      <c r="F293" t="s">
        <v>19</v>
      </c>
      <c r="G293" t="s">
        <v>16</v>
      </c>
      <c r="H293" t="s">
        <v>23</v>
      </c>
      <c r="I293" t="s">
        <v>13</v>
      </c>
      <c r="J293">
        <v>1</v>
      </c>
      <c r="K293" t="s">
        <v>114</v>
      </c>
      <c r="L293" t="s">
        <v>95</v>
      </c>
      <c r="M293" t="s">
        <v>111</v>
      </c>
      <c r="N293" t="s">
        <v>116</v>
      </c>
      <c r="O293" t="s">
        <v>115</v>
      </c>
    </row>
    <row r="294" spans="1:15" x14ac:dyDescent="0.3">
      <c r="A294" t="s">
        <v>9</v>
      </c>
      <c r="B294">
        <v>8</v>
      </c>
      <c r="C294">
        <v>1</v>
      </c>
      <c r="D294">
        <v>1</v>
      </c>
      <c r="E294">
        <v>0</v>
      </c>
      <c r="F294" t="s">
        <v>17</v>
      </c>
      <c r="G294" t="s">
        <v>11</v>
      </c>
      <c r="H294" t="s">
        <v>23</v>
      </c>
      <c r="I294" t="s">
        <v>13</v>
      </c>
      <c r="J294">
        <v>1</v>
      </c>
      <c r="K294" t="s">
        <v>118</v>
      </c>
      <c r="L294" t="s">
        <v>95</v>
      </c>
      <c r="M294" t="s">
        <v>111</v>
      </c>
      <c r="N294" t="s">
        <v>116</v>
      </c>
      <c r="O294" t="s">
        <v>115</v>
      </c>
    </row>
    <row r="295" spans="1:15" x14ac:dyDescent="0.3">
      <c r="A295" t="s">
        <v>14</v>
      </c>
      <c r="B295">
        <v>22</v>
      </c>
      <c r="C295">
        <v>0</v>
      </c>
      <c r="D295">
        <v>0</v>
      </c>
      <c r="E295">
        <v>0</v>
      </c>
      <c r="F295" t="s">
        <v>20</v>
      </c>
      <c r="G295" t="s">
        <v>16</v>
      </c>
      <c r="H295" t="s">
        <v>12</v>
      </c>
      <c r="I295" t="s">
        <v>13</v>
      </c>
      <c r="J295">
        <v>0</v>
      </c>
      <c r="K295" t="s">
        <v>117</v>
      </c>
      <c r="L295" t="s">
        <v>109</v>
      </c>
      <c r="M295" t="s">
        <v>111</v>
      </c>
      <c r="N295" t="s">
        <v>112</v>
      </c>
      <c r="O295" t="s">
        <v>110</v>
      </c>
    </row>
    <row r="296" spans="1:15" x14ac:dyDescent="0.3">
      <c r="A296" t="s">
        <v>14</v>
      </c>
      <c r="B296">
        <v>23</v>
      </c>
      <c r="C296">
        <v>0</v>
      </c>
      <c r="D296">
        <v>0</v>
      </c>
      <c r="E296">
        <v>1</v>
      </c>
      <c r="F296" t="s">
        <v>46</v>
      </c>
      <c r="G296" t="s">
        <v>11</v>
      </c>
      <c r="H296" t="s">
        <v>18</v>
      </c>
      <c r="I296" t="s">
        <v>13</v>
      </c>
      <c r="J296">
        <v>0</v>
      </c>
      <c r="K296" t="s">
        <v>117</v>
      </c>
      <c r="L296" t="s">
        <v>109</v>
      </c>
      <c r="M296" t="s">
        <v>94</v>
      </c>
      <c r="N296" t="s">
        <v>112</v>
      </c>
      <c r="O296" t="s">
        <v>110</v>
      </c>
    </row>
    <row r="297" spans="1:15" x14ac:dyDescent="0.3">
      <c r="A297" t="s">
        <v>14</v>
      </c>
      <c r="B297">
        <v>47</v>
      </c>
      <c r="C297">
        <v>0</v>
      </c>
      <c r="D297">
        <v>0</v>
      </c>
      <c r="E297">
        <v>0</v>
      </c>
      <c r="F297" t="s">
        <v>29</v>
      </c>
      <c r="G297" t="s">
        <v>16</v>
      </c>
      <c r="H297" t="s">
        <v>23</v>
      </c>
      <c r="I297" t="s">
        <v>13</v>
      </c>
      <c r="J297">
        <v>0</v>
      </c>
      <c r="K297" t="s">
        <v>108</v>
      </c>
      <c r="L297" t="s">
        <v>109</v>
      </c>
      <c r="M297" t="s">
        <v>111</v>
      </c>
      <c r="N297" t="s">
        <v>112</v>
      </c>
      <c r="O297" t="s">
        <v>110</v>
      </c>
    </row>
    <row r="298" spans="1:15" x14ac:dyDescent="0.3">
      <c r="A298" t="s">
        <v>14</v>
      </c>
      <c r="B298">
        <v>50</v>
      </c>
      <c r="C298">
        <v>0</v>
      </c>
      <c r="D298">
        <v>0</v>
      </c>
      <c r="E298">
        <v>1</v>
      </c>
      <c r="F298" t="s">
        <v>50</v>
      </c>
      <c r="G298" t="s">
        <v>11</v>
      </c>
      <c r="H298" t="s">
        <v>23</v>
      </c>
      <c r="I298" t="s">
        <v>13</v>
      </c>
      <c r="J298">
        <v>0</v>
      </c>
      <c r="K298" t="s">
        <v>108</v>
      </c>
      <c r="L298" t="s">
        <v>109</v>
      </c>
      <c r="M298" t="s">
        <v>94</v>
      </c>
      <c r="N298" t="s">
        <v>112</v>
      </c>
      <c r="O298" t="s">
        <v>110</v>
      </c>
    </row>
    <row r="299" spans="1:15" x14ac:dyDescent="0.3">
      <c r="A299" t="s">
        <v>14</v>
      </c>
      <c r="B299">
        <v>15</v>
      </c>
      <c r="C299">
        <v>0</v>
      </c>
      <c r="D299">
        <v>0</v>
      </c>
      <c r="E299">
        <v>0</v>
      </c>
      <c r="F299" t="s">
        <v>43</v>
      </c>
      <c r="G299" t="s">
        <v>16</v>
      </c>
      <c r="H299" t="s">
        <v>12</v>
      </c>
      <c r="I299" t="s">
        <v>13</v>
      </c>
      <c r="J299">
        <v>0</v>
      </c>
      <c r="K299" t="s">
        <v>113</v>
      </c>
      <c r="L299" t="s">
        <v>109</v>
      </c>
      <c r="M299" t="s">
        <v>111</v>
      </c>
      <c r="N299" t="s">
        <v>112</v>
      </c>
      <c r="O299" t="s">
        <v>110</v>
      </c>
    </row>
    <row r="300" spans="1:15" x14ac:dyDescent="0.3">
      <c r="A300" t="s">
        <v>14</v>
      </c>
      <c r="B300">
        <v>11</v>
      </c>
      <c r="C300">
        <v>1</v>
      </c>
      <c r="D300">
        <v>1</v>
      </c>
      <c r="E300">
        <v>0</v>
      </c>
      <c r="F300" t="s">
        <v>49</v>
      </c>
      <c r="G300" t="s">
        <v>11</v>
      </c>
      <c r="H300" t="s">
        <v>23</v>
      </c>
      <c r="I300" t="s">
        <v>13</v>
      </c>
      <c r="J300">
        <v>1</v>
      </c>
      <c r="K300" t="s">
        <v>118</v>
      </c>
      <c r="L300" t="s">
        <v>95</v>
      </c>
      <c r="M300" t="s">
        <v>111</v>
      </c>
      <c r="N300" t="s">
        <v>116</v>
      </c>
      <c r="O300" t="s">
        <v>115</v>
      </c>
    </row>
    <row r="301" spans="1:15" x14ac:dyDescent="0.3">
      <c r="A301" t="s">
        <v>9</v>
      </c>
      <c r="B301">
        <v>46</v>
      </c>
      <c r="C301">
        <v>1</v>
      </c>
      <c r="D301">
        <v>1</v>
      </c>
      <c r="E301">
        <v>0</v>
      </c>
      <c r="F301" t="s">
        <v>31</v>
      </c>
      <c r="G301" t="s">
        <v>16</v>
      </c>
      <c r="H301" t="s">
        <v>12</v>
      </c>
      <c r="I301" t="s">
        <v>13</v>
      </c>
      <c r="J301">
        <v>1</v>
      </c>
      <c r="K301" t="s">
        <v>108</v>
      </c>
      <c r="L301" t="s">
        <v>95</v>
      </c>
      <c r="M301" t="s">
        <v>111</v>
      </c>
      <c r="N301" t="s">
        <v>116</v>
      </c>
      <c r="O301" t="s">
        <v>115</v>
      </c>
    </row>
    <row r="302" spans="1:15" x14ac:dyDescent="0.3">
      <c r="A302" t="s">
        <v>9</v>
      </c>
      <c r="B302">
        <v>52</v>
      </c>
      <c r="C302">
        <v>1</v>
      </c>
      <c r="D302">
        <v>1</v>
      </c>
      <c r="E302">
        <v>0</v>
      </c>
      <c r="F302" t="s">
        <v>38</v>
      </c>
      <c r="G302" t="s">
        <v>11</v>
      </c>
      <c r="H302" t="s">
        <v>23</v>
      </c>
      <c r="I302" t="s">
        <v>13</v>
      </c>
      <c r="J302">
        <v>1</v>
      </c>
      <c r="K302" t="s">
        <v>108</v>
      </c>
      <c r="L302" t="s">
        <v>95</v>
      </c>
      <c r="M302" t="s">
        <v>111</v>
      </c>
      <c r="N302" t="s">
        <v>116</v>
      </c>
      <c r="O302" t="s">
        <v>115</v>
      </c>
    </row>
    <row r="303" spans="1:15" x14ac:dyDescent="0.3">
      <c r="A303" t="s">
        <v>14</v>
      </c>
      <c r="B303">
        <v>44</v>
      </c>
      <c r="C303">
        <v>0</v>
      </c>
      <c r="D303">
        <v>0</v>
      </c>
      <c r="E303">
        <v>1</v>
      </c>
      <c r="F303" t="s">
        <v>41</v>
      </c>
      <c r="G303" t="s">
        <v>16</v>
      </c>
      <c r="H303" t="s">
        <v>23</v>
      </c>
      <c r="I303" t="s">
        <v>13</v>
      </c>
      <c r="J303">
        <v>0</v>
      </c>
      <c r="K303" t="s">
        <v>114</v>
      </c>
      <c r="L303" t="s">
        <v>109</v>
      </c>
      <c r="M303" t="s">
        <v>94</v>
      </c>
      <c r="N303" t="s">
        <v>112</v>
      </c>
      <c r="O303" t="s">
        <v>110</v>
      </c>
    </row>
    <row r="304" spans="1:15" x14ac:dyDescent="0.3">
      <c r="A304" t="s">
        <v>14</v>
      </c>
      <c r="B304">
        <v>12</v>
      </c>
      <c r="C304">
        <v>0</v>
      </c>
      <c r="D304">
        <v>0</v>
      </c>
      <c r="E304">
        <v>1</v>
      </c>
      <c r="F304" t="s">
        <v>38</v>
      </c>
      <c r="G304" t="s">
        <v>11</v>
      </c>
      <c r="H304" t="s">
        <v>18</v>
      </c>
      <c r="I304" t="s">
        <v>13</v>
      </c>
      <c r="J304">
        <v>0</v>
      </c>
      <c r="K304" t="s">
        <v>118</v>
      </c>
      <c r="L304" t="s">
        <v>109</v>
      </c>
      <c r="M304" t="s">
        <v>94</v>
      </c>
      <c r="N304" t="s">
        <v>112</v>
      </c>
      <c r="O304" t="s">
        <v>110</v>
      </c>
    </row>
    <row r="305" spans="1:15" x14ac:dyDescent="0.3">
      <c r="A305" t="s">
        <v>9</v>
      </c>
      <c r="B305">
        <v>30</v>
      </c>
      <c r="C305">
        <v>0</v>
      </c>
      <c r="D305">
        <v>0</v>
      </c>
      <c r="E305">
        <v>0</v>
      </c>
      <c r="F305" t="s">
        <v>21</v>
      </c>
      <c r="G305" t="s">
        <v>16</v>
      </c>
      <c r="H305" t="s">
        <v>12</v>
      </c>
      <c r="I305" t="s">
        <v>13</v>
      </c>
      <c r="J305">
        <v>0</v>
      </c>
      <c r="K305" t="s">
        <v>114</v>
      </c>
      <c r="L305" t="s">
        <v>109</v>
      </c>
      <c r="M305" t="s">
        <v>111</v>
      </c>
      <c r="N305" t="s">
        <v>112</v>
      </c>
      <c r="O305" t="s">
        <v>110</v>
      </c>
    </row>
    <row r="306" spans="1:15" x14ac:dyDescent="0.3">
      <c r="A306" t="s">
        <v>14</v>
      </c>
      <c r="B306">
        <v>41</v>
      </c>
      <c r="C306">
        <v>0</v>
      </c>
      <c r="D306">
        <v>0</v>
      </c>
      <c r="E306">
        <v>0</v>
      </c>
      <c r="F306" t="s">
        <v>26</v>
      </c>
      <c r="G306" t="s">
        <v>11</v>
      </c>
      <c r="H306" t="s">
        <v>18</v>
      </c>
      <c r="I306" t="s">
        <v>13</v>
      </c>
      <c r="J306">
        <v>0</v>
      </c>
      <c r="K306" t="s">
        <v>114</v>
      </c>
      <c r="L306" t="s">
        <v>109</v>
      </c>
      <c r="M306" t="s">
        <v>111</v>
      </c>
      <c r="N306" t="s">
        <v>112</v>
      </c>
      <c r="O306" t="s">
        <v>110</v>
      </c>
    </row>
    <row r="307" spans="1:15" x14ac:dyDescent="0.3">
      <c r="A307" t="s">
        <v>14</v>
      </c>
      <c r="B307">
        <v>62</v>
      </c>
      <c r="C307">
        <v>1</v>
      </c>
      <c r="D307">
        <v>1</v>
      </c>
      <c r="E307">
        <v>0</v>
      </c>
      <c r="F307" t="s">
        <v>21</v>
      </c>
      <c r="G307" t="s">
        <v>16</v>
      </c>
      <c r="H307" t="s">
        <v>23</v>
      </c>
      <c r="I307" t="s">
        <v>13</v>
      </c>
      <c r="J307">
        <v>1</v>
      </c>
      <c r="K307" t="s">
        <v>108</v>
      </c>
      <c r="L307" t="s">
        <v>95</v>
      </c>
      <c r="M307" t="s">
        <v>111</v>
      </c>
      <c r="N307" t="s">
        <v>116</v>
      </c>
      <c r="O307" t="s">
        <v>115</v>
      </c>
    </row>
    <row r="308" spans="1:15" x14ac:dyDescent="0.3">
      <c r="A308" t="s">
        <v>14</v>
      </c>
      <c r="B308">
        <v>42</v>
      </c>
      <c r="C308">
        <v>1</v>
      </c>
      <c r="D308">
        <v>1</v>
      </c>
      <c r="E308">
        <v>0</v>
      </c>
      <c r="F308" t="s">
        <v>45</v>
      </c>
      <c r="G308" t="s">
        <v>11</v>
      </c>
      <c r="H308" t="s">
        <v>18</v>
      </c>
      <c r="I308" t="s">
        <v>13</v>
      </c>
      <c r="J308">
        <v>1</v>
      </c>
      <c r="K308" t="s">
        <v>114</v>
      </c>
      <c r="L308" t="s">
        <v>95</v>
      </c>
      <c r="M308" t="s">
        <v>111</v>
      </c>
      <c r="N308" t="s">
        <v>116</v>
      </c>
      <c r="O308" t="s">
        <v>115</v>
      </c>
    </row>
    <row r="309" spans="1:15" x14ac:dyDescent="0.3">
      <c r="A309" t="s">
        <v>9</v>
      </c>
      <c r="B309">
        <v>38</v>
      </c>
      <c r="C309">
        <v>1</v>
      </c>
      <c r="D309">
        <v>1</v>
      </c>
      <c r="E309">
        <v>0</v>
      </c>
      <c r="F309" t="s">
        <v>21</v>
      </c>
      <c r="G309" t="s">
        <v>16</v>
      </c>
      <c r="H309" t="s">
        <v>12</v>
      </c>
      <c r="I309" t="s">
        <v>13</v>
      </c>
      <c r="J309">
        <v>1</v>
      </c>
      <c r="K309" t="s">
        <v>114</v>
      </c>
      <c r="L309" t="s">
        <v>95</v>
      </c>
      <c r="M309" t="s">
        <v>111</v>
      </c>
      <c r="N309" t="s">
        <v>116</v>
      </c>
      <c r="O309" t="s">
        <v>115</v>
      </c>
    </row>
    <row r="310" spans="1:15" x14ac:dyDescent="0.3">
      <c r="A310" t="s">
        <v>14</v>
      </c>
      <c r="B310">
        <v>46</v>
      </c>
      <c r="C310">
        <v>0</v>
      </c>
      <c r="D310">
        <v>0</v>
      </c>
      <c r="E310">
        <v>0</v>
      </c>
      <c r="F310" t="s">
        <v>46</v>
      </c>
      <c r="G310" t="s">
        <v>11</v>
      </c>
      <c r="H310" t="s">
        <v>23</v>
      </c>
      <c r="I310" t="s">
        <v>13</v>
      </c>
      <c r="J310">
        <v>0</v>
      </c>
      <c r="K310" t="s">
        <v>108</v>
      </c>
      <c r="L310" t="s">
        <v>109</v>
      </c>
      <c r="M310" t="s">
        <v>111</v>
      </c>
      <c r="N310" t="s">
        <v>112</v>
      </c>
      <c r="O310" t="s">
        <v>110</v>
      </c>
    </row>
    <row r="311" spans="1:15" x14ac:dyDescent="0.3">
      <c r="A311" t="s">
        <v>14</v>
      </c>
      <c r="B311">
        <v>44</v>
      </c>
      <c r="C311">
        <v>0</v>
      </c>
      <c r="D311">
        <v>0</v>
      </c>
      <c r="E311">
        <v>0</v>
      </c>
      <c r="F311" t="s">
        <v>43</v>
      </c>
      <c r="G311" t="s">
        <v>16</v>
      </c>
      <c r="H311" t="s">
        <v>18</v>
      </c>
      <c r="I311" t="s">
        <v>13</v>
      </c>
      <c r="J311">
        <v>0</v>
      </c>
      <c r="K311" t="s">
        <v>114</v>
      </c>
      <c r="L311" t="s">
        <v>109</v>
      </c>
      <c r="M311" t="s">
        <v>111</v>
      </c>
      <c r="N311" t="s">
        <v>112</v>
      </c>
      <c r="O311" t="s">
        <v>110</v>
      </c>
    </row>
    <row r="312" spans="1:15" x14ac:dyDescent="0.3">
      <c r="A312" t="s">
        <v>9</v>
      </c>
      <c r="B312">
        <v>48</v>
      </c>
      <c r="C312">
        <v>1</v>
      </c>
      <c r="D312">
        <v>1</v>
      </c>
      <c r="E312">
        <v>0</v>
      </c>
      <c r="F312" t="s">
        <v>27</v>
      </c>
      <c r="G312" t="s">
        <v>11</v>
      </c>
      <c r="H312" t="s">
        <v>18</v>
      </c>
      <c r="I312" t="s">
        <v>13</v>
      </c>
      <c r="J312">
        <v>1</v>
      </c>
      <c r="K312" t="s">
        <v>108</v>
      </c>
      <c r="L312" t="s">
        <v>95</v>
      </c>
      <c r="M312" t="s">
        <v>111</v>
      </c>
      <c r="N312" t="s">
        <v>116</v>
      </c>
      <c r="O312" t="s">
        <v>115</v>
      </c>
    </row>
    <row r="313" spans="1:15" x14ac:dyDescent="0.3">
      <c r="A313" t="s">
        <v>14</v>
      </c>
      <c r="B313">
        <v>42</v>
      </c>
      <c r="C313">
        <v>0</v>
      </c>
      <c r="D313">
        <v>0</v>
      </c>
      <c r="E313">
        <v>1</v>
      </c>
      <c r="F313" t="s">
        <v>32</v>
      </c>
      <c r="G313" t="s">
        <v>16</v>
      </c>
      <c r="H313" t="s">
        <v>12</v>
      </c>
      <c r="I313" t="s">
        <v>13</v>
      </c>
      <c r="J313">
        <v>0</v>
      </c>
      <c r="K313" t="s">
        <v>114</v>
      </c>
      <c r="L313" t="s">
        <v>109</v>
      </c>
      <c r="M313" t="s">
        <v>94</v>
      </c>
      <c r="N313" t="s">
        <v>112</v>
      </c>
      <c r="O313" t="s">
        <v>110</v>
      </c>
    </row>
    <row r="314" spans="1:15" x14ac:dyDescent="0.3">
      <c r="A314" t="s">
        <v>14</v>
      </c>
      <c r="B314">
        <v>41</v>
      </c>
      <c r="C314">
        <v>1</v>
      </c>
      <c r="D314">
        <v>1</v>
      </c>
      <c r="E314">
        <v>0</v>
      </c>
      <c r="F314" t="s">
        <v>10</v>
      </c>
      <c r="G314" t="s">
        <v>11</v>
      </c>
      <c r="H314" t="s">
        <v>23</v>
      </c>
      <c r="I314" t="s">
        <v>13</v>
      </c>
      <c r="J314">
        <v>1</v>
      </c>
      <c r="K314" t="s">
        <v>114</v>
      </c>
      <c r="L314" t="s">
        <v>95</v>
      </c>
      <c r="M314" t="s">
        <v>111</v>
      </c>
      <c r="N314" t="s">
        <v>116</v>
      </c>
      <c r="O314" t="s">
        <v>115</v>
      </c>
    </row>
    <row r="315" spans="1:15" x14ac:dyDescent="0.3">
      <c r="A315" t="s">
        <v>14</v>
      </c>
      <c r="B315">
        <v>15</v>
      </c>
      <c r="C315">
        <v>0</v>
      </c>
      <c r="D315">
        <v>0</v>
      </c>
      <c r="E315">
        <v>0</v>
      </c>
      <c r="F315" t="s">
        <v>44</v>
      </c>
      <c r="G315" t="s">
        <v>16</v>
      </c>
      <c r="H315" t="s">
        <v>23</v>
      </c>
      <c r="I315" t="s">
        <v>13</v>
      </c>
      <c r="J315">
        <v>0</v>
      </c>
      <c r="K315" t="s">
        <v>113</v>
      </c>
      <c r="L315" t="s">
        <v>109</v>
      </c>
      <c r="M315" t="s">
        <v>111</v>
      </c>
      <c r="N315" t="s">
        <v>112</v>
      </c>
      <c r="O315" t="s">
        <v>110</v>
      </c>
    </row>
    <row r="316" spans="1:15" x14ac:dyDescent="0.3">
      <c r="A316" t="s">
        <v>14</v>
      </c>
      <c r="B316">
        <v>15</v>
      </c>
      <c r="C316">
        <v>1</v>
      </c>
      <c r="D316">
        <v>1</v>
      </c>
      <c r="E316">
        <v>1</v>
      </c>
      <c r="F316" t="s">
        <v>31</v>
      </c>
      <c r="G316" t="s">
        <v>11</v>
      </c>
      <c r="H316" t="s">
        <v>18</v>
      </c>
      <c r="I316" t="s">
        <v>13</v>
      </c>
      <c r="J316">
        <v>1</v>
      </c>
      <c r="K316" t="s">
        <v>113</v>
      </c>
      <c r="L316" t="s">
        <v>95</v>
      </c>
      <c r="M316" t="s">
        <v>94</v>
      </c>
      <c r="N316" t="s">
        <v>116</v>
      </c>
      <c r="O316" t="s">
        <v>115</v>
      </c>
    </row>
    <row r="317" spans="1:15" x14ac:dyDescent="0.3">
      <c r="A317" t="s">
        <v>14</v>
      </c>
      <c r="B317">
        <v>64</v>
      </c>
      <c r="C317">
        <v>0</v>
      </c>
      <c r="D317">
        <v>0</v>
      </c>
      <c r="E317">
        <v>1</v>
      </c>
      <c r="F317" t="s">
        <v>31</v>
      </c>
      <c r="G317" t="s">
        <v>16</v>
      </c>
      <c r="H317" t="s">
        <v>12</v>
      </c>
      <c r="I317" t="s">
        <v>13</v>
      </c>
      <c r="J317">
        <v>0</v>
      </c>
      <c r="K317" t="s">
        <v>108</v>
      </c>
      <c r="L317" t="s">
        <v>109</v>
      </c>
      <c r="M317" t="s">
        <v>94</v>
      </c>
      <c r="N317" t="s">
        <v>112</v>
      </c>
      <c r="O317" t="s">
        <v>110</v>
      </c>
    </row>
    <row r="318" spans="1:15" x14ac:dyDescent="0.3">
      <c r="A318" t="s">
        <v>14</v>
      </c>
      <c r="B318">
        <v>16</v>
      </c>
      <c r="C318">
        <v>1</v>
      </c>
      <c r="D318">
        <v>1</v>
      </c>
      <c r="E318">
        <v>0</v>
      </c>
      <c r="F318" t="s">
        <v>50</v>
      </c>
      <c r="G318" t="s">
        <v>11</v>
      </c>
      <c r="H318" t="s">
        <v>12</v>
      </c>
      <c r="I318" t="s">
        <v>13</v>
      </c>
      <c r="J318">
        <v>1</v>
      </c>
      <c r="K318" t="s">
        <v>113</v>
      </c>
      <c r="L318" t="s">
        <v>95</v>
      </c>
      <c r="M318" t="s">
        <v>111</v>
      </c>
      <c r="N318" t="s">
        <v>116</v>
      </c>
      <c r="O318" t="s">
        <v>115</v>
      </c>
    </row>
    <row r="319" spans="1:15" x14ac:dyDescent="0.3">
      <c r="A319" t="s">
        <v>14</v>
      </c>
      <c r="B319">
        <v>19</v>
      </c>
      <c r="C319">
        <v>1</v>
      </c>
      <c r="D319">
        <v>1</v>
      </c>
      <c r="E319">
        <v>0</v>
      </c>
      <c r="F319" t="s">
        <v>34</v>
      </c>
      <c r="G319" t="s">
        <v>16</v>
      </c>
      <c r="H319" t="s">
        <v>12</v>
      </c>
      <c r="I319" t="s">
        <v>13</v>
      </c>
      <c r="J319">
        <v>1</v>
      </c>
      <c r="K319" t="s">
        <v>117</v>
      </c>
      <c r="L319" t="s">
        <v>95</v>
      </c>
      <c r="M319" t="s">
        <v>111</v>
      </c>
      <c r="N319" t="s">
        <v>116</v>
      </c>
      <c r="O319" t="s">
        <v>115</v>
      </c>
    </row>
    <row r="320" spans="1:15" x14ac:dyDescent="0.3">
      <c r="A320" t="s">
        <v>14</v>
      </c>
      <c r="B320">
        <v>56</v>
      </c>
      <c r="C320">
        <v>0</v>
      </c>
      <c r="D320">
        <v>0</v>
      </c>
      <c r="E320">
        <v>0</v>
      </c>
      <c r="F320" t="s">
        <v>51</v>
      </c>
      <c r="G320" t="s">
        <v>11</v>
      </c>
      <c r="H320" t="s">
        <v>12</v>
      </c>
      <c r="I320" t="s">
        <v>13</v>
      </c>
      <c r="J320">
        <v>0</v>
      </c>
      <c r="K320" t="s">
        <v>108</v>
      </c>
      <c r="L320" t="s">
        <v>109</v>
      </c>
      <c r="M320" t="s">
        <v>111</v>
      </c>
      <c r="N320" t="s">
        <v>112</v>
      </c>
      <c r="O320" t="s">
        <v>110</v>
      </c>
    </row>
    <row r="321" spans="1:15" x14ac:dyDescent="0.3">
      <c r="A321" t="s">
        <v>9</v>
      </c>
      <c r="B321">
        <v>65</v>
      </c>
      <c r="C321">
        <v>1</v>
      </c>
      <c r="D321">
        <v>1</v>
      </c>
      <c r="E321">
        <v>1</v>
      </c>
      <c r="F321" t="s">
        <v>43</v>
      </c>
      <c r="G321" t="s">
        <v>16</v>
      </c>
      <c r="H321" t="s">
        <v>23</v>
      </c>
      <c r="I321" t="s">
        <v>13</v>
      </c>
      <c r="J321">
        <v>1</v>
      </c>
      <c r="K321" t="s">
        <v>119</v>
      </c>
      <c r="L321" t="s">
        <v>95</v>
      </c>
      <c r="M321" t="s">
        <v>94</v>
      </c>
      <c r="N321" t="s">
        <v>116</v>
      </c>
      <c r="O321" t="s">
        <v>115</v>
      </c>
    </row>
    <row r="322" spans="1:15" x14ac:dyDescent="0.3">
      <c r="A322" t="s">
        <v>14</v>
      </c>
      <c r="B322">
        <v>57</v>
      </c>
      <c r="C322">
        <v>1</v>
      </c>
      <c r="D322">
        <v>1</v>
      </c>
      <c r="E322">
        <v>1</v>
      </c>
      <c r="F322" t="s">
        <v>51</v>
      </c>
      <c r="G322" t="s">
        <v>11</v>
      </c>
      <c r="H322" t="s">
        <v>23</v>
      </c>
      <c r="I322" t="s">
        <v>13</v>
      </c>
      <c r="J322">
        <v>1</v>
      </c>
      <c r="K322" t="s">
        <v>108</v>
      </c>
      <c r="L322" t="s">
        <v>95</v>
      </c>
      <c r="M322" t="s">
        <v>94</v>
      </c>
      <c r="N322" t="s">
        <v>116</v>
      </c>
      <c r="O322" t="s">
        <v>115</v>
      </c>
    </row>
    <row r="323" spans="1:15" x14ac:dyDescent="0.3">
      <c r="A323" t="s">
        <v>14</v>
      </c>
      <c r="B323">
        <v>24</v>
      </c>
      <c r="C323">
        <v>0</v>
      </c>
      <c r="D323">
        <v>0</v>
      </c>
      <c r="E323">
        <v>0</v>
      </c>
      <c r="F323" t="s">
        <v>20</v>
      </c>
      <c r="G323" t="s">
        <v>16</v>
      </c>
      <c r="H323" t="s">
        <v>23</v>
      </c>
      <c r="I323" t="s">
        <v>13</v>
      </c>
      <c r="J323">
        <v>0</v>
      </c>
      <c r="K323" t="s">
        <v>117</v>
      </c>
      <c r="L323" t="s">
        <v>109</v>
      </c>
      <c r="M323" t="s">
        <v>111</v>
      </c>
      <c r="N323" t="s">
        <v>112</v>
      </c>
      <c r="O323" t="s">
        <v>110</v>
      </c>
    </row>
    <row r="324" spans="1:15" x14ac:dyDescent="0.3">
      <c r="A324" t="s">
        <v>14</v>
      </c>
      <c r="B324">
        <v>38</v>
      </c>
      <c r="C324">
        <v>0</v>
      </c>
      <c r="D324">
        <v>0</v>
      </c>
      <c r="E324">
        <v>1</v>
      </c>
      <c r="F324" t="s">
        <v>51</v>
      </c>
      <c r="G324" t="s">
        <v>11</v>
      </c>
      <c r="H324" t="s">
        <v>18</v>
      </c>
      <c r="I324" t="s">
        <v>13</v>
      </c>
      <c r="J324">
        <v>0</v>
      </c>
      <c r="K324" t="s">
        <v>114</v>
      </c>
      <c r="L324" t="s">
        <v>109</v>
      </c>
      <c r="M324" t="s">
        <v>94</v>
      </c>
      <c r="N324" t="s">
        <v>112</v>
      </c>
      <c r="O324" t="s">
        <v>110</v>
      </c>
    </row>
    <row r="325" spans="1:15" x14ac:dyDescent="0.3">
      <c r="A325" t="s">
        <v>9</v>
      </c>
      <c r="B325">
        <v>39</v>
      </c>
      <c r="C325">
        <v>0</v>
      </c>
      <c r="D325">
        <v>0</v>
      </c>
      <c r="E325">
        <v>1</v>
      </c>
      <c r="F325" t="s">
        <v>29</v>
      </c>
      <c r="G325" t="s">
        <v>16</v>
      </c>
      <c r="H325" t="s">
        <v>23</v>
      </c>
      <c r="I325" t="s">
        <v>13</v>
      </c>
      <c r="J325">
        <v>0</v>
      </c>
      <c r="K325" t="s">
        <v>114</v>
      </c>
      <c r="L325" t="s">
        <v>109</v>
      </c>
      <c r="M325" t="s">
        <v>94</v>
      </c>
      <c r="N325" t="s">
        <v>112</v>
      </c>
      <c r="O325" t="s">
        <v>110</v>
      </c>
    </row>
    <row r="326" spans="1:15" x14ac:dyDescent="0.3">
      <c r="A326" t="s">
        <v>9</v>
      </c>
      <c r="B326">
        <v>64</v>
      </c>
      <c r="C326">
        <v>0</v>
      </c>
      <c r="D326">
        <v>0</v>
      </c>
      <c r="E326">
        <v>0</v>
      </c>
      <c r="F326" t="s">
        <v>44</v>
      </c>
      <c r="G326" t="s">
        <v>11</v>
      </c>
      <c r="H326" t="s">
        <v>23</v>
      </c>
      <c r="I326" t="s">
        <v>13</v>
      </c>
      <c r="J326">
        <v>0</v>
      </c>
      <c r="K326" t="s">
        <v>108</v>
      </c>
      <c r="L326" t="s">
        <v>109</v>
      </c>
      <c r="M326" t="s">
        <v>111</v>
      </c>
      <c r="N326" t="s">
        <v>112</v>
      </c>
      <c r="O326" t="s">
        <v>110</v>
      </c>
    </row>
    <row r="327" spans="1:15" x14ac:dyDescent="0.3">
      <c r="A327" t="s">
        <v>14</v>
      </c>
      <c r="B327">
        <v>39</v>
      </c>
      <c r="C327">
        <v>1</v>
      </c>
      <c r="D327">
        <v>1</v>
      </c>
      <c r="E327">
        <v>1</v>
      </c>
      <c r="F327" t="s">
        <v>19</v>
      </c>
      <c r="G327" t="s">
        <v>16</v>
      </c>
      <c r="H327" t="s">
        <v>12</v>
      </c>
      <c r="I327" t="s">
        <v>13</v>
      </c>
      <c r="J327">
        <v>1</v>
      </c>
      <c r="K327" t="s">
        <v>114</v>
      </c>
      <c r="L327" t="s">
        <v>95</v>
      </c>
      <c r="M327" t="s">
        <v>94</v>
      </c>
      <c r="N327" t="s">
        <v>116</v>
      </c>
      <c r="O327" t="s">
        <v>115</v>
      </c>
    </row>
    <row r="328" spans="1:15" x14ac:dyDescent="0.3">
      <c r="A328" t="s">
        <v>14</v>
      </c>
      <c r="B328">
        <v>33</v>
      </c>
      <c r="C328">
        <v>1</v>
      </c>
      <c r="D328">
        <v>1</v>
      </c>
      <c r="E328">
        <v>0</v>
      </c>
      <c r="F328" t="s">
        <v>33</v>
      </c>
      <c r="G328" t="s">
        <v>11</v>
      </c>
      <c r="H328" t="s">
        <v>18</v>
      </c>
      <c r="I328" t="s">
        <v>13</v>
      </c>
      <c r="J328">
        <v>1</v>
      </c>
      <c r="K328" t="s">
        <v>114</v>
      </c>
      <c r="L328" t="s">
        <v>95</v>
      </c>
      <c r="M328" t="s">
        <v>111</v>
      </c>
      <c r="N328" t="s">
        <v>116</v>
      </c>
      <c r="O328" t="s">
        <v>115</v>
      </c>
    </row>
    <row r="329" spans="1:15" x14ac:dyDescent="0.3">
      <c r="A329" t="s">
        <v>14</v>
      </c>
      <c r="B329">
        <v>49</v>
      </c>
      <c r="C329">
        <v>1</v>
      </c>
      <c r="D329">
        <v>1</v>
      </c>
      <c r="E329">
        <v>0</v>
      </c>
      <c r="F329" t="s">
        <v>19</v>
      </c>
      <c r="G329" t="s">
        <v>16</v>
      </c>
      <c r="H329" t="s">
        <v>12</v>
      </c>
      <c r="I329" t="s">
        <v>13</v>
      </c>
      <c r="J329">
        <v>1</v>
      </c>
      <c r="K329" t="s">
        <v>108</v>
      </c>
      <c r="L329" t="s">
        <v>95</v>
      </c>
      <c r="M329" t="s">
        <v>111</v>
      </c>
      <c r="N329" t="s">
        <v>116</v>
      </c>
      <c r="O329" t="s">
        <v>115</v>
      </c>
    </row>
    <row r="330" spans="1:15" x14ac:dyDescent="0.3">
      <c r="A330" t="s">
        <v>9</v>
      </c>
      <c r="B330">
        <v>22</v>
      </c>
      <c r="C330">
        <v>1</v>
      </c>
      <c r="D330">
        <v>1</v>
      </c>
      <c r="E330">
        <v>1</v>
      </c>
      <c r="F330" t="s">
        <v>38</v>
      </c>
      <c r="G330" t="s">
        <v>11</v>
      </c>
      <c r="H330" t="s">
        <v>23</v>
      </c>
      <c r="I330" t="s">
        <v>13</v>
      </c>
      <c r="J330">
        <v>1</v>
      </c>
      <c r="K330" t="s">
        <v>117</v>
      </c>
      <c r="L330" t="s">
        <v>95</v>
      </c>
      <c r="M330" t="s">
        <v>94</v>
      </c>
      <c r="N330" t="s">
        <v>116</v>
      </c>
      <c r="O330" t="s">
        <v>115</v>
      </c>
    </row>
    <row r="331" spans="1:15" x14ac:dyDescent="0.3">
      <c r="A331" t="s">
        <v>9</v>
      </c>
      <c r="B331">
        <v>29</v>
      </c>
      <c r="C331">
        <v>0</v>
      </c>
      <c r="D331">
        <v>0</v>
      </c>
      <c r="E331">
        <v>0</v>
      </c>
      <c r="F331" t="s">
        <v>34</v>
      </c>
      <c r="G331" t="s">
        <v>16</v>
      </c>
      <c r="H331" t="s">
        <v>12</v>
      </c>
      <c r="I331" t="s">
        <v>13</v>
      </c>
      <c r="J331">
        <v>0</v>
      </c>
      <c r="K331" t="s">
        <v>114</v>
      </c>
      <c r="L331" t="s">
        <v>109</v>
      </c>
      <c r="M331" t="s">
        <v>111</v>
      </c>
      <c r="N331" t="s">
        <v>112</v>
      </c>
      <c r="O331" t="s">
        <v>110</v>
      </c>
    </row>
    <row r="332" spans="1:15" x14ac:dyDescent="0.3">
      <c r="A332" t="s">
        <v>9</v>
      </c>
      <c r="B332">
        <v>22</v>
      </c>
      <c r="C332">
        <v>1</v>
      </c>
      <c r="D332">
        <v>1</v>
      </c>
      <c r="E332">
        <v>0</v>
      </c>
      <c r="F332" t="s">
        <v>25</v>
      </c>
      <c r="G332" t="s">
        <v>11</v>
      </c>
      <c r="H332" t="s">
        <v>12</v>
      </c>
      <c r="I332" t="s">
        <v>13</v>
      </c>
      <c r="J332">
        <v>1</v>
      </c>
      <c r="K332" t="s">
        <v>117</v>
      </c>
      <c r="L332" t="s">
        <v>95</v>
      </c>
      <c r="M332" t="s">
        <v>111</v>
      </c>
      <c r="N332" t="s">
        <v>116</v>
      </c>
      <c r="O332" t="s">
        <v>115</v>
      </c>
    </row>
    <row r="333" spans="1:15" x14ac:dyDescent="0.3">
      <c r="A333" t="s">
        <v>9</v>
      </c>
      <c r="B333">
        <v>13</v>
      </c>
      <c r="C333">
        <v>1</v>
      </c>
      <c r="D333">
        <v>1</v>
      </c>
      <c r="E333">
        <v>0</v>
      </c>
      <c r="F333" t="s">
        <v>46</v>
      </c>
      <c r="G333" t="s">
        <v>16</v>
      </c>
      <c r="H333" t="s">
        <v>18</v>
      </c>
      <c r="I333" t="s">
        <v>13</v>
      </c>
      <c r="J333">
        <v>1</v>
      </c>
      <c r="K333" t="s">
        <v>118</v>
      </c>
      <c r="L333" t="s">
        <v>95</v>
      </c>
      <c r="M333" t="s">
        <v>111</v>
      </c>
      <c r="N333" t="s">
        <v>116</v>
      </c>
      <c r="O333" t="s">
        <v>115</v>
      </c>
    </row>
    <row r="334" spans="1:15" x14ac:dyDescent="0.3">
      <c r="A334" t="s">
        <v>9</v>
      </c>
      <c r="B334">
        <v>11</v>
      </c>
      <c r="C334">
        <v>1</v>
      </c>
      <c r="D334">
        <v>1</v>
      </c>
      <c r="E334">
        <v>0</v>
      </c>
      <c r="F334" t="s">
        <v>49</v>
      </c>
      <c r="G334" t="s">
        <v>11</v>
      </c>
      <c r="H334" t="s">
        <v>12</v>
      </c>
      <c r="I334" t="s">
        <v>13</v>
      </c>
      <c r="J334">
        <v>1</v>
      </c>
      <c r="K334" t="s">
        <v>118</v>
      </c>
      <c r="L334" t="s">
        <v>95</v>
      </c>
      <c r="M334" t="s">
        <v>111</v>
      </c>
      <c r="N334" t="s">
        <v>116</v>
      </c>
      <c r="O334" t="s">
        <v>115</v>
      </c>
    </row>
    <row r="335" spans="1:15" x14ac:dyDescent="0.3">
      <c r="A335" t="s">
        <v>14</v>
      </c>
      <c r="B335">
        <v>41</v>
      </c>
      <c r="C335">
        <v>1</v>
      </c>
      <c r="D335">
        <v>1</v>
      </c>
      <c r="E335">
        <v>1</v>
      </c>
      <c r="F335" t="s">
        <v>48</v>
      </c>
      <c r="G335" t="s">
        <v>16</v>
      </c>
      <c r="H335" t="s">
        <v>12</v>
      </c>
      <c r="I335" t="s">
        <v>13</v>
      </c>
      <c r="J335">
        <v>1</v>
      </c>
      <c r="K335" t="s">
        <v>114</v>
      </c>
      <c r="L335" t="s">
        <v>95</v>
      </c>
      <c r="M335" t="s">
        <v>94</v>
      </c>
      <c r="N335" t="s">
        <v>116</v>
      </c>
      <c r="O335" t="s">
        <v>115</v>
      </c>
    </row>
    <row r="336" spans="1:15" x14ac:dyDescent="0.3">
      <c r="A336" t="s">
        <v>14</v>
      </c>
      <c r="B336">
        <v>61</v>
      </c>
      <c r="C336">
        <v>1</v>
      </c>
      <c r="D336">
        <v>1</v>
      </c>
      <c r="E336">
        <v>1</v>
      </c>
      <c r="F336" t="s">
        <v>40</v>
      </c>
      <c r="G336" t="s">
        <v>11</v>
      </c>
      <c r="H336" t="s">
        <v>18</v>
      </c>
      <c r="I336" t="s">
        <v>13</v>
      </c>
      <c r="J336">
        <v>1</v>
      </c>
      <c r="K336" t="s">
        <v>108</v>
      </c>
      <c r="L336" t="s">
        <v>95</v>
      </c>
      <c r="M336" t="s">
        <v>94</v>
      </c>
      <c r="N336" t="s">
        <v>116</v>
      </c>
      <c r="O336" t="s">
        <v>115</v>
      </c>
    </row>
    <row r="337" spans="1:15" x14ac:dyDescent="0.3">
      <c r="A337" t="s">
        <v>14</v>
      </c>
      <c r="B337">
        <v>60</v>
      </c>
      <c r="C337">
        <v>0</v>
      </c>
      <c r="D337">
        <v>0</v>
      </c>
      <c r="E337">
        <v>1</v>
      </c>
      <c r="F337" t="s">
        <v>10</v>
      </c>
      <c r="G337" t="s">
        <v>16</v>
      </c>
      <c r="H337" t="s">
        <v>23</v>
      </c>
      <c r="I337" t="s">
        <v>13</v>
      </c>
      <c r="J337">
        <v>0</v>
      </c>
      <c r="K337" t="s">
        <v>108</v>
      </c>
      <c r="L337" t="s">
        <v>109</v>
      </c>
      <c r="M337" t="s">
        <v>94</v>
      </c>
      <c r="N337" t="s">
        <v>112</v>
      </c>
      <c r="O337" t="s">
        <v>110</v>
      </c>
    </row>
    <row r="338" spans="1:15" x14ac:dyDescent="0.3">
      <c r="A338" t="s">
        <v>9</v>
      </c>
      <c r="B338">
        <v>21</v>
      </c>
      <c r="C338">
        <v>1</v>
      </c>
      <c r="D338">
        <v>1</v>
      </c>
      <c r="E338">
        <v>0</v>
      </c>
      <c r="F338" t="s">
        <v>10</v>
      </c>
      <c r="G338" t="s">
        <v>11</v>
      </c>
      <c r="H338" t="s">
        <v>12</v>
      </c>
      <c r="I338" t="s">
        <v>13</v>
      </c>
      <c r="J338">
        <v>1</v>
      </c>
      <c r="K338" t="s">
        <v>117</v>
      </c>
      <c r="L338" t="s">
        <v>95</v>
      </c>
      <c r="M338" t="s">
        <v>111</v>
      </c>
      <c r="N338" t="s">
        <v>116</v>
      </c>
      <c r="O338" t="s">
        <v>115</v>
      </c>
    </row>
    <row r="339" spans="1:15" x14ac:dyDescent="0.3">
      <c r="A339" t="s">
        <v>9</v>
      </c>
      <c r="B339">
        <v>25</v>
      </c>
      <c r="C339">
        <v>1</v>
      </c>
      <c r="D339">
        <v>1</v>
      </c>
      <c r="E339">
        <v>1</v>
      </c>
      <c r="F339" t="s">
        <v>34</v>
      </c>
      <c r="G339" t="s">
        <v>16</v>
      </c>
      <c r="H339" t="s">
        <v>23</v>
      </c>
      <c r="I339" t="s">
        <v>13</v>
      </c>
      <c r="J339">
        <v>1</v>
      </c>
      <c r="K339" t="s">
        <v>114</v>
      </c>
      <c r="L339" t="s">
        <v>95</v>
      </c>
      <c r="M339" t="s">
        <v>94</v>
      </c>
      <c r="N339" t="s">
        <v>116</v>
      </c>
      <c r="O339" t="s">
        <v>115</v>
      </c>
    </row>
    <row r="340" spans="1:15" x14ac:dyDescent="0.3">
      <c r="A340" t="s">
        <v>9</v>
      </c>
      <c r="B340">
        <v>57</v>
      </c>
      <c r="C340">
        <v>1</v>
      </c>
      <c r="D340">
        <v>1</v>
      </c>
      <c r="E340">
        <v>0</v>
      </c>
      <c r="F340" t="s">
        <v>42</v>
      </c>
      <c r="G340" t="s">
        <v>11</v>
      </c>
      <c r="H340" t="s">
        <v>23</v>
      </c>
      <c r="I340" t="s">
        <v>13</v>
      </c>
      <c r="J340">
        <v>1</v>
      </c>
      <c r="K340" t="s">
        <v>108</v>
      </c>
      <c r="L340" t="s">
        <v>95</v>
      </c>
      <c r="M340" t="s">
        <v>111</v>
      </c>
      <c r="N340" t="s">
        <v>116</v>
      </c>
      <c r="O340" t="s">
        <v>115</v>
      </c>
    </row>
    <row r="341" spans="1:15" x14ac:dyDescent="0.3">
      <c r="A341" t="s">
        <v>14</v>
      </c>
      <c r="B341">
        <v>22</v>
      </c>
      <c r="C341">
        <v>1</v>
      </c>
      <c r="D341">
        <v>1</v>
      </c>
      <c r="E341">
        <v>1</v>
      </c>
      <c r="F341" t="s">
        <v>21</v>
      </c>
      <c r="G341" t="s">
        <v>16</v>
      </c>
      <c r="H341" t="s">
        <v>12</v>
      </c>
      <c r="I341" t="s">
        <v>13</v>
      </c>
      <c r="J341">
        <v>1</v>
      </c>
      <c r="K341" t="s">
        <v>117</v>
      </c>
      <c r="L341" t="s">
        <v>95</v>
      </c>
      <c r="M341" t="s">
        <v>94</v>
      </c>
      <c r="N341" t="s">
        <v>116</v>
      </c>
      <c r="O341" t="s">
        <v>115</v>
      </c>
    </row>
    <row r="342" spans="1:15" x14ac:dyDescent="0.3">
      <c r="A342" t="s">
        <v>14</v>
      </c>
      <c r="B342">
        <v>9</v>
      </c>
      <c r="C342">
        <v>1</v>
      </c>
      <c r="D342">
        <v>1</v>
      </c>
      <c r="E342">
        <v>0</v>
      </c>
      <c r="F342" t="s">
        <v>27</v>
      </c>
      <c r="G342" t="s">
        <v>11</v>
      </c>
      <c r="H342" t="s">
        <v>18</v>
      </c>
      <c r="I342" t="s">
        <v>13</v>
      </c>
      <c r="J342">
        <v>1</v>
      </c>
      <c r="K342" t="s">
        <v>118</v>
      </c>
      <c r="L342" t="s">
        <v>95</v>
      </c>
      <c r="M342" t="s">
        <v>111</v>
      </c>
      <c r="N342" t="s">
        <v>116</v>
      </c>
      <c r="O342" t="s">
        <v>115</v>
      </c>
    </row>
    <row r="343" spans="1:15" x14ac:dyDescent="0.3">
      <c r="A343" t="s">
        <v>14</v>
      </c>
      <c r="B343">
        <v>56</v>
      </c>
      <c r="C343">
        <v>0</v>
      </c>
      <c r="D343">
        <v>0</v>
      </c>
      <c r="E343">
        <v>1</v>
      </c>
      <c r="F343" t="s">
        <v>49</v>
      </c>
      <c r="G343" t="s">
        <v>16</v>
      </c>
      <c r="H343" t="s">
        <v>18</v>
      </c>
      <c r="I343" t="s">
        <v>13</v>
      </c>
      <c r="J343">
        <v>0</v>
      </c>
      <c r="K343" t="s">
        <v>108</v>
      </c>
      <c r="L343" t="s">
        <v>109</v>
      </c>
      <c r="M343" t="s">
        <v>94</v>
      </c>
      <c r="N343" t="s">
        <v>112</v>
      </c>
      <c r="O343" t="s">
        <v>110</v>
      </c>
    </row>
    <row r="344" spans="1:15" x14ac:dyDescent="0.3">
      <c r="A344" t="s">
        <v>9</v>
      </c>
      <c r="B344">
        <v>44</v>
      </c>
      <c r="C344">
        <v>1</v>
      </c>
      <c r="D344">
        <v>1</v>
      </c>
      <c r="E344">
        <v>0</v>
      </c>
      <c r="F344" t="s">
        <v>46</v>
      </c>
      <c r="G344" t="s">
        <v>11</v>
      </c>
      <c r="H344" t="s">
        <v>12</v>
      </c>
      <c r="I344" t="s">
        <v>13</v>
      </c>
      <c r="J344">
        <v>1</v>
      </c>
      <c r="K344" t="s">
        <v>114</v>
      </c>
      <c r="L344" t="s">
        <v>95</v>
      </c>
      <c r="M344" t="s">
        <v>111</v>
      </c>
      <c r="N344" t="s">
        <v>116</v>
      </c>
      <c r="O344" t="s">
        <v>115</v>
      </c>
    </row>
    <row r="345" spans="1:15" x14ac:dyDescent="0.3">
      <c r="A345" t="s">
        <v>9</v>
      </c>
      <c r="B345">
        <v>59</v>
      </c>
      <c r="C345">
        <v>1</v>
      </c>
      <c r="D345">
        <v>1</v>
      </c>
      <c r="E345">
        <v>0</v>
      </c>
      <c r="F345" t="s">
        <v>31</v>
      </c>
      <c r="G345" t="s">
        <v>16</v>
      </c>
      <c r="H345" t="s">
        <v>12</v>
      </c>
      <c r="I345" t="s">
        <v>13</v>
      </c>
      <c r="J345">
        <v>1</v>
      </c>
      <c r="K345" t="s">
        <v>108</v>
      </c>
      <c r="L345" t="s">
        <v>95</v>
      </c>
      <c r="M345" t="s">
        <v>111</v>
      </c>
      <c r="N345" t="s">
        <v>116</v>
      </c>
      <c r="O345" t="s">
        <v>115</v>
      </c>
    </row>
    <row r="346" spans="1:15" x14ac:dyDescent="0.3">
      <c r="A346" t="s">
        <v>9</v>
      </c>
      <c r="B346">
        <v>40</v>
      </c>
      <c r="C346">
        <v>0</v>
      </c>
      <c r="D346">
        <v>0</v>
      </c>
      <c r="E346">
        <v>0</v>
      </c>
      <c r="F346" t="s">
        <v>50</v>
      </c>
      <c r="G346" t="s">
        <v>11</v>
      </c>
      <c r="H346" t="s">
        <v>12</v>
      </c>
      <c r="I346" t="s">
        <v>13</v>
      </c>
      <c r="J346">
        <v>0</v>
      </c>
      <c r="K346" t="s">
        <v>114</v>
      </c>
      <c r="L346" t="s">
        <v>109</v>
      </c>
      <c r="M346" t="s">
        <v>111</v>
      </c>
      <c r="N346" t="s">
        <v>112</v>
      </c>
      <c r="O346" t="s">
        <v>110</v>
      </c>
    </row>
    <row r="347" spans="1:15" x14ac:dyDescent="0.3">
      <c r="A347" t="s">
        <v>9</v>
      </c>
      <c r="B347">
        <v>64</v>
      </c>
      <c r="C347">
        <v>1</v>
      </c>
      <c r="D347">
        <v>1</v>
      </c>
      <c r="E347">
        <v>0</v>
      </c>
      <c r="F347" t="s">
        <v>32</v>
      </c>
      <c r="G347" t="s">
        <v>16</v>
      </c>
      <c r="H347" t="s">
        <v>23</v>
      </c>
      <c r="I347" t="s">
        <v>13</v>
      </c>
      <c r="J347">
        <v>1</v>
      </c>
      <c r="K347" t="s">
        <v>108</v>
      </c>
      <c r="L347" t="s">
        <v>95</v>
      </c>
      <c r="M347" t="s">
        <v>111</v>
      </c>
      <c r="N347" t="s">
        <v>116</v>
      </c>
      <c r="O347" t="s">
        <v>115</v>
      </c>
    </row>
    <row r="348" spans="1:15" x14ac:dyDescent="0.3">
      <c r="A348" t="s">
        <v>14</v>
      </c>
      <c r="B348">
        <v>62</v>
      </c>
      <c r="C348">
        <v>1</v>
      </c>
      <c r="D348">
        <v>1</v>
      </c>
      <c r="E348">
        <v>0</v>
      </c>
      <c r="F348" t="s">
        <v>42</v>
      </c>
      <c r="G348" t="s">
        <v>11</v>
      </c>
      <c r="H348" t="s">
        <v>18</v>
      </c>
      <c r="I348" t="s">
        <v>13</v>
      </c>
      <c r="J348">
        <v>1</v>
      </c>
      <c r="K348" t="s">
        <v>108</v>
      </c>
      <c r="L348" t="s">
        <v>95</v>
      </c>
      <c r="M348" t="s">
        <v>111</v>
      </c>
      <c r="N348" t="s">
        <v>116</v>
      </c>
      <c r="O348" t="s">
        <v>115</v>
      </c>
    </row>
    <row r="349" spans="1:15" x14ac:dyDescent="0.3">
      <c r="A349" t="s">
        <v>9</v>
      </c>
      <c r="B349">
        <v>40</v>
      </c>
      <c r="C349">
        <v>1</v>
      </c>
      <c r="D349">
        <v>1</v>
      </c>
      <c r="E349">
        <v>1</v>
      </c>
      <c r="F349" t="s">
        <v>20</v>
      </c>
      <c r="G349" t="s">
        <v>16</v>
      </c>
      <c r="H349" t="s">
        <v>12</v>
      </c>
      <c r="I349" t="s">
        <v>13</v>
      </c>
      <c r="J349">
        <v>1</v>
      </c>
      <c r="K349" t="s">
        <v>114</v>
      </c>
      <c r="L349" t="s">
        <v>95</v>
      </c>
      <c r="M349" t="s">
        <v>94</v>
      </c>
      <c r="N349" t="s">
        <v>116</v>
      </c>
      <c r="O349" t="s">
        <v>115</v>
      </c>
    </row>
    <row r="350" spans="1:15" x14ac:dyDescent="0.3">
      <c r="A350" t="s">
        <v>9</v>
      </c>
      <c r="B350">
        <v>26</v>
      </c>
      <c r="C350">
        <v>1</v>
      </c>
      <c r="D350">
        <v>1</v>
      </c>
      <c r="E350">
        <v>1</v>
      </c>
      <c r="F350" t="s">
        <v>41</v>
      </c>
      <c r="G350" t="s">
        <v>11</v>
      </c>
      <c r="H350" t="s">
        <v>23</v>
      </c>
      <c r="I350" t="s">
        <v>13</v>
      </c>
      <c r="J350">
        <v>1</v>
      </c>
      <c r="K350" t="s">
        <v>114</v>
      </c>
      <c r="L350" t="s">
        <v>95</v>
      </c>
      <c r="M350" t="s">
        <v>94</v>
      </c>
      <c r="N350" t="s">
        <v>116</v>
      </c>
      <c r="O350" t="s">
        <v>115</v>
      </c>
    </row>
    <row r="351" spans="1:15" x14ac:dyDescent="0.3">
      <c r="A351" t="s">
        <v>14</v>
      </c>
      <c r="B351">
        <v>47</v>
      </c>
      <c r="C351">
        <v>1</v>
      </c>
      <c r="D351">
        <v>1</v>
      </c>
      <c r="E351">
        <v>1</v>
      </c>
      <c r="F351" t="s">
        <v>36</v>
      </c>
      <c r="G351" t="s">
        <v>16</v>
      </c>
      <c r="H351" t="s">
        <v>12</v>
      </c>
      <c r="I351" t="s">
        <v>13</v>
      </c>
      <c r="J351">
        <v>1</v>
      </c>
      <c r="K351" t="s">
        <v>108</v>
      </c>
      <c r="L351" t="s">
        <v>95</v>
      </c>
      <c r="M351" t="s">
        <v>94</v>
      </c>
      <c r="N351" t="s">
        <v>116</v>
      </c>
      <c r="O351" t="s">
        <v>115</v>
      </c>
    </row>
    <row r="352" spans="1:15" x14ac:dyDescent="0.3">
      <c r="A352" t="s">
        <v>14</v>
      </c>
      <c r="B352">
        <v>56</v>
      </c>
      <c r="C352">
        <v>0</v>
      </c>
      <c r="D352">
        <v>0</v>
      </c>
      <c r="E352">
        <v>0</v>
      </c>
      <c r="F352" t="s">
        <v>38</v>
      </c>
      <c r="G352" t="s">
        <v>11</v>
      </c>
      <c r="H352" t="s">
        <v>18</v>
      </c>
      <c r="I352" t="s">
        <v>13</v>
      </c>
      <c r="J352">
        <v>0</v>
      </c>
      <c r="K352" t="s">
        <v>108</v>
      </c>
      <c r="L352" t="s">
        <v>109</v>
      </c>
      <c r="M352" t="s">
        <v>111</v>
      </c>
      <c r="N352" t="s">
        <v>112</v>
      </c>
      <c r="O352" t="s">
        <v>110</v>
      </c>
    </row>
    <row r="353" spans="1:15" x14ac:dyDescent="0.3">
      <c r="A353" t="s">
        <v>9</v>
      </c>
      <c r="B353">
        <v>19</v>
      </c>
      <c r="C353">
        <v>1</v>
      </c>
      <c r="D353">
        <v>1</v>
      </c>
      <c r="E353">
        <v>1</v>
      </c>
      <c r="F353" t="s">
        <v>48</v>
      </c>
      <c r="G353" t="s">
        <v>16</v>
      </c>
      <c r="H353" t="s">
        <v>18</v>
      </c>
      <c r="I353" t="s">
        <v>13</v>
      </c>
      <c r="J353">
        <v>1</v>
      </c>
      <c r="K353" t="s">
        <v>117</v>
      </c>
      <c r="L353" t="s">
        <v>95</v>
      </c>
      <c r="M353" t="s">
        <v>94</v>
      </c>
      <c r="N353" t="s">
        <v>116</v>
      </c>
      <c r="O353" t="s">
        <v>115</v>
      </c>
    </row>
    <row r="354" spans="1:15" x14ac:dyDescent="0.3">
      <c r="A354" t="s">
        <v>14</v>
      </c>
      <c r="B354">
        <v>17</v>
      </c>
      <c r="C354">
        <v>0</v>
      </c>
      <c r="D354">
        <v>0</v>
      </c>
      <c r="E354">
        <v>1</v>
      </c>
      <c r="F354" t="s">
        <v>19</v>
      </c>
      <c r="G354" t="s">
        <v>11</v>
      </c>
      <c r="H354" t="s">
        <v>12</v>
      </c>
      <c r="I354" t="s">
        <v>13</v>
      </c>
      <c r="J354">
        <v>0</v>
      </c>
      <c r="K354" t="s">
        <v>113</v>
      </c>
      <c r="L354" t="s">
        <v>109</v>
      </c>
      <c r="M354" t="s">
        <v>94</v>
      </c>
      <c r="N354" t="s">
        <v>112</v>
      </c>
      <c r="O354" t="s">
        <v>110</v>
      </c>
    </row>
    <row r="355" spans="1:15" x14ac:dyDescent="0.3">
      <c r="A355" t="s">
        <v>9</v>
      </c>
      <c r="B355">
        <v>57</v>
      </c>
      <c r="C355">
        <v>1</v>
      </c>
      <c r="D355">
        <v>1</v>
      </c>
      <c r="E355">
        <v>0</v>
      </c>
      <c r="F355" t="s">
        <v>35</v>
      </c>
      <c r="G355" t="s">
        <v>16</v>
      </c>
      <c r="H355" t="s">
        <v>12</v>
      </c>
      <c r="I355" t="s">
        <v>13</v>
      </c>
      <c r="J355">
        <v>1</v>
      </c>
      <c r="K355" t="s">
        <v>108</v>
      </c>
      <c r="L355" t="s">
        <v>95</v>
      </c>
      <c r="M355" t="s">
        <v>111</v>
      </c>
      <c r="N355" t="s">
        <v>116</v>
      </c>
      <c r="O355" t="s">
        <v>115</v>
      </c>
    </row>
    <row r="356" spans="1:15" x14ac:dyDescent="0.3">
      <c r="A356" t="s">
        <v>14</v>
      </c>
      <c r="B356">
        <v>47</v>
      </c>
      <c r="C356">
        <v>1</v>
      </c>
      <c r="D356">
        <v>1</v>
      </c>
      <c r="E356">
        <v>1</v>
      </c>
      <c r="F356" t="s">
        <v>25</v>
      </c>
      <c r="G356" t="s">
        <v>11</v>
      </c>
      <c r="H356" t="s">
        <v>23</v>
      </c>
      <c r="I356" t="s">
        <v>13</v>
      </c>
      <c r="J356">
        <v>1</v>
      </c>
      <c r="K356" t="s">
        <v>108</v>
      </c>
      <c r="L356" t="s">
        <v>95</v>
      </c>
      <c r="M356" t="s">
        <v>94</v>
      </c>
      <c r="N356" t="s">
        <v>116</v>
      </c>
      <c r="O356" t="s">
        <v>115</v>
      </c>
    </row>
    <row r="357" spans="1:15" x14ac:dyDescent="0.3">
      <c r="A357" t="s">
        <v>14</v>
      </c>
      <c r="B357">
        <v>44</v>
      </c>
      <c r="C357">
        <v>1</v>
      </c>
      <c r="D357">
        <v>1</v>
      </c>
      <c r="E357">
        <v>0</v>
      </c>
      <c r="F357" t="s">
        <v>32</v>
      </c>
      <c r="G357" t="s">
        <v>16</v>
      </c>
      <c r="H357" t="s">
        <v>12</v>
      </c>
      <c r="I357" t="s">
        <v>13</v>
      </c>
      <c r="J357">
        <v>1</v>
      </c>
      <c r="K357" t="s">
        <v>114</v>
      </c>
      <c r="L357" t="s">
        <v>95</v>
      </c>
      <c r="M357" t="s">
        <v>111</v>
      </c>
      <c r="N357" t="s">
        <v>116</v>
      </c>
      <c r="O357" t="s">
        <v>115</v>
      </c>
    </row>
    <row r="358" spans="1:15" x14ac:dyDescent="0.3">
      <c r="A358" t="s">
        <v>9</v>
      </c>
      <c r="B358">
        <v>18</v>
      </c>
      <c r="C358">
        <v>0</v>
      </c>
      <c r="D358">
        <v>0</v>
      </c>
      <c r="E358">
        <v>0</v>
      </c>
      <c r="F358" t="s">
        <v>17</v>
      </c>
      <c r="G358" t="s">
        <v>11</v>
      </c>
      <c r="H358" t="s">
        <v>12</v>
      </c>
      <c r="I358" t="s">
        <v>13</v>
      </c>
      <c r="J358">
        <v>0</v>
      </c>
      <c r="K358" t="s">
        <v>113</v>
      </c>
      <c r="L358" t="s">
        <v>109</v>
      </c>
      <c r="M358" t="s">
        <v>111</v>
      </c>
      <c r="N358" t="s">
        <v>112</v>
      </c>
      <c r="O358" t="s">
        <v>110</v>
      </c>
    </row>
    <row r="359" spans="1:15" x14ac:dyDescent="0.3">
      <c r="A359" t="s">
        <v>14</v>
      </c>
      <c r="B359">
        <v>44</v>
      </c>
      <c r="C359">
        <v>1</v>
      </c>
      <c r="D359">
        <v>1</v>
      </c>
      <c r="E359">
        <v>0</v>
      </c>
      <c r="F359" t="s">
        <v>43</v>
      </c>
      <c r="G359" t="s">
        <v>16</v>
      </c>
      <c r="H359" t="s">
        <v>23</v>
      </c>
      <c r="I359" t="s">
        <v>13</v>
      </c>
      <c r="J359">
        <v>1</v>
      </c>
      <c r="K359" t="s">
        <v>114</v>
      </c>
      <c r="L359" t="s">
        <v>95</v>
      </c>
      <c r="M359" t="s">
        <v>111</v>
      </c>
      <c r="N359" t="s">
        <v>116</v>
      </c>
      <c r="O359" t="s">
        <v>115</v>
      </c>
    </row>
    <row r="360" spans="1:15" x14ac:dyDescent="0.3">
      <c r="A360" t="s">
        <v>9</v>
      </c>
      <c r="B360">
        <v>20</v>
      </c>
      <c r="C360">
        <v>1</v>
      </c>
      <c r="D360">
        <v>1</v>
      </c>
      <c r="E360">
        <v>1</v>
      </c>
      <c r="F360" t="s">
        <v>51</v>
      </c>
      <c r="G360" t="s">
        <v>11</v>
      </c>
      <c r="H360" t="s">
        <v>12</v>
      </c>
      <c r="I360" t="s">
        <v>13</v>
      </c>
      <c r="J360">
        <v>1</v>
      </c>
      <c r="K360" t="s">
        <v>117</v>
      </c>
      <c r="L360" t="s">
        <v>95</v>
      </c>
      <c r="M360" t="s">
        <v>94</v>
      </c>
      <c r="N360" t="s">
        <v>116</v>
      </c>
      <c r="O360" t="s">
        <v>115</v>
      </c>
    </row>
    <row r="361" spans="1:15" x14ac:dyDescent="0.3">
      <c r="A361" t="s">
        <v>9</v>
      </c>
      <c r="B361">
        <v>60</v>
      </c>
      <c r="C361">
        <v>0</v>
      </c>
      <c r="D361">
        <v>0</v>
      </c>
      <c r="E361">
        <v>1</v>
      </c>
      <c r="F361" t="s">
        <v>39</v>
      </c>
      <c r="G361" t="s">
        <v>16</v>
      </c>
      <c r="H361" t="s">
        <v>18</v>
      </c>
      <c r="I361" t="s">
        <v>13</v>
      </c>
      <c r="J361">
        <v>0</v>
      </c>
      <c r="K361" t="s">
        <v>108</v>
      </c>
      <c r="L361" t="s">
        <v>109</v>
      </c>
      <c r="M361" t="s">
        <v>94</v>
      </c>
      <c r="N361" t="s">
        <v>112</v>
      </c>
      <c r="O361" t="s">
        <v>110</v>
      </c>
    </row>
    <row r="362" spans="1:15" x14ac:dyDescent="0.3">
      <c r="A362" t="s">
        <v>14</v>
      </c>
      <c r="B362">
        <v>61</v>
      </c>
      <c r="C362">
        <v>0</v>
      </c>
      <c r="D362">
        <v>0</v>
      </c>
      <c r="E362">
        <v>0</v>
      </c>
      <c r="F362" t="s">
        <v>46</v>
      </c>
      <c r="G362" t="s">
        <v>11</v>
      </c>
      <c r="H362" t="s">
        <v>18</v>
      </c>
      <c r="I362" t="s">
        <v>13</v>
      </c>
      <c r="J362">
        <v>0</v>
      </c>
      <c r="K362" t="s">
        <v>108</v>
      </c>
      <c r="L362" t="s">
        <v>109</v>
      </c>
      <c r="M362" t="s">
        <v>111</v>
      </c>
      <c r="N362" t="s">
        <v>112</v>
      </c>
      <c r="O362" t="s">
        <v>110</v>
      </c>
    </row>
    <row r="363" spans="1:15" x14ac:dyDescent="0.3">
      <c r="A363" t="s">
        <v>9</v>
      </c>
      <c r="B363">
        <v>47</v>
      </c>
      <c r="C363">
        <v>0</v>
      </c>
      <c r="D363">
        <v>0</v>
      </c>
      <c r="E363">
        <v>0</v>
      </c>
      <c r="F363" t="s">
        <v>36</v>
      </c>
      <c r="G363" t="s">
        <v>16</v>
      </c>
      <c r="H363" t="s">
        <v>18</v>
      </c>
      <c r="I363" t="s">
        <v>13</v>
      </c>
      <c r="J363">
        <v>0</v>
      </c>
      <c r="K363" t="s">
        <v>108</v>
      </c>
      <c r="L363" t="s">
        <v>109</v>
      </c>
      <c r="M363" t="s">
        <v>111</v>
      </c>
      <c r="N363" t="s">
        <v>112</v>
      </c>
      <c r="O363" t="s">
        <v>110</v>
      </c>
    </row>
    <row r="364" spans="1:15" x14ac:dyDescent="0.3">
      <c r="A364" t="s">
        <v>9</v>
      </c>
      <c r="B364">
        <v>15</v>
      </c>
      <c r="C364">
        <v>1</v>
      </c>
      <c r="D364">
        <v>1</v>
      </c>
      <c r="E364">
        <v>1</v>
      </c>
      <c r="F364" t="s">
        <v>26</v>
      </c>
      <c r="G364" t="s">
        <v>11</v>
      </c>
      <c r="H364" t="s">
        <v>23</v>
      </c>
      <c r="I364" t="s">
        <v>13</v>
      </c>
      <c r="J364">
        <v>1</v>
      </c>
      <c r="K364" t="s">
        <v>113</v>
      </c>
      <c r="L364" t="s">
        <v>95</v>
      </c>
      <c r="M364" t="s">
        <v>94</v>
      </c>
      <c r="N364" t="s">
        <v>116</v>
      </c>
      <c r="O364" t="s">
        <v>115</v>
      </c>
    </row>
    <row r="365" spans="1:15" x14ac:dyDescent="0.3">
      <c r="A365" t="s">
        <v>14</v>
      </c>
      <c r="B365">
        <v>58</v>
      </c>
      <c r="C365">
        <v>0</v>
      </c>
      <c r="D365">
        <v>0</v>
      </c>
      <c r="E365">
        <v>1</v>
      </c>
      <c r="F365" t="s">
        <v>34</v>
      </c>
      <c r="G365" t="s">
        <v>16</v>
      </c>
      <c r="H365" t="s">
        <v>18</v>
      </c>
      <c r="I365" t="s">
        <v>13</v>
      </c>
      <c r="J365">
        <v>0</v>
      </c>
      <c r="K365" t="s">
        <v>108</v>
      </c>
      <c r="L365" t="s">
        <v>109</v>
      </c>
      <c r="M365" t="s">
        <v>94</v>
      </c>
      <c r="N365" t="s">
        <v>112</v>
      </c>
      <c r="O365" t="s">
        <v>110</v>
      </c>
    </row>
    <row r="366" spans="1:15" x14ac:dyDescent="0.3">
      <c r="A366" t="s">
        <v>14</v>
      </c>
      <c r="B366">
        <v>64</v>
      </c>
      <c r="C366">
        <v>0</v>
      </c>
      <c r="D366">
        <v>0</v>
      </c>
      <c r="E366">
        <v>0</v>
      </c>
      <c r="F366" t="s">
        <v>34</v>
      </c>
      <c r="G366" t="s">
        <v>11</v>
      </c>
      <c r="H366" t="s">
        <v>12</v>
      </c>
      <c r="I366" t="s">
        <v>13</v>
      </c>
      <c r="J366">
        <v>0</v>
      </c>
      <c r="K366" t="s">
        <v>108</v>
      </c>
      <c r="L366" t="s">
        <v>109</v>
      </c>
      <c r="M366" t="s">
        <v>111</v>
      </c>
      <c r="N366" t="s">
        <v>112</v>
      </c>
      <c r="O366" t="s">
        <v>110</v>
      </c>
    </row>
    <row r="367" spans="1:15" x14ac:dyDescent="0.3">
      <c r="A367" t="s">
        <v>9</v>
      </c>
      <c r="B367">
        <v>50</v>
      </c>
      <c r="C367">
        <v>1</v>
      </c>
      <c r="D367">
        <v>1</v>
      </c>
      <c r="E367">
        <v>1</v>
      </c>
      <c r="F367" t="s">
        <v>37</v>
      </c>
      <c r="G367" t="s">
        <v>16</v>
      </c>
      <c r="H367" t="s">
        <v>23</v>
      </c>
      <c r="I367" t="s">
        <v>13</v>
      </c>
      <c r="J367">
        <v>1</v>
      </c>
      <c r="K367" t="s">
        <v>108</v>
      </c>
      <c r="L367" t="s">
        <v>95</v>
      </c>
      <c r="M367" t="s">
        <v>94</v>
      </c>
      <c r="N367" t="s">
        <v>116</v>
      </c>
      <c r="O367" t="s">
        <v>115</v>
      </c>
    </row>
    <row r="368" spans="1:15" x14ac:dyDescent="0.3">
      <c r="A368" t="s">
        <v>9</v>
      </c>
      <c r="B368">
        <v>52</v>
      </c>
      <c r="C368">
        <v>1</v>
      </c>
      <c r="D368">
        <v>1</v>
      </c>
      <c r="E368">
        <v>1</v>
      </c>
      <c r="F368" t="s">
        <v>38</v>
      </c>
      <c r="G368" t="s">
        <v>11</v>
      </c>
      <c r="H368" t="s">
        <v>12</v>
      </c>
      <c r="I368" t="s">
        <v>13</v>
      </c>
      <c r="J368">
        <v>1</v>
      </c>
      <c r="K368" t="s">
        <v>108</v>
      </c>
      <c r="L368" t="s">
        <v>95</v>
      </c>
      <c r="M368" t="s">
        <v>94</v>
      </c>
      <c r="N368" t="s">
        <v>116</v>
      </c>
      <c r="O368" t="s">
        <v>115</v>
      </c>
    </row>
    <row r="369" spans="1:15" x14ac:dyDescent="0.3">
      <c r="A369" t="s">
        <v>14</v>
      </c>
      <c r="B369">
        <v>59</v>
      </c>
      <c r="C369">
        <v>1</v>
      </c>
      <c r="D369">
        <v>1</v>
      </c>
      <c r="E369">
        <v>0</v>
      </c>
      <c r="F369" t="s">
        <v>20</v>
      </c>
      <c r="G369" t="s">
        <v>16</v>
      </c>
      <c r="H369" t="s">
        <v>23</v>
      </c>
      <c r="I369" t="s">
        <v>13</v>
      </c>
      <c r="J369">
        <v>1</v>
      </c>
      <c r="K369" t="s">
        <v>108</v>
      </c>
      <c r="L369" t="s">
        <v>95</v>
      </c>
      <c r="M369" t="s">
        <v>111</v>
      </c>
      <c r="N369" t="s">
        <v>116</v>
      </c>
      <c r="O369" t="s">
        <v>115</v>
      </c>
    </row>
    <row r="370" spans="1:15" x14ac:dyDescent="0.3">
      <c r="A370" t="s">
        <v>9</v>
      </c>
      <c r="B370">
        <v>51</v>
      </c>
      <c r="C370">
        <v>0</v>
      </c>
      <c r="D370">
        <v>0</v>
      </c>
      <c r="E370">
        <v>1</v>
      </c>
      <c r="F370" t="s">
        <v>43</v>
      </c>
      <c r="G370" t="s">
        <v>11</v>
      </c>
      <c r="H370" t="s">
        <v>12</v>
      </c>
      <c r="I370" t="s">
        <v>13</v>
      </c>
      <c r="J370">
        <v>0</v>
      </c>
      <c r="K370" t="s">
        <v>108</v>
      </c>
      <c r="L370" t="s">
        <v>109</v>
      </c>
      <c r="M370" t="s">
        <v>94</v>
      </c>
      <c r="N370" t="s">
        <v>112</v>
      </c>
      <c r="O370" t="s">
        <v>110</v>
      </c>
    </row>
    <row r="371" spans="1:15" x14ac:dyDescent="0.3">
      <c r="A371" t="s">
        <v>14</v>
      </c>
      <c r="B371">
        <v>16</v>
      </c>
      <c r="C371">
        <v>0</v>
      </c>
      <c r="D371">
        <v>0</v>
      </c>
      <c r="E371">
        <v>1</v>
      </c>
      <c r="F371" t="s">
        <v>27</v>
      </c>
      <c r="G371" t="s">
        <v>16</v>
      </c>
      <c r="H371" t="s">
        <v>12</v>
      </c>
      <c r="I371" t="s">
        <v>13</v>
      </c>
      <c r="J371">
        <v>0</v>
      </c>
      <c r="K371" t="s">
        <v>113</v>
      </c>
      <c r="L371" t="s">
        <v>109</v>
      </c>
      <c r="M371" t="s">
        <v>94</v>
      </c>
      <c r="N371" t="s">
        <v>112</v>
      </c>
      <c r="O371" t="s">
        <v>110</v>
      </c>
    </row>
    <row r="372" spans="1:15" x14ac:dyDescent="0.3">
      <c r="A372" t="s">
        <v>9</v>
      </c>
      <c r="B372">
        <v>20</v>
      </c>
      <c r="C372">
        <v>0</v>
      </c>
      <c r="D372">
        <v>0</v>
      </c>
      <c r="E372">
        <v>1</v>
      </c>
      <c r="F372" t="s">
        <v>28</v>
      </c>
      <c r="G372" t="s">
        <v>11</v>
      </c>
      <c r="H372" t="s">
        <v>12</v>
      </c>
      <c r="I372" t="s">
        <v>13</v>
      </c>
      <c r="J372">
        <v>0</v>
      </c>
      <c r="K372" t="s">
        <v>117</v>
      </c>
      <c r="L372" t="s">
        <v>109</v>
      </c>
      <c r="M372" t="s">
        <v>94</v>
      </c>
      <c r="N372" t="s">
        <v>112</v>
      </c>
      <c r="O372" t="s">
        <v>110</v>
      </c>
    </row>
    <row r="373" spans="1:15" x14ac:dyDescent="0.3">
      <c r="A373" t="s">
        <v>14</v>
      </c>
      <c r="B373">
        <v>48</v>
      </c>
      <c r="C373">
        <v>1</v>
      </c>
      <c r="D373">
        <v>1</v>
      </c>
      <c r="E373">
        <v>1</v>
      </c>
      <c r="F373" t="s">
        <v>25</v>
      </c>
      <c r="G373" t="s">
        <v>16</v>
      </c>
      <c r="H373" t="s">
        <v>23</v>
      </c>
      <c r="I373" t="s">
        <v>13</v>
      </c>
      <c r="J373">
        <v>1</v>
      </c>
      <c r="K373" t="s">
        <v>108</v>
      </c>
      <c r="L373" t="s">
        <v>95</v>
      </c>
      <c r="M373" t="s">
        <v>94</v>
      </c>
      <c r="N373" t="s">
        <v>116</v>
      </c>
      <c r="O373" t="s">
        <v>115</v>
      </c>
    </row>
    <row r="374" spans="1:15" x14ac:dyDescent="0.3">
      <c r="A374" t="s">
        <v>14</v>
      </c>
      <c r="B374">
        <v>31</v>
      </c>
      <c r="C374">
        <v>0</v>
      </c>
      <c r="D374">
        <v>0</v>
      </c>
      <c r="E374">
        <v>0</v>
      </c>
      <c r="F374" t="s">
        <v>22</v>
      </c>
      <c r="G374" t="s">
        <v>11</v>
      </c>
      <c r="H374" t="s">
        <v>23</v>
      </c>
      <c r="I374" t="s">
        <v>13</v>
      </c>
      <c r="J374">
        <v>0</v>
      </c>
      <c r="K374" t="s">
        <v>114</v>
      </c>
      <c r="L374" t="s">
        <v>109</v>
      </c>
      <c r="M374" t="s">
        <v>111</v>
      </c>
      <c r="N374" t="s">
        <v>112</v>
      </c>
      <c r="O374" t="s">
        <v>110</v>
      </c>
    </row>
    <row r="375" spans="1:15" x14ac:dyDescent="0.3">
      <c r="A375" t="s">
        <v>14</v>
      </c>
      <c r="B375">
        <v>53</v>
      </c>
      <c r="C375">
        <v>1</v>
      </c>
      <c r="D375">
        <v>1</v>
      </c>
      <c r="E375">
        <v>1</v>
      </c>
      <c r="F375" t="s">
        <v>32</v>
      </c>
      <c r="G375" t="s">
        <v>16</v>
      </c>
      <c r="H375" t="s">
        <v>18</v>
      </c>
      <c r="I375" t="s">
        <v>13</v>
      </c>
      <c r="J375">
        <v>1</v>
      </c>
      <c r="K375" t="s">
        <v>108</v>
      </c>
      <c r="L375" t="s">
        <v>95</v>
      </c>
      <c r="M375" t="s">
        <v>94</v>
      </c>
      <c r="N375" t="s">
        <v>116</v>
      </c>
      <c r="O375" t="s">
        <v>115</v>
      </c>
    </row>
    <row r="376" spans="1:15" x14ac:dyDescent="0.3">
      <c r="A376" t="s">
        <v>9</v>
      </c>
      <c r="B376">
        <v>42</v>
      </c>
      <c r="C376">
        <v>1</v>
      </c>
      <c r="D376">
        <v>1</v>
      </c>
      <c r="E376">
        <v>0</v>
      </c>
      <c r="F376" t="s">
        <v>26</v>
      </c>
      <c r="G376" t="s">
        <v>11</v>
      </c>
      <c r="H376" t="s">
        <v>12</v>
      </c>
      <c r="I376" t="s">
        <v>13</v>
      </c>
      <c r="J376">
        <v>1</v>
      </c>
      <c r="K376" t="s">
        <v>114</v>
      </c>
      <c r="L376" t="s">
        <v>95</v>
      </c>
      <c r="M376" t="s">
        <v>111</v>
      </c>
      <c r="N376" t="s">
        <v>116</v>
      </c>
      <c r="O376" t="s">
        <v>115</v>
      </c>
    </row>
    <row r="377" spans="1:15" x14ac:dyDescent="0.3">
      <c r="A377" t="s">
        <v>9</v>
      </c>
      <c r="B377">
        <v>9</v>
      </c>
      <c r="C377">
        <v>1</v>
      </c>
      <c r="D377">
        <v>1</v>
      </c>
      <c r="E377">
        <v>1</v>
      </c>
      <c r="F377" t="s">
        <v>52</v>
      </c>
      <c r="G377" t="s">
        <v>16</v>
      </c>
      <c r="H377" t="s">
        <v>12</v>
      </c>
      <c r="I377" t="s">
        <v>13</v>
      </c>
      <c r="J377">
        <v>1</v>
      </c>
      <c r="K377" t="s">
        <v>118</v>
      </c>
      <c r="L377" t="s">
        <v>95</v>
      </c>
      <c r="M377" t="s">
        <v>94</v>
      </c>
      <c r="N377" t="s">
        <v>116</v>
      </c>
      <c r="O377" t="s">
        <v>115</v>
      </c>
    </row>
    <row r="378" spans="1:15" x14ac:dyDescent="0.3">
      <c r="A378" t="s">
        <v>9</v>
      </c>
      <c r="B378">
        <v>8</v>
      </c>
      <c r="C378">
        <v>1</v>
      </c>
      <c r="D378">
        <v>1</v>
      </c>
      <c r="E378">
        <v>1</v>
      </c>
      <c r="F378" t="s">
        <v>21</v>
      </c>
      <c r="G378" t="s">
        <v>11</v>
      </c>
      <c r="H378" t="s">
        <v>18</v>
      </c>
      <c r="I378" t="s">
        <v>13</v>
      </c>
      <c r="J378">
        <v>1</v>
      </c>
      <c r="K378" t="s">
        <v>118</v>
      </c>
      <c r="L378" t="s">
        <v>95</v>
      </c>
      <c r="M378" t="s">
        <v>94</v>
      </c>
      <c r="N378" t="s">
        <v>116</v>
      </c>
      <c r="O378" t="s">
        <v>115</v>
      </c>
    </row>
    <row r="379" spans="1:15" x14ac:dyDescent="0.3">
      <c r="A379" t="s">
        <v>9</v>
      </c>
      <c r="B379">
        <v>17</v>
      </c>
      <c r="C379">
        <v>0</v>
      </c>
      <c r="D379">
        <v>0</v>
      </c>
      <c r="E379">
        <v>1</v>
      </c>
      <c r="F379" t="s">
        <v>21</v>
      </c>
      <c r="G379" t="s">
        <v>16</v>
      </c>
      <c r="H379" t="s">
        <v>12</v>
      </c>
      <c r="I379" t="s">
        <v>13</v>
      </c>
      <c r="J379">
        <v>0</v>
      </c>
      <c r="K379" t="s">
        <v>113</v>
      </c>
      <c r="L379" t="s">
        <v>109</v>
      </c>
      <c r="M379" t="s">
        <v>94</v>
      </c>
      <c r="N379" t="s">
        <v>112</v>
      </c>
      <c r="O379" t="s">
        <v>110</v>
      </c>
    </row>
    <row r="380" spans="1:15" x14ac:dyDescent="0.3">
      <c r="A380" t="s">
        <v>9</v>
      </c>
      <c r="B380">
        <v>16</v>
      </c>
      <c r="C380">
        <v>1</v>
      </c>
      <c r="D380">
        <v>1</v>
      </c>
      <c r="E380">
        <v>0</v>
      </c>
      <c r="F380" t="s">
        <v>22</v>
      </c>
      <c r="G380" t="s">
        <v>11</v>
      </c>
      <c r="H380" t="s">
        <v>23</v>
      </c>
      <c r="I380" t="s">
        <v>13</v>
      </c>
      <c r="J380">
        <v>1</v>
      </c>
      <c r="K380" t="s">
        <v>113</v>
      </c>
      <c r="L380" t="s">
        <v>95</v>
      </c>
      <c r="M380" t="s">
        <v>111</v>
      </c>
      <c r="N380" t="s">
        <v>116</v>
      </c>
      <c r="O380" t="s">
        <v>115</v>
      </c>
    </row>
    <row r="381" spans="1:15" x14ac:dyDescent="0.3">
      <c r="A381" t="s">
        <v>9</v>
      </c>
      <c r="B381">
        <v>15</v>
      </c>
      <c r="C381">
        <v>1</v>
      </c>
      <c r="D381">
        <v>1</v>
      </c>
      <c r="E381">
        <v>1</v>
      </c>
      <c r="F381" t="s">
        <v>44</v>
      </c>
      <c r="G381" t="s">
        <v>16</v>
      </c>
      <c r="H381" t="s">
        <v>18</v>
      </c>
      <c r="I381" t="s">
        <v>13</v>
      </c>
      <c r="J381">
        <v>1</v>
      </c>
      <c r="K381" t="s">
        <v>113</v>
      </c>
      <c r="L381" t="s">
        <v>95</v>
      </c>
      <c r="M381" t="s">
        <v>94</v>
      </c>
      <c r="N381" t="s">
        <v>116</v>
      </c>
      <c r="O381" t="s">
        <v>115</v>
      </c>
    </row>
    <row r="382" spans="1:15" x14ac:dyDescent="0.3">
      <c r="A382" t="s">
        <v>9</v>
      </c>
      <c r="B382">
        <v>63</v>
      </c>
      <c r="C382">
        <v>0</v>
      </c>
      <c r="D382">
        <v>0</v>
      </c>
      <c r="E382">
        <v>1</v>
      </c>
      <c r="F382" t="s">
        <v>19</v>
      </c>
      <c r="G382" t="s">
        <v>11</v>
      </c>
      <c r="H382" t="s">
        <v>12</v>
      </c>
      <c r="I382" t="s">
        <v>13</v>
      </c>
      <c r="J382">
        <v>0</v>
      </c>
      <c r="K382" t="s">
        <v>108</v>
      </c>
      <c r="L382" t="s">
        <v>109</v>
      </c>
      <c r="M382" t="s">
        <v>94</v>
      </c>
      <c r="N382" t="s">
        <v>112</v>
      </c>
      <c r="O382" t="s">
        <v>110</v>
      </c>
    </row>
    <row r="383" spans="1:15" x14ac:dyDescent="0.3">
      <c r="A383" t="s">
        <v>14</v>
      </c>
      <c r="B383">
        <v>35</v>
      </c>
      <c r="C383">
        <v>1</v>
      </c>
      <c r="D383">
        <v>1</v>
      </c>
      <c r="E383">
        <v>1</v>
      </c>
      <c r="F383" t="s">
        <v>43</v>
      </c>
      <c r="G383" t="s">
        <v>16</v>
      </c>
      <c r="H383" t="s">
        <v>18</v>
      </c>
      <c r="I383" t="s">
        <v>13</v>
      </c>
      <c r="J383">
        <v>1</v>
      </c>
      <c r="K383" t="s">
        <v>114</v>
      </c>
      <c r="L383" t="s">
        <v>95</v>
      </c>
      <c r="M383" t="s">
        <v>94</v>
      </c>
      <c r="N383" t="s">
        <v>116</v>
      </c>
      <c r="O383" t="s">
        <v>115</v>
      </c>
    </row>
    <row r="384" spans="1:15" x14ac:dyDescent="0.3">
      <c r="A384" t="s">
        <v>14</v>
      </c>
      <c r="B384">
        <v>51</v>
      </c>
      <c r="C384">
        <v>0</v>
      </c>
      <c r="D384">
        <v>0</v>
      </c>
      <c r="E384">
        <v>0</v>
      </c>
      <c r="F384" t="s">
        <v>43</v>
      </c>
      <c r="G384" t="s">
        <v>11</v>
      </c>
      <c r="H384" t="s">
        <v>12</v>
      </c>
      <c r="I384" t="s">
        <v>13</v>
      </c>
      <c r="J384">
        <v>0</v>
      </c>
      <c r="K384" t="s">
        <v>108</v>
      </c>
      <c r="L384" t="s">
        <v>109</v>
      </c>
      <c r="M384" t="s">
        <v>111</v>
      </c>
      <c r="N384" t="s">
        <v>112</v>
      </c>
      <c r="O384" t="s">
        <v>110</v>
      </c>
    </row>
    <row r="385" spans="1:15" x14ac:dyDescent="0.3">
      <c r="A385" t="s">
        <v>14</v>
      </c>
      <c r="B385">
        <v>33</v>
      </c>
      <c r="C385">
        <v>0</v>
      </c>
      <c r="D385">
        <v>0</v>
      </c>
      <c r="E385">
        <v>0</v>
      </c>
      <c r="F385" t="s">
        <v>29</v>
      </c>
      <c r="G385" t="s">
        <v>16</v>
      </c>
      <c r="H385" t="s">
        <v>18</v>
      </c>
      <c r="I385" t="s">
        <v>13</v>
      </c>
      <c r="J385">
        <v>0</v>
      </c>
      <c r="K385" t="s">
        <v>114</v>
      </c>
      <c r="L385" t="s">
        <v>109</v>
      </c>
      <c r="M385" t="s">
        <v>111</v>
      </c>
      <c r="N385" t="s">
        <v>112</v>
      </c>
      <c r="O385" t="s">
        <v>110</v>
      </c>
    </row>
    <row r="386" spans="1:15" x14ac:dyDescent="0.3">
      <c r="A386" t="s">
        <v>9</v>
      </c>
      <c r="B386">
        <v>17</v>
      </c>
      <c r="C386">
        <v>1</v>
      </c>
      <c r="D386">
        <v>1</v>
      </c>
      <c r="E386">
        <v>1</v>
      </c>
      <c r="F386" t="s">
        <v>49</v>
      </c>
      <c r="G386" t="s">
        <v>11</v>
      </c>
      <c r="H386" t="s">
        <v>18</v>
      </c>
      <c r="I386" t="s">
        <v>13</v>
      </c>
      <c r="J386">
        <v>1</v>
      </c>
      <c r="K386" t="s">
        <v>113</v>
      </c>
      <c r="L386" t="s">
        <v>95</v>
      </c>
      <c r="M386" t="s">
        <v>94</v>
      </c>
      <c r="N386" t="s">
        <v>116</v>
      </c>
      <c r="O386" t="s">
        <v>115</v>
      </c>
    </row>
    <row r="387" spans="1:15" x14ac:dyDescent="0.3">
      <c r="A387" t="s">
        <v>9</v>
      </c>
      <c r="B387">
        <v>50</v>
      </c>
      <c r="C387">
        <v>0</v>
      </c>
      <c r="D387">
        <v>0</v>
      </c>
      <c r="E387">
        <v>1</v>
      </c>
      <c r="F387" t="s">
        <v>42</v>
      </c>
      <c r="G387" t="s">
        <v>16</v>
      </c>
      <c r="H387" t="s">
        <v>12</v>
      </c>
      <c r="I387" t="s">
        <v>13</v>
      </c>
      <c r="J387">
        <v>0</v>
      </c>
      <c r="K387" t="s">
        <v>108</v>
      </c>
      <c r="L387" t="s">
        <v>109</v>
      </c>
      <c r="M387" t="s">
        <v>94</v>
      </c>
      <c r="N387" t="s">
        <v>112</v>
      </c>
      <c r="O387" t="s">
        <v>110</v>
      </c>
    </row>
    <row r="388" spans="1:15" x14ac:dyDescent="0.3">
      <c r="A388" t="s">
        <v>9</v>
      </c>
      <c r="B388">
        <v>34</v>
      </c>
      <c r="C388">
        <v>1</v>
      </c>
      <c r="D388">
        <v>1</v>
      </c>
      <c r="E388">
        <v>1</v>
      </c>
      <c r="F388" t="s">
        <v>45</v>
      </c>
      <c r="G388" t="s">
        <v>11</v>
      </c>
      <c r="H388" t="s">
        <v>12</v>
      </c>
      <c r="I388" t="s">
        <v>13</v>
      </c>
      <c r="J388">
        <v>1</v>
      </c>
      <c r="K388" t="s">
        <v>114</v>
      </c>
      <c r="L388" t="s">
        <v>95</v>
      </c>
      <c r="M388" t="s">
        <v>94</v>
      </c>
      <c r="N388" t="s">
        <v>116</v>
      </c>
      <c r="O388" t="s">
        <v>115</v>
      </c>
    </row>
    <row r="389" spans="1:15" x14ac:dyDescent="0.3">
      <c r="A389" t="s">
        <v>9</v>
      </c>
      <c r="B389">
        <v>26</v>
      </c>
      <c r="C389">
        <v>1</v>
      </c>
      <c r="D389">
        <v>1</v>
      </c>
      <c r="E389">
        <v>1</v>
      </c>
      <c r="F389" t="s">
        <v>38</v>
      </c>
      <c r="G389" t="s">
        <v>16</v>
      </c>
      <c r="H389" t="s">
        <v>23</v>
      </c>
      <c r="I389" t="s">
        <v>13</v>
      </c>
      <c r="J389">
        <v>1</v>
      </c>
      <c r="K389" t="s">
        <v>114</v>
      </c>
      <c r="L389" t="s">
        <v>95</v>
      </c>
      <c r="M389" t="s">
        <v>94</v>
      </c>
      <c r="N389" t="s">
        <v>116</v>
      </c>
      <c r="O389" t="s">
        <v>115</v>
      </c>
    </row>
    <row r="390" spans="1:15" x14ac:dyDescent="0.3">
      <c r="A390" t="s">
        <v>9</v>
      </c>
      <c r="B390">
        <v>25</v>
      </c>
      <c r="C390">
        <v>0</v>
      </c>
      <c r="D390">
        <v>0</v>
      </c>
      <c r="E390">
        <v>1</v>
      </c>
      <c r="F390" t="s">
        <v>47</v>
      </c>
      <c r="G390" t="s">
        <v>11</v>
      </c>
      <c r="H390" t="s">
        <v>18</v>
      </c>
      <c r="I390" t="s">
        <v>13</v>
      </c>
      <c r="J390">
        <v>0</v>
      </c>
      <c r="K390" t="s">
        <v>114</v>
      </c>
      <c r="L390" t="s">
        <v>109</v>
      </c>
      <c r="M390" t="s">
        <v>94</v>
      </c>
      <c r="N390" t="s">
        <v>112</v>
      </c>
      <c r="O390" t="s">
        <v>110</v>
      </c>
    </row>
    <row r="391" spans="1:15" x14ac:dyDescent="0.3">
      <c r="A391" t="s">
        <v>14</v>
      </c>
      <c r="B391">
        <v>58</v>
      </c>
      <c r="C391">
        <v>0</v>
      </c>
      <c r="D391">
        <v>0</v>
      </c>
      <c r="E391">
        <v>0</v>
      </c>
      <c r="F391" t="s">
        <v>21</v>
      </c>
      <c r="G391" t="s">
        <v>16</v>
      </c>
      <c r="H391" t="s">
        <v>23</v>
      </c>
      <c r="I391" t="s">
        <v>13</v>
      </c>
      <c r="J391">
        <v>0</v>
      </c>
      <c r="K391" t="s">
        <v>108</v>
      </c>
      <c r="L391" t="s">
        <v>109</v>
      </c>
      <c r="M391" t="s">
        <v>111</v>
      </c>
      <c r="N391" t="s">
        <v>112</v>
      </c>
      <c r="O391" t="s">
        <v>110</v>
      </c>
    </row>
    <row r="392" spans="1:15" x14ac:dyDescent="0.3">
      <c r="A392" t="s">
        <v>9</v>
      </c>
      <c r="B392">
        <v>29</v>
      </c>
      <c r="C392">
        <v>1</v>
      </c>
      <c r="D392">
        <v>1</v>
      </c>
      <c r="E392">
        <v>1</v>
      </c>
      <c r="F392" t="s">
        <v>39</v>
      </c>
      <c r="G392" t="s">
        <v>11</v>
      </c>
      <c r="H392" t="s">
        <v>18</v>
      </c>
      <c r="I392" t="s">
        <v>13</v>
      </c>
      <c r="J392">
        <v>1</v>
      </c>
      <c r="K392" t="s">
        <v>114</v>
      </c>
      <c r="L392" t="s">
        <v>95</v>
      </c>
      <c r="M392" t="s">
        <v>94</v>
      </c>
      <c r="N392" t="s">
        <v>116</v>
      </c>
      <c r="O392" t="s">
        <v>115</v>
      </c>
    </row>
    <row r="393" spans="1:15" x14ac:dyDescent="0.3">
      <c r="A393" t="s">
        <v>14</v>
      </c>
      <c r="B393">
        <v>38</v>
      </c>
      <c r="C393">
        <v>0</v>
      </c>
      <c r="D393">
        <v>0</v>
      </c>
      <c r="E393">
        <v>0</v>
      </c>
      <c r="F393" t="s">
        <v>44</v>
      </c>
      <c r="G393" t="s">
        <v>16</v>
      </c>
      <c r="H393" t="s">
        <v>23</v>
      </c>
      <c r="I393" t="s">
        <v>13</v>
      </c>
      <c r="J393">
        <v>0</v>
      </c>
      <c r="K393" t="s">
        <v>114</v>
      </c>
      <c r="L393" t="s">
        <v>109</v>
      </c>
      <c r="M393" t="s">
        <v>111</v>
      </c>
      <c r="N393" t="s">
        <v>112</v>
      </c>
      <c r="O393" t="s">
        <v>110</v>
      </c>
    </row>
    <row r="394" spans="1:15" x14ac:dyDescent="0.3">
      <c r="A394" t="s">
        <v>9</v>
      </c>
      <c r="B394">
        <v>17</v>
      </c>
      <c r="C394">
        <v>1</v>
      </c>
      <c r="D394">
        <v>1</v>
      </c>
      <c r="E394">
        <v>0</v>
      </c>
      <c r="F394" t="s">
        <v>43</v>
      </c>
      <c r="G394" t="s">
        <v>11</v>
      </c>
      <c r="H394" t="s">
        <v>12</v>
      </c>
      <c r="I394" t="s">
        <v>13</v>
      </c>
      <c r="J394">
        <v>1</v>
      </c>
      <c r="K394" t="s">
        <v>113</v>
      </c>
      <c r="L394" t="s">
        <v>95</v>
      </c>
      <c r="M394" t="s">
        <v>111</v>
      </c>
      <c r="N394" t="s">
        <v>116</v>
      </c>
      <c r="O394" t="s">
        <v>115</v>
      </c>
    </row>
    <row r="395" spans="1:15" x14ac:dyDescent="0.3">
      <c r="A395" t="s">
        <v>9</v>
      </c>
      <c r="B395">
        <v>59</v>
      </c>
      <c r="C395">
        <v>0</v>
      </c>
      <c r="D395">
        <v>0</v>
      </c>
      <c r="E395">
        <v>1</v>
      </c>
      <c r="F395" t="s">
        <v>19</v>
      </c>
      <c r="G395" t="s">
        <v>16</v>
      </c>
      <c r="H395" t="s">
        <v>12</v>
      </c>
      <c r="I395" t="s">
        <v>13</v>
      </c>
      <c r="J395">
        <v>0</v>
      </c>
      <c r="K395" t="s">
        <v>108</v>
      </c>
      <c r="L395" t="s">
        <v>109</v>
      </c>
      <c r="M395" t="s">
        <v>94</v>
      </c>
      <c r="N395" t="s">
        <v>112</v>
      </c>
      <c r="O395" t="s">
        <v>110</v>
      </c>
    </row>
    <row r="396" spans="1:15" x14ac:dyDescent="0.3">
      <c r="A396" t="s">
        <v>9</v>
      </c>
      <c r="B396">
        <v>22</v>
      </c>
      <c r="C396">
        <v>0</v>
      </c>
      <c r="D396">
        <v>0</v>
      </c>
      <c r="E396">
        <v>1</v>
      </c>
      <c r="F396" t="s">
        <v>36</v>
      </c>
      <c r="G396" t="s">
        <v>11</v>
      </c>
      <c r="H396" t="s">
        <v>23</v>
      </c>
      <c r="I396" t="s">
        <v>13</v>
      </c>
      <c r="J396">
        <v>0</v>
      </c>
      <c r="K396" t="s">
        <v>117</v>
      </c>
      <c r="L396" t="s">
        <v>109</v>
      </c>
      <c r="M396" t="s">
        <v>94</v>
      </c>
      <c r="N396" t="s">
        <v>112</v>
      </c>
      <c r="O396" t="s">
        <v>110</v>
      </c>
    </row>
    <row r="397" spans="1:15" x14ac:dyDescent="0.3">
      <c r="A397" t="s">
        <v>9</v>
      </c>
      <c r="B397">
        <v>18</v>
      </c>
      <c r="C397">
        <v>1</v>
      </c>
      <c r="D397">
        <v>1</v>
      </c>
      <c r="E397">
        <v>0</v>
      </c>
      <c r="F397" t="s">
        <v>21</v>
      </c>
      <c r="G397" t="s">
        <v>16</v>
      </c>
      <c r="H397" t="s">
        <v>18</v>
      </c>
      <c r="I397" t="s">
        <v>13</v>
      </c>
      <c r="J397">
        <v>1</v>
      </c>
      <c r="K397" t="s">
        <v>113</v>
      </c>
      <c r="L397" t="s">
        <v>95</v>
      </c>
      <c r="M397" t="s">
        <v>111</v>
      </c>
      <c r="N397" t="s">
        <v>116</v>
      </c>
      <c r="O397" t="s">
        <v>115</v>
      </c>
    </row>
    <row r="398" spans="1:15" x14ac:dyDescent="0.3">
      <c r="A398" t="s">
        <v>9</v>
      </c>
      <c r="B398">
        <v>45</v>
      </c>
      <c r="C398">
        <v>0</v>
      </c>
      <c r="D398">
        <v>0</v>
      </c>
      <c r="E398">
        <v>0</v>
      </c>
      <c r="F398" t="s">
        <v>48</v>
      </c>
      <c r="G398" t="s">
        <v>11</v>
      </c>
      <c r="H398" t="s">
        <v>23</v>
      </c>
      <c r="I398" t="s">
        <v>13</v>
      </c>
      <c r="J398">
        <v>0</v>
      </c>
      <c r="K398" t="s">
        <v>108</v>
      </c>
      <c r="L398" t="s">
        <v>109</v>
      </c>
      <c r="M398" t="s">
        <v>111</v>
      </c>
      <c r="N398" t="s">
        <v>112</v>
      </c>
      <c r="O398" t="s">
        <v>110</v>
      </c>
    </row>
    <row r="399" spans="1:15" x14ac:dyDescent="0.3">
      <c r="A399" t="s">
        <v>9</v>
      </c>
      <c r="B399">
        <v>9</v>
      </c>
      <c r="C399">
        <v>1</v>
      </c>
      <c r="D399">
        <v>1</v>
      </c>
      <c r="E399">
        <v>0</v>
      </c>
      <c r="F399" t="s">
        <v>42</v>
      </c>
      <c r="G399" t="s">
        <v>16</v>
      </c>
      <c r="H399" t="s">
        <v>23</v>
      </c>
      <c r="I399" t="s">
        <v>13</v>
      </c>
      <c r="J399">
        <v>1</v>
      </c>
      <c r="K399" t="s">
        <v>118</v>
      </c>
      <c r="L399" t="s">
        <v>95</v>
      </c>
      <c r="M399" t="s">
        <v>111</v>
      </c>
      <c r="N399" t="s">
        <v>116</v>
      </c>
      <c r="O399" t="s">
        <v>115</v>
      </c>
    </row>
    <row r="400" spans="1:15" x14ac:dyDescent="0.3">
      <c r="A400" t="s">
        <v>14</v>
      </c>
      <c r="B400">
        <v>50</v>
      </c>
      <c r="C400">
        <v>0</v>
      </c>
      <c r="D400">
        <v>0</v>
      </c>
      <c r="E400">
        <v>1</v>
      </c>
      <c r="F400" t="s">
        <v>17</v>
      </c>
      <c r="G400" t="s">
        <v>11</v>
      </c>
      <c r="H400" t="s">
        <v>18</v>
      </c>
      <c r="I400" t="s">
        <v>13</v>
      </c>
      <c r="J400">
        <v>0</v>
      </c>
      <c r="K400" t="s">
        <v>108</v>
      </c>
      <c r="L400" t="s">
        <v>109</v>
      </c>
      <c r="M400" t="s">
        <v>94</v>
      </c>
      <c r="N400" t="s">
        <v>112</v>
      </c>
      <c r="O400" t="s">
        <v>110</v>
      </c>
    </row>
    <row r="401" spans="1:15" x14ac:dyDescent="0.3">
      <c r="A401" t="s">
        <v>9</v>
      </c>
      <c r="B401">
        <v>50</v>
      </c>
      <c r="C401">
        <v>1</v>
      </c>
      <c r="D401">
        <v>1</v>
      </c>
      <c r="E401">
        <v>0</v>
      </c>
      <c r="F401" t="s">
        <v>31</v>
      </c>
      <c r="G401" t="s">
        <v>16</v>
      </c>
      <c r="H401" t="s">
        <v>23</v>
      </c>
      <c r="I401" t="s">
        <v>13</v>
      </c>
      <c r="J401">
        <v>1</v>
      </c>
      <c r="K401" t="s">
        <v>108</v>
      </c>
      <c r="L401" t="s">
        <v>95</v>
      </c>
      <c r="M401" t="s">
        <v>111</v>
      </c>
      <c r="N401" t="s">
        <v>116</v>
      </c>
      <c r="O401" t="s">
        <v>115</v>
      </c>
    </row>
    <row r="402" spans="1:15" x14ac:dyDescent="0.3">
      <c r="A402" t="s">
        <v>14</v>
      </c>
      <c r="B402">
        <v>14</v>
      </c>
      <c r="C402">
        <v>0</v>
      </c>
      <c r="D402">
        <v>0</v>
      </c>
      <c r="E402">
        <v>0</v>
      </c>
      <c r="F402" t="s">
        <v>41</v>
      </c>
      <c r="G402" t="s">
        <v>11</v>
      </c>
      <c r="H402" t="s">
        <v>12</v>
      </c>
      <c r="I402" t="s">
        <v>13</v>
      </c>
      <c r="J402">
        <v>0</v>
      </c>
      <c r="K402" t="s">
        <v>113</v>
      </c>
      <c r="L402" t="s">
        <v>109</v>
      </c>
      <c r="M402" t="s">
        <v>111</v>
      </c>
      <c r="N402" t="s">
        <v>112</v>
      </c>
      <c r="O402" t="s">
        <v>110</v>
      </c>
    </row>
    <row r="403" spans="1:15" x14ac:dyDescent="0.3">
      <c r="A403" t="s">
        <v>9</v>
      </c>
      <c r="B403">
        <v>40</v>
      </c>
      <c r="C403">
        <v>0</v>
      </c>
      <c r="D403">
        <v>0</v>
      </c>
      <c r="E403">
        <v>1</v>
      </c>
      <c r="F403" t="s">
        <v>10</v>
      </c>
      <c r="G403" t="s">
        <v>16</v>
      </c>
      <c r="H403" t="s">
        <v>18</v>
      </c>
      <c r="I403" t="s">
        <v>13</v>
      </c>
      <c r="J403">
        <v>0</v>
      </c>
      <c r="K403" t="s">
        <v>114</v>
      </c>
      <c r="L403" t="s">
        <v>109</v>
      </c>
      <c r="M403" t="s">
        <v>94</v>
      </c>
      <c r="N403" t="s">
        <v>112</v>
      </c>
      <c r="O403" t="s">
        <v>110</v>
      </c>
    </row>
    <row r="404" spans="1:15" x14ac:dyDescent="0.3">
      <c r="A404" t="s">
        <v>9</v>
      </c>
      <c r="B404">
        <v>62</v>
      </c>
      <c r="C404">
        <v>0</v>
      </c>
      <c r="D404">
        <v>0</v>
      </c>
      <c r="E404">
        <v>1</v>
      </c>
      <c r="F404" t="s">
        <v>15</v>
      </c>
      <c r="G404" t="s">
        <v>11</v>
      </c>
      <c r="H404" t="s">
        <v>12</v>
      </c>
      <c r="I404" t="s">
        <v>13</v>
      </c>
      <c r="J404">
        <v>0</v>
      </c>
      <c r="K404" t="s">
        <v>108</v>
      </c>
      <c r="L404" t="s">
        <v>109</v>
      </c>
      <c r="M404" t="s">
        <v>94</v>
      </c>
      <c r="N404" t="s">
        <v>112</v>
      </c>
      <c r="O404" t="s">
        <v>110</v>
      </c>
    </row>
    <row r="405" spans="1:15" x14ac:dyDescent="0.3">
      <c r="A405" t="s">
        <v>9</v>
      </c>
      <c r="B405">
        <v>40</v>
      </c>
      <c r="C405">
        <v>1</v>
      </c>
      <c r="D405">
        <v>1</v>
      </c>
      <c r="E405">
        <v>1</v>
      </c>
      <c r="F405" t="s">
        <v>15</v>
      </c>
      <c r="G405" t="s">
        <v>16</v>
      </c>
      <c r="H405" t="s">
        <v>18</v>
      </c>
      <c r="I405" t="s">
        <v>13</v>
      </c>
      <c r="J405">
        <v>1</v>
      </c>
      <c r="K405" t="s">
        <v>114</v>
      </c>
      <c r="L405" t="s">
        <v>95</v>
      </c>
      <c r="M405" t="s">
        <v>94</v>
      </c>
      <c r="N405" t="s">
        <v>116</v>
      </c>
      <c r="O405" t="s">
        <v>115</v>
      </c>
    </row>
    <row r="406" spans="1:15" x14ac:dyDescent="0.3">
      <c r="A406" t="s">
        <v>14</v>
      </c>
      <c r="B406">
        <v>24</v>
      </c>
      <c r="C406">
        <v>0</v>
      </c>
      <c r="D406">
        <v>0</v>
      </c>
      <c r="E406">
        <v>1</v>
      </c>
      <c r="F406" t="s">
        <v>24</v>
      </c>
      <c r="G406" t="s">
        <v>11</v>
      </c>
      <c r="H406" t="s">
        <v>23</v>
      </c>
      <c r="I406" t="s">
        <v>13</v>
      </c>
      <c r="J406">
        <v>0</v>
      </c>
      <c r="K406" t="s">
        <v>117</v>
      </c>
      <c r="L406" t="s">
        <v>109</v>
      </c>
      <c r="M406" t="s">
        <v>94</v>
      </c>
      <c r="N406" t="s">
        <v>112</v>
      </c>
      <c r="O406" t="s">
        <v>110</v>
      </c>
    </row>
    <row r="407" spans="1:15" x14ac:dyDescent="0.3">
      <c r="A407" t="s">
        <v>14</v>
      </c>
      <c r="B407">
        <v>21</v>
      </c>
      <c r="C407">
        <v>0</v>
      </c>
      <c r="D407">
        <v>0</v>
      </c>
      <c r="E407">
        <v>1</v>
      </c>
      <c r="F407" t="s">
        <v>38</v>
      </c>
      <c r="G407" t="s">
        <v>16</v>
      </c>
      <c r="H407" t="s">
        <v>18</v>
      </c>
      <c r="I407" t="s">
        <v>13</v>
      </c>
      <c r="J407">
        <v>0</v>
      </c>
      <c r="K407" t="s">
        <v>117</v>
      </c>
      <c r="L407" t="s">
        <v>109</v>
      </c>
      <c r="M407" t="s">
        <v>94</v>
      </c>
      <c r="N407" t="s">
        <v>112</v>
      </c>
      <c r="O407" t="s">
        <v>110</v>
      </c>
    </row>
    <row r="408" spans="1:15" x14ac:dyDescent="0.3">
      <c r="A408" t="s">
        <v>14</v>
      </c>
      <c r="B408">
        <v>62</v>
      </c>
      <c r="C408">
        <v>1</v>
      </c>
      <c r="D408">
        <v>1</v>
      </c>
      <c r="E408">
        <v>0</v>
      </c>
      <c r="F408" t="s">
        <v>27</v>
      </c>
      <c r="G408" t="s">
        <v>11</v>
      </c>
      <c r="H408" t="s">
        <v>18</v>
      </c>
      <c r="I408" t="s">
        <v>13</v>
      </c>
      <c r="J408">
        <v>1</v>
      </c>
      <c r="K408" t="s">
        <v>108</v>
      </c>
      <c r="L408" t="s">
        <v>95</v>
      </c>
      <c r="M408" t="s">
        <v>111</v>
      </c>
      <c r="N408" t="s">
        <v>116</v>
      </c>
      <c r="O408" t="s">
        <v>115</v>
      </c>
    </row>
    <row r="409" spans="1:15" x14ac:dyDescent="0.3">
      <c r="A409" t="s">
        <v>14</v>
      </c>
      <c r="B409">
        <v>16</v>
      </c>
      <c r="C409">
        <v>1</v>
      </c>
      <c r="D409">
        <v>1</v>
      </c>
      <c r="E409">
        <v>1</v>
      </c>
      <c r="F409" t="s">
        <v>15</v>
      </c>
      <c r="G409" t="s">
        <v>16</v>
      </c>
      <c r="H409" t="s">
        <v>12</v>
      </c>
      <c r="I409" t="s">
        <v>13</v>
      </c>
      <c r="J409">
        <v>1</v>
      </c>
      <c r="K409" t="s">
        <v>113</v>
      </c>
      <c r="L409" t="s">
        <v>95</v>
      </c>
      <c r="M409" t="s">
        <v>94</v>
      </c>
      <c r="N409" t="s">
        <v>116</v>
      </c>
      <c r="O409" t="s">
        <v>115</v>
      </c>
    </row>
    <row r="410" spans="1:15" x14ac:dyDescent="0.3">
      <c r="A410" t="s">
        <v>14</v>
      </c>
      <c r="B410">
        <v>11</v>
      </c>
      <c r="C410">
        <v>0</v>
      </c>
      <c r="D410">
        <v>0</v>
      </c>
      <c r="E410">
        <v>0</v>
      </c>
      <c r="F410" t="s">
        <v>35</v>
      </c>
      <c r="G410" t="s">
        <v>11</v>
      </c>
      <c r="H410" t="s">
        <v>12</v>
      </c>
      <c r="I410" t="s">
        <v>13</v>
      </c>
      <c r="J410">
        <v>0</v>
      </c>
      <c r="K410" t="s">
        <v>118</v>
      </c>
      <c r="L410" t="s">
        <v>109</v>
      </c>
      <c r="M410" t="s">
        <v>111</v>
      </c>
      <c r="N410" t="s">
        <v>112</v>
      </c>
      <c r="O410" t="s">
        <v>110</v>
      </c>
    </row>
    <row r="411" spans="1:15" x14ac:dyDescent="0.3">
      <c r="A411" t="s">
        <v>14</v>
      </c>
      <c r="B411">
        <v>30</v>
      </c>
      <c r="C411">
        <v>1</v>
      </c>
      <c r="D411">
        <v>1</v>
      </c>
      <c r="E411">
        <v>0</v>
      </c>
      <c r="F411" t="s">
        <v>15</v>
      </c>
      <c r="G411" t="s">
        <v>16</v>
      </c>
      <c r="H411" t="s">
        <v>18</v>
      </c>
      <c r="I411" t="s">
        <v>13</v>
      </c>
      <c r="J411">
        <v>1</v>
      </c>
      <c r="K411" t="s">
        <v>114</v>
      </c>
      <c r="L411" t="s">
        <v>95</v>
      </c>
      <c r="M411" t="s">
        <v>111</v>
      </c>
      <c r="N411" t="s">
        <v>116</v>
      </c>
      <c r="O411" t="s">
        <v>115</v>
      </c>
    </row>
    <row r="412" spans="1:15" x14ac:dyDescent="0.3">
      <c r="A412" t="s">
        <v>14</v>
      </c>
      <c r="B412">
        <v>55</v>
      </c>
      <c r="C412">
        <v>0</v>
      </c>
      <c r="D412">
        <v>0</v>
      </c>
      <c r="E412">
        <v>0</v>
      </c>
      <c r="F412" t="s">
        <v>28</v>
      </c>
      <c r="G412" t="s">
        <v>11</v>
      </c>
      <c r="H412" t="s">
        <v>23</v>
      </c>
      <c r="I412" t="s">
        <v>13</v>
      </c>
      <c r="J412">
        <v>0</v>
      </c>
      <c r="K412" t="s">
        <v>108</v>
      </c>
      <c r="L412" t="s">
        <v>109</v>
      </c>
      <c r="M412" t="s">
        <v>111</v>
      </c>
      <c r="N412" t="s">
        <v>112</v>
      </c>
      <c r="O412" t="s">
        <v>110</v>
      </c>
    </row>
    <row r="413" spans="1:15" x14ac:dyDescent="0.3">
      <c r="A413" t="s">
        <v>14</v>
      </c>
      <c r="B413">
        <v>24</v>
      </c>
      <c r="C413">
        <v>0</v>
      </c>
      <c r="D413">
        <v>0</v>
      </c>
      <c r="E413">
        <v>1</v>
      </c>
      <c r="F413" t="s">
        <v>40</v>
      </c>
      <c r="G413" t="s">
        <v>16</v>
      </c>
      <c r="H413" t="s">
        <v>18</v>
      </c>
      <c r="I413" t="s">
        <v>13</v>
      </c>
      <c r="J413">
        <v>0</v>
      </c>
      <c r="K413" t="s">
        <v>117</v>
      </c>
      <c r="L413" t="s">
        <v>109</v>
      </c>
      <c r="M413" t="s">
        <v>94</v>
      </c>
      <c r="N413" t="s">
        <v>112</v>
      </c>
      <c r="O413" t="s">
        <v>110</v>
      </c>
    </row>
    <row r="414" spans="1:15" x14ac:dyDescent="0.3">
      <c r="A414" t="s">
        <v>9</v>
      </c>
      <c r="B414">
        <v>54</v>
      </c>
      <c r="C414">
        <v>0</v>
      </c>
      <c r="D414">
        <v>0</v>
      </c>
      <c r="E414">
        <v>1</v>
      </c>
      <c r="F414" t="s">
        <v>52</v>
      </c>
      <c r="G414" t="s">
        <v>11</v>
      </c>
      <c r="H414" t="s">
        <v>18</v>
      </c>
      <c r="I414" t="s">
        <v>13</v>
      </c>
      <c r="J414">
        <v>0</v>
      </c>
      <c r="K414" t="s">
        <v>108</v>
      </c>
      <c r="L414" t="s">
        <v>109</v>
      </c>
      <c r="M414" t="s">
        <v>94</v>
      </c>
      <c r="N414" t="s">
        <v>112</v>
      </c>
      <c r="O414" t="s">
        <v>110</v>
      </c>
    </row>
    <row r="415" spans="1:15" x14ac:dyDescent="0.3">
      <c r="A415" t="s">
        <v>14</v>
      </c>
      <c r="B415">
        <v>29</v>
      </c>
      <c r="C415">
        <v>1</v>
      </c>
      <c r="D415">
        <v>1</v>
      </c>
      <c r="E415">
        <v>0</v>
      </c>
      <c r="F415" t="s">
        <v>43</v>
      </c>
      <c r="G415" t="s">
        <v>16</v>
      </c>
      <c r="H415" t="s">
        <v>23</v>
      </c>
      <c r="I415" t="s">
        <v>13</v>
      </c>
      <c r="J415">
        <v>1</v>
      </c>
      <c r="K415" t="s">
        <v>114</v>
      </c>
      <c r="L415" t="s">
        <v>95</v>
      </c>
      <c r="M415" t="s">
        <v>111</v>
      </c>
      <c r="N415" t="s">
        <v>116</v>
      </c>
      <c r="O415" t="s">
        <v>115</v>
      </c>
    </row>
    <row r="416" spans="1:15" x14ac:dyDescent="0.3">
      <c r="A416" t="s">
        <v>9</v>
      </c>
      <c r="B416">
        <v>20</v>
      </c>
      <c r="C416">
        <v>0</v>
      </c>
      <c r="D416">
        <v>0</v>
      </c>
      <c r="E416">
        <v>1</v>
      </c>
      <c r="F416" t="s">
        <v>28</v>
      </c>
      <c r="G416" t="s">
        <v>11</v>
      </c>
      <c r="H416" t="s">
        <v>23</v>
      </c>
      <c r="I416" t="s">
        <v>13</v>
      </c>
      <c r="J416">
        <v>0</v>
      </c>
      <c r="K416" t="s">
        <v>117</v>
      </c>
      <c r="L416" t="s">
        <v>109</v>
      </c>
      <c r="M416" t="s">
        <v>94</v>
      </c>
      <c r="N416" t="s">
        <v>112</v>
      </c>
      <c r="O416" t="s">
        <v>110</v>
      </c>
    </row>
    <row r="417" spans="1:15" x14ac:dyDescent="0.3">
      <c r="A417" t="s">
        <v>14</v>
      </c>
      <c r="B417">
        <v>57</v>
      </c>
      <c r="C417">
        <v>1</v>
      </c>
      <c r="D417">
        <v>1</v>
      </c>
      <c r="E417">
        <v>1</v>
      </c>
      <c r="F417" t="s">
        <v>45</v>
      </c>
      <c r="G417" t="s">
        <v>16</v>
      </c>
      <c r="H417" t="s">
        <v>23</v>
      </c>
      <c r="I417" t="s">
        <v>13</v>
      </c>
      <c r="J417">
        <v>1</v>
      </c>
      <c r="K417" t="s">
        <v>108</v>
      </c>
      <c r="L417" t="s">
        <v>95</v>
      </c>
      <c r="M417" t="s">
        <v>94</v>
      </c>
      <c r="N417" t="s">
        <v>116</v>
      </c>
      <c r="O417" t="s">
        <v>115</v>
      </c>
    </row>
    <row r="418" spans="1:15" x14ac:dyDescent="0.3">
      <c r="A418" t="s">
        <v>14</v>
      </c>
      <c r="B418">
        <v>62</v>
      </c>
      <c r="C418">
        <v>0</v>
      </c>
      <c r="D418">
        <v>0</v>
      </c>
      <c r="E418">
        <v>1</v>
      </c>
      <c r="F418" t="s">
        <v>46</v>
      </c>
      <c r="G418" t="s">
        <v>11</v>
      </c>
      <c r="H418" t="s">
        <v>18</v>
      </c>
      <c r="I418" t="s">
        <v>13</v>
      </c>
      <c r="J418">
        <v>0</v>
      </c>
      <c r="K418" t="s">
        <v>108</v>
      </c>
      <c r="L418" t="s">
        <v>109</v>
      </c>
      <c r="M418" t="s">
        <v>94</v>
      </c>
      <c r="N418" t="s">
        <v>112</v>
      </c>
      <c r="O418" t="s">
        <v>110</v>
      </c>
    </row>
    <row r="419" spans="1:15" x14ac:dyDescent="0.3">
      <c r="A419" t="s">
        <v>9</v>
      </c>
      <c r="B419">
        <v>35</v>
      </c>
      <c r="C419">
        <v>0</v>
      </c>
      <c r="D419">
        <v>0</v>
      </c>
      <c r="E419">
        <v>1</v>
      </c>
      <c r="F419" t="s">
        <v>46</v>
      </c>
      <c r="G419" t="s">
        <v>16</v>
      </c>
      <c r="H419" t="s">
        <v>23</v>
      </c>
      <c r="I419" t="s">
        <v>13</v>
      </c>
      <c r="J419">
        <v>0</v>
      </c>
      <c r="K419" t="s">
        <v>114</v>
      </c>
      <c r="L419" t="s">
        <v>109</v>
      </c>
      <c r="M419" t="s">
        <v>94</v>
      </c>
      <c r="N419" t="s">
        <v>112</v>
      </c>
      <c r="O419" t="s">
        <v>110</v>
      </c>
    </row>
    <row r="420" spans="1:15" x14ac:dyDescent="0.3">
      <c r="A420" t="s">
        <v>9</v>
      </c>
      <c r="B420">
        <v>22</v>
      </c>
      <c r="C420">
        <v>1</v>
      </c>
      <c r="D420">
        <v>1</v>
      </c>
      <c r="E420">
        <v>1</v>
      </c>
      <c r="F420" t="s">
        <v>10</v>
      </c>
      <c r="G420" t="s">
        <v>11</v>
      </c>
      <c r="H420" t="s">
        <v>18</v>
      </c>
      <c r="I420" t="s">
        <v>13</v>
      </c>
      <c r="J420">
        <v>1</v>
      </c>
      <c r="K420" t="s">
        <v>117</v>
      </c>
      <c r="L420" t="s">
        <v>95</v>
      </c>
      <c r="M420" t="s">
        <v>94</v>
      </c>
      <c r="N420" t="s">
        <v>116</v>
      </c>
      <c r="O420" t="s">
        <v>115</v>
      </c>
    </row>
    <row r="421" spans="1:15" x14ac:dyDescent="0.3">
      <c r="A421" t="s">
        <v>14</v>
      </c>
      <c r="B421">
        <v>14</v>
      </c>
      <c r="C421">
        <v>1</v>
      </c>
      <c r="D421">
        <v>1</v>
      </c>
      <c r="E421">
        <v>1</v>
      </c>
      <c r="F421" t="s">
        <v>47</v>
      </c>
      <c r="G421" t="s">
        <v>16</v>
      </c>
      <c r="H421" t="s">
        <v>12</v>
      </c>
      <c r="I421" t="s">
        <v>13</v>
      </c>
      <c r="J421">
        <v>1</v>
      </c>
      <c r="K421" t="s">
        <v>113</v>
      </c>
      <c r="L421" t="s">
        <v>95</v>
      </c>
      <c r="M421" t="s">
        <v>94</v>
      </c>
      <c r="N421" t="s">
        <v>116</v>
      </c>
      <c r="O421" t="s">
        <v>115</v>
      </c>
    </row>
    <row r="422" spans="1:15" x14ac:dyDescent="0.3">
      <c r="A422" t="s">
        <v>9</v>
      </c>
      <c r="B422">
        <v>40</v>
      </c>
      <c r="C422">
        <v>1</v>
      </c>
      <c r="D422">
        <v>1</v>
      </c>
      <c r="E422">
        <v>0</v>
      </c>
      <c r="F422" t="s">
        <v>46</v>
      </c>
      <c r="G422" t="s">
        <v>11</v>
      </c>
      <c r="H422" t="s">
        <v>12</v>
      </c>
      <c r="I422" t="s">
        <v>13</v>
      </c>
      <c r="J422">
        <v>1</v>
      </c>
      <c r="K422" t="s">
        <v>114</v>
      </c>
      <c r="L422" t="s">
        <v>95</v>
      </c>
      <c r="M422" t="s">
        <v>111</v>
      </c>
      <c r="N422" t="s">
        <v>116</v>
      </c>
      <c r="O422" t="s">
        <v>115</v>
      </c>
    </row>
    <row r="423" spans="1:15" x14ac:dyDescent="0.3">
      <c r="A423" t="s">
        <v>9</v>
      </c>
      <c r="B423">
        <v>46</v>
      </c>
      <c r="C423">
        <v>1</v>
      </c>
      <c r="D423">
        <v>1</v>
      </c>
      <c r="E423">
        <v>0</v>
      </c>
      <c r="F423" t="s">
        <v>32</v>
      </c>
      <c r="G423" t="s">
        <v>16</v>
      </c>
      <c r="H423" t="s">
        <v>18</v>
      </c>
      <c r="I423" t="s">
        <v>13</v>
      </c>
      <c r="J423">
        <v>1</v>
      </c>
      <c r="K423" t="s">
        <v>108</v>
      </c>
      <c r="L423" t="s">
        <v>95</v>
      </c>
      <c r="M423" t="s">
        <v>111</v>
      </c>
      <c r="N423" t="s">
        <v>116</v>
      </c>
      <c r="O423" t="s">
        <v>115</v>
      </c>
    </row>
    <row r="424" spans="1:15" x14ac:dyDescent="0.3">
      <c r="A424" t="s">
        <v>9</v>
      </c>
      <c r="B424">
        <v>21</v>
      </c>
      <c r="C424">
        <v>0</v>
      </c>
      <c r="D424">
        <v>0</v>
      </c>
      <c r="E424">
        <v>1</v>
      </c>
      <c r="F424" t="s">
        <v>22</v>
      </c>
      <c r="G424" t="s">
        <v>11</v>
      </c>
      <c r="H424" t="s">
        <v>23</v>
      </c>
      <c r="I424" t="s">
        <v>13</v>
      </c>
      <c r="J424">
        <v>0</v>
      </c>
      <c r="K424" t="s">
        <v>117</v>
      </c>
      <c r="L424" t="s">
        <v>109</v>
      </c>
      <c r="M424" t="s">
        <v>94</v>
      </c>
      <c r="N424" t="s">
        <v>112</v>
      </c>
      <c r="O424" t="s">
        <v>110</v>
      </c>
    </row>
    <row r="425" spans="1:15" x14ac:dyDescent="0.3">
      <c r="A425" t="s">
        <v>14</v>
      </c>
      <c r="B425">
        <v>38</v>
      </c>
      <c r="C425">
        <v>0</v>
      </c>
      <c r="D425">
        <v>0</v>
      </c>
      <c r="E425">
        <v>1</v>
      </c>
      <c r="F425" t="s">
        <v>38</v>
      </c>
      <c r="G425" t="s">
        <v>16</v>
      </c>
      <c r="H425" t="s">
        <v>12</v>
      </c>
      <c r="I425" t="s">
        <v>13</v>
      </c>
      <c r="J425">
        <v>0</v>
      </c>
      <c r="K425" t="s">
        <v>114</v>
      </c>
      <c r="L425" t="s">
        <v>109</v>
      </c>
      <c r="M425" t="s">
        <v>94</v>
      </c>
      <c r="N425" t="s">
        <v>112</v>
      </c>
      <c r="O425" t="s">
        <v>110</v>
      </c>
    </row>
    <row r="426" spans="1:15" x14ac:dyDescent="0.3">
      <c r="A426" t="s">
        <v>14</v>
      </c>
      <c r="B426">
        <v>23</v>
      </c>
      <c r="C426">
        <v>1</v>
      </c>
      <c r="D426">
        <v>1</v>
      </c>
      <c r="E426">
        <v>1</v>
      </c>
      <c r="F426" t="s">
        <v>49</v>
      </c>
      <c r="G426" t="s">
        <v>11</v>
      </c>
      <c r="H426" t="s">
        <v>12</v>
      </c>
      <c r="I426" t="s">
        <v>13</v>
      </c>
      <c r="J426">
        <v>1</v>
      </c>
      <c r="K426" t="s">
        <v>117</v>
      </c>
      <c r="L426" t="s">
        <v>95</v>
      </c>
      <c r="M426" t="s">
        <v>94</v>
      </c>
      <c r="N426" t="s">
        <v>116</v>
      </c>
      <c r="O426" t="s">
        <v>115</v>
      </c>
    </row>
    <row r="427" spans="1:15" x14ac:dyDescent="0.3">
      <c r="A427" t="s">
        <v>9</v>
      </c>
      <c r="B427">
        <v>15</v>
      </c>
      <c r="C427">
        <v>0</v>
      </c>
      <c r="D427">
        <v>0</v>
      </c>
      <c r="E427">
        <v>0</v>
      </c>
      <c r="F427" t="s">
        <v>10</v>
      </c>
      <c r="G427" t="s">
        <v>16</v>
      </c>
      <c r="H427" t="s">
        <v>18</v>
      </c>
      <c r="I427" t="s">
        <v>13</v>
      </c>
      <c r="J427">
        <v>0</v>
      </c>
      <c r="K427" t="s">
        <v>113</v>
      </c>
      <c r="L427" t="s">
        <v>109</v>
      </c>
      <c r="M427" t="s">
        <v>111</v>
      </c>
      <c r="N427" t="s">
        <v>112</v>
      </c>
      <c r="O427" t="s">
        <v>110</v>
      </c>
    </row>
    <row r="428" spans="1:15" x14ac:dyDescent="0.3">
      <c r="A428" t="s">
        <v>9</v>
      </c>
      <c r="B428">
        <v>21</v>
      </c>
      <c r="C428">
        <v>0</v>
      </c>
      <c r="D428">
        <v>0</v>
      </c>
      <c r="E428">
        <v>0</v>
      </c>
      <c r="F428" t="s">
        <v>31</v>
      </c>
      <c r="G428" t="s">
        <v>11</v>
      </c>
      <c r="H428" t="s">
        <v>18</v>
      </c>
      <c r="I428" t="s">
        <v>13</v>
      </c>
      <c r="J428">
        <v>0</v>
      </c>
      <c r="K428" t="s">
        <v>117</v>
      </c>
      <c r="L428" t="s">
        <v>109</v>
      </c>
      <c r="M428" t="s">
        <v>111</v>
      </c>
      <c r="N428" t="s">
        <v>112</v>
      </c>
      <c r="O428" t="s">
        <v>110</v>
      </c>
    </row>
    <row r="429" spans="1:15" x14ac:dyDescent="0.3">
      <c r="A429" t="s">
        <v>9</v>
      </c>
      <c r="B429">
        <v>31</v>
      </c>
      <c r="C429">
        <v>0</v>
      </c>
      <c r="D429">
        <v>0</v>
      </c>
      <c r="E429">
        <v>0</v>
      </c>
      <c r="F429" t="s">
        <v>28</v>
      </c>
      <c r="G429" t="s">
        <v>16</v>
      </c>
      <c r="H429" t="s">
        <v>18</v>
      </c>
      <c r="I429" t="s">
        <v>13</v>
      </c>
      <c r="J429">
        <v>0</v>
      </c>
      <c r="K429" t="s">
        <v>114</v>
      </c>
      <c r="L429" t="s">
        <v>109</v>
      </c>
      <c r="M429" t="s">
        <v>111</v>
      </c>
      <c r="N429" t="s">
        <v>112</v>
      </c>
      <c r="O429" t="s">
        <v>110</v>
      </c>
    </row>
    <row r="430" spans="1:15" x14ac:dyDescent="0.3">
      <c r="A430" t="s">
        <v>9</v>
      </c>
      <c r="B430">
        <v>43</v>
      </c>
      <c r="C430">
        <v>1</v>
      </c>
      <c r="D430">
        <v>1</v>
      </c>
      <c r="E430">
        <v>0</v>
      </c>
      <c r="F430" t="s">
        <v>40</v>
      </c>
      <c r="G430" t="s">
        <v>11</v>
      </c>
      <c r="H430" t="s">
        <v>23</v>
      </c>
      <c r="I430" t="s">
        <v>13</v>
      </c>
      <c r="J430">
        <v>1</v>
      </c>
      <c r="K430" t="s">
        <v>114</v>
      </c>
      <c r="L430" t="s">
        <v>95</v>
      </c>
      <c r="M430" t="s">
        <v>111</v>
      </c>
      <c r="N430" t="s">
        <v>116</v>
      </c>
      <c r="O430" t="s">
        <v>115</v>
      </c>
    </row>
    <row r="431" spans="1:15" x14ac:dyDescent="0.3">
      <c r="A431" t="s">
        <v>14</v>
      </c>
      <c r="B431">
        <v>29</v>
      </c>
      <c r="C431">
        <v>1</v>
      </c>
      <c r="D431">
        <v>1</v>
      </c>
      <c r="E431">
        <v>0</v>
      </c>
      <c r="F431" t="s">
        <v>37</v>
      </c>
      <c r="G431" t="s">
        <v>16</v>
      </c>
      <c r="H431" t="s">
        <v>23</v>
      </c>
      <c r="I431" t="s">
        <v>13</v>
      </c>
      <c r="J431">
        <v>1</v>
      </c>
      <c r="K431" t="s">
        <v>114</v>
      </c>
      <c r="L431" t="s">
        <v>95</v>
      </c>
      <c r="M431" t="s">
        <v>111</v>
      </c>
      <c r="N431" t="s">
        <v>116</v>
      </c>
      <c r="O431" t="s">
        <v>115</v>
      </c>
    </row>
    <row r="432" spans="1:15" x14ac:dyDescent="0.3">
      <c r="A432" t="s">
        <v>9</v>
      </c>
      <c r="B432">
        <v>58</v>
      </c>
      <c r="C432">
        <v>0</v>
      </c>
      <c r="D432">
        <v>0</v>
      </c>
      <c r="E432">
        <v>1</v>
      </c>
      <c r="F432" t="s">
        <v>36</v>
      </c>
      <c r="G432" t="s">
        <v>11</v>
      </c>
      <c r="H432" t="s">
        <v>12</v>
      </c>
      <c r="I432" t="s">
        <v>13</v>
      </c>
      <c r="J432">
        <v>0</v>
      </c>
      <c r="K432" t="s">
        <v>108</v>
      </c>
      <c r="L432" t="s">
        <v>109</v>
      </c>
      <c r="M432" t="s">
        <v>94</v>
      </c>
      <c r="N432" t="s">
        <v>112</v>
      </c>
      <c r="O432" t="s">
        <v>110</v>
      </c>
    </row>
    <row r="433" spans="1:15" x14ac:dyDescent="0.3">
      <c r="A433" t="s">
        <v>14</v>
      </c>
      <c r="B433">
        <v>27</v>
      </c>
      <c r="C433">
        <v>1</v>
      </c>
      <c r="D433">
        <v>1</v>
      </c>
      <c r="E433">
        <v>0</v>
      </c>
      <c r="F433" t="s">
        <v>46</v>
      </c>
      <c r="G433" t="s">
        <v>16</v>
      </c>
      <c r="H433" t="s">
        <v>12</v>
      </c>
      <c r="I433" t="s">
        <v>13</v>
      </c>
      <c r="J433">
        <v>1</v>
      </c>
      <c r="K433" t="s">
        <v>114</v>
      </c>
      <c r="L433" t="s">
        <v>95</v>
      </c>
      <c r="M433" t="s">
        <v>111</v>
      </c>
      <c r="N433" t="s">
        <v>116</v>
      </c>
      <c r="O433" t="s">
        <v>115</v>
      </c>
    </row>
    <row r="434" spans="1:15" x14ac:dyDescent="0.3">
      <c r="A434" t="s">
        <v>14</v>
      </c>
      <c r="B434">
        <v>49</v>
      </c>
      <c r="C434">
        <v>0</v>
      </c>
      <c r="D434">
        <v>0</v>
      </c>
      <c r="E434">
        <v>0</v>
      </c>
      <c r="F434" t="s">
        <v>22</v>
      </c>
      <c r="G434" t="s">
        <v>11</v>
      </c>
      <c r="H434" t="s">
        <v>12</v>
      </c>
      <c r="I434" t="s">
        <v>13</v>
      </c>
      <c r="J434">
        <v>0</v>
      </c>
      <c r="K434" t="s">
        <v>108</v>
      </c>
      <c r="L434" t="s">
        <v>109</v>
      </c>
      <c r="M434" t="s">
        <v>111</v>
      </c>
      <c r="N434" t="s">
        <v>112</v>
      </c>
      <c r="O434" t="s">
        <v>110</v>
      </c>
    </row>
    <row r="435" spans="1:15" x14ac:dyDescent="0.3">
      <c r="A435" t="s">
        <v>14</v>
      </c>
      <c r="B435">
        <v>43</v>
      </c>
      <c r="C435">
        <v>1</v>
      </c>
      <c r="D435">
        <v>1</v>
      </c>
      <c r="E435">
        <v>1</v>
      </c>
      <c r="F435" t="s">
        <v>28</v>
      </c>
      <c r="G435" t="s">
        <v>16</v>
      </c>
      <c r="H435" t="s">
        <v>12</v>
      </c>
      <c r="I435" t="s">
        <v>13</v>
      </c>
      <c r="J435">
        <v>1</v>
      </c>
      <c r="K435" t="s">
        <v>114</v>
      </c>
      <c r="L435" t="s">
        <v>95</v>
      </c>
      <c r="M435" t="s">
        <v>94</v>
      </c>
      <c r="N435" t="s">
        <v>116</v>
      </c>
      <c r="O435" t="s">
        <v>115</v>
      </c>
    </row>
    <row r="436" spans="1:15" x14ac:dyDescent="0.3">
      <c r="A436" t="s">
        <v>14</v>
      </c>
      <c r="B436">
        <v>42</v>
      </c>
      <c r="C436">
        <v>1</v>
      </c>
      <c r="D436">
        <v>1</v>
      </c>
      <c r="E436">
        <v>0</v>
      </c>
      <c r="F436" t="s">
        <v>50</v>
      </c>
      <c r="G436" t="s">
        <v>11</v>
      </c>
      <c r="H436" t="s">
        <v>18</v>
      </c>
      <c r="I436" t="s">
        <v>13</v>
      </c>
      <c r="J436">
        <v>1</v>
      </c>
      <c r="K436" t="s">
        <v>114</v>
      </c>
      <c r="L436" t="s">
        <v>95</v>
      </c>
      <c r="M436" t="s">
        <v>111</v>
      </c>
      <c r="N436" t="s">
        <v>116</v>
      </c>
      <c r="O436" t="s">
        <v>115</v>
      </c>
    </row>
    <row r="437" spans="1:15" x14ac:dyDescent="0.3">
      <c r="A437" t="s">
        <v>9</v>
      </c>
      <c r="B437">
        <v>18</v>
      </c>
      <c r="C437">
        <v>1</v>
      </c>
      <c r="D437">
        <v>1</v>
      </c>
      <c r="E437">
        <v>0</v>
      </c>
      <c r="F437" t="s">
        <v>47</v>
      </c>
      <c r="G437" t="s">
        <v>16</v>
      </c>
      <c r="H437" t="s">
        <v>12</v>
      </c>
      <c r="I437" t="s">
        <v>13</v>
      </c>
      <c r="J437">
        <v>1</v>
      </c>
      <c r="K437" t="s">
        <v>113</v>
      </c>
      <c r="L437" t="s">
        <v>95</v>
      </c>
      <c r="M437" t="s">
        <v>111</v>
      </c>
      <c r="N437" t="s">
        <v>116</v>
      </c>
      <c r="O437" t="s">
        <v>115</v>
      </c>
    </row>
    <row r="438" spans="1:15" x14ac:dyDescent="0.3">
      <c r="A438" t="s">
        <v>14</v>
      </c>
      <c r="B438">
        <v>15</v>
      </c>
      <c r="C438">
        <v>1</v>
      </c>
      <c r="D438">
        <v>1</v>
      </c>
      <c r="E438">
        <v>0</v>
      </c>
      <c r="F438" t="s">
        <v>52</v>
      </c>
      <c r="G438" t="s">
        <v>11</v>
      </c>
      <c r="H438" t="s">
        <v>23</v>
      </c>
      <c r="I438" t="s">
        <v>13</v>
      </c>
      <c r="J438">
        <v>1</v>
      </c>
      <c r="K438" t="s">
        <v>113</v>
      </c>
      <c r="L438" t="s">
        <v>95</v>
      </c>
      <c r="M438" t="s">
        <v>111</v>
      </c>
      <c r="N438" t="s">
        <v>116</v>
      </c>
      <c r="O438" t="s">
        <v>115</v>
      </c>
    </row>
    <row r="439" spans="1:15" x14ac:dyDescent="0.3">
      <c r="A439" t="s">
        <v>14</v>
      </c>
      <c r="B439">
        <v>22</v>
      </c>
      <c r="C439">
        <v>1</v>
      </c>
      <c r="D439">
        <v>1</v>
      </c>
      <c r="E439">
        <v>0</v>
      </c>
      <c r="F439" t="s">
        <v>28</v>
      </c>
      <c r="G439" t="s">
        <v>16</v>
      </c>
      <c r="H439" t="s">
        <v>12</v>
      </c>
      <c r="I439" t="s">
        <v>13</v>
      </c>
      <c r="J439">
        <v>1</v>
      </c>
      <c r="K439" t="s">
        <v>117</v>
      </c>
      <c r="L439" t="s">
        <v>95</v>
      </c>
      <c r="M439" t="s">
        <v>111</v>
      </c>
      <c r="N439" t="s">
        <v>116</v>
      </c>
      <c r="O439" t="s">
        <v>115</v>
      </c>
    </row>
    <row r="440" spans="1:15" x14ac:dyDescent="0.3">
      <c r="A440" t="s">
        <v>14</v>
      </c>
      <c r="B440">
        <v>31</v>
      </c>
      <c r="C440">
        <v>1</v>
      </c>
      <c r="D440">
        <v>1</v>
      </c>
      <c r="E440">
        <v>0</v>
      </c>
      <c r="F440" t="s">
        <v>37</v>
      </c>
      <c r="G440" t="s">
        <v>11</v>
      </c>
      <c r="H440" t="s">
        <v>23</v>
      </c>
      <c r="I440" t="s">
        <v>13</v>
      </c>
      <c r="J440">
        <v>1</v>
      </c>
      <c r="K440" t="s">
        <v>114</v>
      </c>
      <c r="L440" t="s">
        <v>95</v>
      </c>
      <c r="M440" t="s">
        <v>111</v>
      </c>
      <c r="N440" t="s">
        <v>116</v>
      </c>
      <c r="O440" t="s">
        <v>115</v>
      </c>
    </row>
    <row r="441" spans="1:15" x14ac:dyDescent="0.3">
      <c r="A441" t="s">
        <v>9</v>
      </c>
      <c r="B441">
        <v>26</v>
      </c>
      <c r="C441">
        <v>0</v>
      </c>
      <c r="D441">
        <v>0</v>
      </c>
      <c r="E441">
        <v>1</v>
      </c>
      <c r="F441" t="s">
        <v>33</v>
      </c>
      <c r="G441" t="s">
        <v>16</v>
      </c>
      <c r="H441" t="s">
        <v>12</v>
      </c>
      <c r="I441" t="s">
        <v>13</v>
      </c>
      <c r="J441">
        <v>0</v>
      </c>
      <c r="K441" t="s">
        <v>114</v>
      </c>
      <c r="L441" t="s">
        <v>109</v>
      </c>
      <c r="M441" t="s">
        <v>94</v>
      </c>
      <c r="N441" t="s">
        <v>112</v>
      </c>
      <c r="O441" t="s">
        <v>110</v>
      </c>
    </row>
    <row r="442" spans="1:15" x14ac:dyDescent="0.3">
      <c r="A442" t="s">
        <v>14</v>
      </c>
      <c r="B442">
        <v>11</v>
      </c>
      <c r="C442">
        <v>1</v>
      </c>
      <c r="D442">
        <v>1</v>
      </c>
      <c r="E442">
        <v>1</v>
      </c>
      <c r="F442" t="s">
        <v>10</v>
      </c>
      <c r="G442" t="s">
        <v>11</v>
      </c>
      <c r="H442" t="s">
        <v>23</v>
      </c>
      <c r="I442" t="s">
        <v>13</v>
      </c>
      <c r="J442">
        <v>1</v>
      </c>
      <c r="K442" t="s">
        <v>118</v>
      </c>
      <c r="L442" t="s">
        <v>95</v>
      </c>
      <c r="M442" t="s">
        <v>94</v>
      </c>
      <c r="N442" t="s">
        <v>116</v>
      </c>
      <c r="O442" t="s">
        <v>115</v>
      </c>
    </row>
    <row r="443" spans="1:15" x14ac:dyDescent="0.3">
      <c r="A443" t="s">
        <v>14</v>
      </c>
      <c r="B443">
        <v>47</v>
      </c>
      <c r="C443">
        <v>1</v>
      </c>
      <c r="D443">
        <v>1</v>
      </c>
      <c r="E443">
        <v>1</v>
      </c>
      <c r="F443" t="s">
        <v>10</v>
      </c>
      <c r="G443" t="s">
        <v>16</v>
      </c>
      <c r="H443" t="s">
        <v>23</v>
      </c>
      <c r="I443" t="s">
        <v>13</v>
      </c>
      <c r="J443">
        <v>1</v>
      </c>
      <c r="K443" t="s">
        <v>108</v>
      </c>
      <c r="L443" t="s">
        <v>95</v>
      </c>
      <c r="M443" t="s">
        <v>94</v>
      </c>
      <c r="N443" t="s">
        <v>116</v>
      </c>
      <c r="O443" t="s">
        <v>115</v>
      </c>
    </row>
    <row r="444" spans="1:15" x14ac:dyDescent="0.3">
      <c r="A444" t="s">
        <v>9</v>
      </c>
      <c r="B444">
        <v>20</v>
      </c>
      <c r="C444">
        <v>0</v>
      </c>
      <c r="D444">
        <v>0</v>
      </c>
      <c r="E444">
        <v>1</v>
      </c>
      <c r="F444" t="s">
        <v>40</v>
      </c>
      <c r="G444" t="s">
        <v>11</v>
      </c>
      <c r="H444" t="s">
        <v>12</v>
      </c>
      <c r="I444" t="s">
        <v>13</v>
      </c>
      <c r="J444">
        <v>0</v>
      </c>
      <c r="K444" t="s">
        <v>117</v>
      </c>
      <c r="L444" t="s">
        <v>109</v>
      </c>
      <c r="M444" t="s">
        <v>94</v>
      </c>
      <c r="N444" t="s">
        <v>112</v>
      </c>
      <c r="O444" t="s">
        <v>110</v>
      </c>
    </row>
    <row r="445" spans="1:15" x14ac:dyDescent="0.3">
      <c r="A445" t="s">
        <v>14</v>
      </c>
      <c r="B445">
        <v>58</v>
      </c>
      <c r="C445">
        <v>0</v>
      </c>
      <c r="D445">
        <v>0</v>
      </c>
      <c r="E445">
        <v>1</v>
      </c>
      <c r="F445" t="s">
        <v>44</v>
      </c>
      <c r="G445" t="s">
        <v>16</v>
      </c>
      <c r="H445" t="s">
        <v>12</v>
      </c>
      <c r="I445" t="s">
        <v>13</v>
      </c>
      <c r="J445">
        <v>0</v>
      </c>
      <c r="K445" t="s">
        <v>108</v>
      </c>
      <c r="L445" t="s">
        <v>109</v>
      </c>
      <c r="M445" t="s">
        <v>94</v>
      </c>
      <c r="N445" t="s">
        <v>112</v>
      </c>
      <c r="O445" t="s">
        <v>110</v>
      </c>
    </row>
    <row r="446" spans="1:15" x14ac:dyDescent="0.3">
      <c r="A446" t="s">
        <v>14</v>
      </c>
      <c r="B446">
        <v>62</v>
      </c>
      <c r="C446">
        <v>1</v>
      </c>
      <c r="D446">
        <v>1</v>
      </c>
      <c r="E446">
        <v>0</v>
      </c>
      <c r="F446" t="s">
        <v>44</v>
      </c>
      <c r="G446" t="s">
        <v>11</v>
      </c>
      <c r="H446" t="s">
        <v>18</v>
      </c>
      <c r="I446" t="s">
        <v>13</v>
      </c>
      <c r="J446">
        <v>1</v>
      </c>
      <c r="K446" t="s">
        <v>108</v>
      </c>
      <c r="L446" t="s">
        <v>95</v>
      </c>
      <c r="M446" t="s">
        <v>111</v>
      </c>
      <c r="N446" t="s">
        <v>116</v>
      </c>
      <c r="O446" t="s">
        <v>115</v>
      </c>
    </row>
    <row r="447" spans="1:15" x14ac:dyDescent="0.3">
      <c r="A447" t="s">
        <v>9</v>
      </c>
      <c r="B447">
        <v>27</v>
      </c>
      <c r="C447">
        <v>0</v>
      </c>
      <c r="D447">
        <v>0</v>
      </c>
      <c r="E447">
        <v>1</v>
      </c>
      <c r="F447" t="s">
        <v>37</v>
      </c>
      <c r="G447" t="s">
        <v>16</v>
      </c>
      <c r="H447" t="s">
        <v>18</v>
      </c>
      <c r="I447" t="s">
        <v>13</v>
      </c>
      <c r="J447">
        <v>0</v>
      </c>
      <c r="K447" t="s">
        <v>114</v>
      </c>
      <c r="L447" t="s">
        <v>109</v>
      </c>
      <c r="M447" t="s">
        <v>94</v>
      </c>
      <c r="N447" t="s">
        <v>112</v>
      </c>
      <c r="O447" t="s">
        <v>110</v>
      </c>
    </row>
    <row r="448" spans="1:15" x14ac:dyDescent="0.3">
      <c r="A448" t="s">
        <v>9</v>
      </c>
      <c r="B448">
        <v>49</v>
      </c>
      <c r="C448">
        <v>1</v>
      </c>
      <c r="D448">
        <v>1</v>
      </c>
      <c r="E448">
        <v>1</v>
      </c>
      <c r="F448" t="s">
        <v>46</v>
      </c>
      <c r="G448" t="s">
        <v>11</v>
      </c>
      <c r="H448" t="s">
        <v>23</v>
      </c>
      <c r="I448" t="s">
        <v>13</v>
      </c>
      <c r="J448">
        <v>1</v>
      </c>
      <c r="K448" t="s">
        <v>108</v>
      </c>
      <c r="L448" t="s">
        <v>95</v>
      </c>
      <c r="M448" t="s">
        <v>94</v>
      </c>
      <c r="N448" t="s">
        <v>116</v>
      </c>
      <c r="O448" t="s">
        <v>115</v>
      </c>
    </row>
    <row r="449" spans="1:15" x14ac:dyDescent="0.3">
      <c r="A449" t="s">
        <v>9</v>
      </c>
      <c r="B449">
        <v>30</v>
      </c>
      <c r="C449">
        <v>1</v>
      </c>
      <c r="D449">
        <v>1</v>
      </c>
      <c r="E449">
        <v>0</v>
      </c>
      <c r="F449" t="s">
        <v>41</v>
      </c>
      <c r="G449" t="s">
        <v>16</v>
      </c>
      <c r="H449" t="s">
        <v>18</v>
      </c>
      <c r="I449" t="s">
        <v>13</v>
      </c>
      <c r="J449">
        <v>1</v>
      </c>
      <c r="K449" t="s">
        <v>114</v>
      </c>
      <c r="L449" t="s">
        <v>95</v>
      </c>
      <c r="M449" t="s">
        <v>111</v>
      </c>
      <c r="N449" t="s">
        <v>116</v>
      </c>
      <c r="O449" t="s">
        <v>115</v>
      </c>
    </row>
    <row r="450" spans="1:15" x14ac:dyDescent="0.3">
      <c r="A450" t="s">
        <v>14</v>
      </c>
      <c r="B450">
        <v>61</v>
      </c>
      <c r="C450">
        <v>1</v>
      </c>
      <c r="D450">
        <v>1</v>
      </c>
      <c r="E450">
        <v>1</v>
      </c>
      <c r="F450" t="s">
        <v>20</v>
      </c>
      <c r="G450" t="s">
        <v>11</v>
      </c>
      <c r="H450" t="s">
        <v>18</v>
      </c>
      <c r="I450" t="s">
        <v>13</v>
      </c>
      <c r="J450">
        <v>1</v>
      </c>
      <c r="K450" t="s">
        <v>108</v>
      </c>
      <c r="L450" t="s">
        <v>95</v>
      </c>
      <c r="M450" t="s">
        <v>94</v>
      </c>
      <c r="N450" t="s">
        <v>116</v>
      </c>
      <c r="O450" t="s">
        <v>115</v>
      </c>
    </row>
    <row r="451" spans="1:15" x14ac:dyDescent="0.3">
      <c r="A451" t="s">
        <v>9</v>
      </c>
      <c r="B451">
        <v>31</v>
      </c>
      <c r="C451">
        <v>1</v>
      </c>
      <c r="D451">
        <v>1</v>
      </c>
      <c r="E451">
        <v>1</v>
      </c>
      <c r="F451" t="s">
        <v>45</v>
      </c>
      <c r="G451" t="s">
        <v>16</v>
      </c>
      <c r="H451" t="s">
        <v>12</v>
      </c>
      <c r="I451" t="s">
        <v>13</v>
      </c>
      <c r="J451">
        <v>1</v>
      </c>
      <c r="K451" t="s">
        <v>114</v>
      </c>
      <c r="L451" t="s">
        <v>95</v>
      </c>
      <c r="M451" t="s">
        <v>94</v>
      </c>
      <c r="N451" t="s">
        <v>116</v>
      </c>
      <c r="O451" t="s">
        <v>115</v>
      </c>
    </row>
    <row r="452" spans="1:15" x14ac:dyDescent="0.3">
      <c r="A452" t="s">
        <v>9</v>
      </c>
      <c r="B452">
        <v>64</v>
      </c>
      <c r="C452">
        <v>0</v>
      </c>
      <c r="D452">
        <v>0</v>
      </c>
      <c r="E452">
        <v>1</v>
      </c>
      <c r="F452" t="s">
        <v>19</v>
      </c>
      <c r="G452" t="s">
        <v>11</v>
      </c>
      <c r="H452" t="s">
        <v>18</v>
      </c>
      <c r="I452" t="s">
        <v>13</v>
      </c>
      <c r="J452">
        <v>0</v>
      </c>
      <c r="K452" t="s">
        <v>108</v>
      </c>
      <c r="L452" t="s">
        <v>109</v>
      </c>
      <c r="M452" t="s">
        <v>94</v>
      </c>
      <c r="N452" t="s">
        <v>112</v>
      </c>
      <c r="O452" t="s">
        <v>110</v>
      </c>
    </row>
    <row r="453" spans="1:15" x14ac:dyDescent="0.3">
      <c r="A453" t="s">
        <v>9</v>
      </c>
      <c r="B453">
        <v>37</v>
      </c>
      <c r="C453">
        <v>0</v>
      </c>
      <c r="D453">
        <v>0</v>
      </c>
      <c r="E453">
        <v>1</v>
      </c>
      <c r="F453" t="s">
        <v>25</v>
      </c>
      <c r="G453" t="s">
        <v>16</v>
      </c>
      <c r="H453" t="s">
        <v>18</v>
      </c>
      <c r="I453" t="s">
        <v>13</v>
      </c>
      <c r="J453">
        <v>0</v>
      </c>
      <c r="K453" t="s">
        <v>114</v>
      </c>
      <c r="L453" t="s">
        <v>109</v>
      </c>
      <c r="M453" t="s">
        <v>94</v>
      </c>
      <c r="N453" t="s">
        <v>112</v>
      </c>
      <c r="O453" t="s">
        <v>110</v>
      </c>
    </row>
    <row r="454" spans="1:15" x14ac:dyDescent="0.3">
      <c r="A454" t="s">
        <v>14</v>
      </c>
      <c r="B454">
        <v>45</v>
      </c>
      <c r="C454">
        <v>1</v>
      </c>
      <c r="D454">
        <v>1</v>
      </c>
      <c r="E454">
        <v>0</v>
      </c>
      <c r="F454" t="s">
        <v>51</v>
      </c>
      <c r="G454" t="s">
        <v>11</v>
      </c>
      <c r="H454" t="s">
        <v>18</v>
      </c>
      <c r="I454" t="s">
        <v>13</v>
      </c>
      <c r="J454">
        <v>1</v>
      </c>
      <c r="K454" t="s">
        <v>108</v>
      </c>
      <c r="L454" t="s">
        <v>95</v>
      </c>
      <c r="M454" t="s">
        <v>111</v>
      </c>
      <c r="N454" t="s">
        <v>116</v>
      </c>
      <c r="O454" t="s">
        <v>115</v>
      </c>
    </row>
    <row r="455" spans="1:15" x14ac:dyDescent="0.3">
      <c r="A455" t="s">
        <v>14</v>
      </c>
      <c r="B455">
        <v>47</v>
      </c>
      <c r="C455">
        <v>1</v>
      </c>
      <c r="D455">
        <v>1</v>
      </c>
      <c r="E455">
        <v>0</v>
      </c>
      <c r="F455" t="s">
        <v>48</v>
      </c>
      <c r="G455" t="s">
        <v>16</v>
      </c>
      <c r="H455" t="s">
        <v>18</v>
      </c>
      <c r="I455" t="s">
        <v>13</v>
      </c>
      <c r="J455">
        <v>1</v>
      </c>
      <c r="K455" t="s">
        <v>108</v>
      </c>
      <c r="L455" t="s">
        <v>95</v>
      </c>
      <c r="M455" t="s">
        <v>111</v>
      </c>
      <c r="N455" t="s">
        <v>116</v>
      </c>
      <c r="O455" t="s">
        <v>115</v>
      </c>
    </row>
    <row r="456" spans="1:15" x14ac:dyDescent="0.3">
      <c r="A456" t="s">
        <v>9</v>
      </c>
      <c r="B456">
        <v>34</v>
      </c>
      <c r="C456">
        <v>0</v>
      </c>
      <c r="D456">
        <v>0</v>
      </c>
      <c r="E456">
        <v>0</v>
      </c>
      <c r="F456" t="s">
        <v>38</v>
      </c>
      <c r="G456" t="s">
        <v>11</v>
      </c>
      <c r="H456" t="s">
        <v>23</v>
      </c>
      <c r="I456" t="s">
        <v>13</v>
      </c>
      <c r="J456">
        <v>0</v>
      </c>
      <c r="K456" t="s">
        <v>114</v>
      </c>
      <c r="L456" t="s">
        <v>109</v>
      </c>
      <c r="M456" t="s">
        <v>111</v>
      </c>
      <c r="N456" t="s">
        <v>112</v>
      </c>
      <c r="O456" t="s">
        <v>110</v>
      </c>
    </row>
    <row r="457" spans="1:15" x14ac:dyDescent="0.3">
      <c r="A457" t="s">
        <v>14</v>
      </c>
      <c r="B457">
        <v>37</v>
      </c>
      <c r="C457">
        <v>1</v>
      </c>
      <c r="D457">
        <v>1</v>
      </c>
      <c r="E457">
        <v>1</v>
      </c>
      <c r="F457" t="s">
        <v>50</v>
      </c>
      <c r="G457" t="s">
        <v>16</v>
      </c>
      <c r="H457" t="s">
        <v>18</v>
      </c>
      <c r="I457" t="s">
        <v>13</v>
      </c>
      <c r="J457">
        <v>1</v>
      </c>
      <c r="K457" t="s">
        <v>114</v>
      </c>
      <c r="L457" t="s">
        <v>95</v>
      </c>
      <c r="M457" t="s">
        <v>94</v>
      </c>
      <c r="N457" t="s">
        <v>116</v>
      </c>
      <c r="O457" t="s">
        <v>115</v>
      </c>
    </row>
    <row r="458" spans="1:15" x14ac:dyDescent="0.3">
      <c r="A458" t="s">
        <v>9</v>
      </c>
      <c r="B458">
        <v>17</v>
      </c>
      <c r="C458">
        <v>0</v>
      </c>
      <c r="D458">
        <v>0</v>
      </c>
      <c r="E458">
        <v>0</v>
      </c>
      <c r="F458" t="s">
        <v>24</v>
      </c>
      <c r="G458" t="s">
        <v>11</v>
      </c>
      <c r="H458" t="s">
        <v>12</v>
      </c>
      <c r="I458" t="s">
        <v>13</v>
      </c>
      <c r="J458">
        <v>0</v>
      </c>
      <c r="K458" t="s">
        <v>113</v>
      </c>
      <c r="L458" t="s">
        <v>109</v>
      </c>
      <c r="M458" t="s">
        <v>111</v>
      </c>
      <c r="N458" t="s">
        <v>112</v>
      </c>
      <c r="O458" t="s">
        <v>110</v>
      </c>
    </row>
    <row r="459" spans="1:15" x14ac:dyDescent="0.3">
      <c r="A459" t="s">
        <v>14</v>
      </c>
      <c r="B459">
        <v>38</v>
      </c>
      <c r="C459">
        <v>0</v>
      </c>
      <c r="D459">
        <v>1</v>
      </c>
      <c r="E459">
        <v>0</v>
      </c>
      <c r="F459" t="s">
        <v>27</v>
      </c>
      <c r="G459" t="s">
        <v>16</v>
      </c>
      <c r="H459" t="s">
        <v>12</v>
      </c>
      <c r="I459" t="s">
        <v>13</v>
      </c>
      <c r="J459">
        <v>1</v>
      </c>
      <c r="K459" t="s">
        <v>114</v>
      </c>
      <c r="L459" t="s">
        <v>95</v>
      </c>
      <c r="M459" t="s">
        <v>111</v>
      </c>
      <c r="N459" t="s">
        <v>112</v>
      </c>
      <c r="O459" t="s">
        <v>115</v>
      </c>
    </row>
    <row r="460" spans="1:15" x14ac:dyDescent="0.3">
      <c r="A460" t="s">
        <v>9</v>
      </c>
      <c r="B460">
        <v>13</v>
      </c>
      <c r="C460">
        <v>0</v>
      </c>
      <c r="D460">
        <v>0</v>
      </c>
      <c r="E460">
        <v>0</v>
      </c>
      <c r="F460" t="s">
        <v>30</v>
      </c>
      <c r="G460" t="s">
        <v>11</v>
      </c>
      <c r="H460" t="s">
        <v>23</v>
      </c>
      <c r="I460" t="s">
        <v>13</v>
      </c>
      <c r="J460">
        <v>0</v>
      </c>
      <c r="K460" t="s">
        <v>118</v>
      </c>
      <c r="L460" t="s">
        <v>109</v>
      </c>
      <c r="M460" t="s">
        <v>111</v>
      </c>
      <c r="N460" t="s">
        <v>112</v>
      </c>
      <c r="O460" t="s">
        <v>110</v>
      </c>
    </row>
    <row r="461" spans="1:15" x14ac:dyDescent="0.3">
      <c r="A461" t="s">
        <v>9</v>
      </c>
      <c r="B461">
        <v>52</v>
      </c>
      <c r="C461">
        <v>1</v>
      </c>
      <c r="D461">
        <v>1</v>
      </c>
      <c r="E461">
        <v>1</v>
      </c>
      <c r="F461" t="s">
        <v>48</v>
      </c>
      <c r="G461" t="s">
        <v>16</v>
      </c>
      <c r="H461" t="s">
        <v>23</v>
      </c>
      <c r="I461" t="s">
        <v>13</v>
      </c>
      <c r="J461">
        <v>1</v>
      </c>
      <c r="K461" t="s">
        <v>108</v>
      </c>
      <c r="L461" t="s">
        <v>95</v>
      </c>
      <c r="M461" t="s">
        <v>94</v>
      </c>
      <c r="N461" t="s">
        <v>116</v>
      </c>
      <c r="O461" t="s">
        <v>115</v>
      </c>
    </row>
    <row r="462" spans="1:15" x14ac:dyDescent="0.3">
      <c r="A462" t="s">
        <v>9</v>
      </c>
      <c r="B462">
        <v>50</v>
      </c>
      <c r="C462">
        <v>0</v>
      </c>
      <c r="D462">
        <v>0</v>
      </c>
      <c r="E462">
        <v>0</v>
      </c>
      <c r="F462" t="s">
        <v>35</v>
      </c>
      <c r="G462" t="s">
        <v>11</v>
      </c>
      <c r="H462" t="s">
        <v>23</v>
      </c>
      <c r="I462" t="s">
        <v>13</v>
      </c>
      <c r="J462">
        <v>0</v>
      </c>
      <c r="K462" t="s">
        <v>108</v>
      </c>
      <c r="L462" t="s">
        <v>109</v>
      </c>
      <c r="M462" t="s">
        <v>111</v>
      </c>
      <c r="N462" t="s">
        <v>112</v>
      </c>
      <c r="O462" t="s">
        <v>110</v>
      </c>
    </row>
    <row r="463" spans="1:15" x14ac:dyDescent="0.3">
      <c r="A463" t="s">
        <v>14</v>
      </c>
      <c r="B463">
        <v>35</v>
      </c>
      <c r="C463">
        <v>0</v>
      </c>
      <c r="D463">
        <v>0</v>
      </c>
      <c r="E463">
        <v>0</v>
      </c>
      <c r="F463" t="s">
        <v>29</v>
      </c>
      <c r="G463" t="s">
        <v>16</v>
      </c>
      <c r="H463" t="s">
        <v>12</v>
      </c>
      <c r="I463" t="s">
        <v>13</v>
      </c>
      <c r="J463">
        <v>0</v>
      </c>
      <c r="K463" t="s">
        <v>114</v>
      </c>
      <c r="L463" t="s">
        <v>109</v>
      </c>
      <c r="M463" t="s">
        <v>111</v>
      </c>
      <c r="N463" t="s">
        <v>112</v>
      </c>
      <c r="O463" t="s">
        <v>110</v>
      </c>
    </row>
    <row r="464" spans="1:15" x14ac:dyDescent="0.3">
      <c r="A464" t="s">
        <v>14</v>
      </c>
      <c r="B464">
        <v>14</v>
      </c>
      <c r="C464">
        <v>1</v>
      </c>
      <c r="D464">
        <v>1</v>
      </c>
      <c r="E464">
        <v>1</v>
      </c>
      <c r="F464" t="s">
        <v>47</v>
      </c>
      <c r="G464" t="s">
        <v>11</v>
      </c>
      <c r="H464" t="s">
        <v>18</v>
      </c>
      <c r="I464" t="s">
        <v>13</v>
      </c>
      <c r="J464">
        <v>1</v>
      </c>
      <c r="K464" t="s">
        <v>113</v>
      </c>
      <c r="L464" t="s">
        <v>95</v>
      </c>
      <c r="M464" t="s">
        <v>94</v>
      </c>
      <c r="N464" t="s">
        <v>116</v>
      </c>
      <c r="O464" t="s">
        <v>115</v>
      </c>
    </row>
    <row r="465" spans="1:15" x14ac:dyDescent="0.3">
      <c r="A465" t="s">
        <v>9</v>
      </c>
      <c r="B465">
        <v>31</v>
      </c>
      <c r="C465">
        <v>0</v>
      </c>
      <c r="D465">
        <v>0</v>
      </c>
      <c r="E465">
        <v>1</v>
      </c>
      <c r="F465" t="s">
        <v>26</v>
      </c>
      <c r="G465" t="s">
        <v>16</v>
      </c>
      <c r="H465" t="s">
        <v>12</v>
      </c>
      <c r="I465" t="s">
        <v>13</v>
      </c>
      <c r="J465">
        <v>0</v>
      </c>
      <c r="K465" t="s">
        <v>114</v>
      </c>
      <c r="L465" t="s">
        <v>109</v>
      </c>
      <c r="M465" t="s">
        <v>94</v>
      </c>
      <c r="N465" t="s">
        <v>112</v>
      </c>
      <c r="O465" t="s">
        <v>110</v>
      </c>
    </row>
    <row r="466" spans="1:15" x14ac:dyDescent="0.3">
      <c r="A466" t="s">
        <v>9</v>
      </c>
      <c r="B466">
        <v>23</v>
      </c>
      <c r="C466">
        <v>1</v>
      </c>
      <c r="D466">
        <v>1</v>
      </c>
      <c r="E466">
        <v>0</v>
      </c>
      <c r="F466" t="s">
        <v>30</v>
      </c>
      <c r="G466" t="s">
        <v>11</v>
      </c>
      <c r="H466" t="s">
        <v>23</v>
      </c>
      <c r="I466" t="s">
        <v>13</v>
      </c>
      <c r="J466">
        <v>1</v>
      </c>
      <c r="K466" t="s">
        <v>117</v>
      </c>
      <c r="L466" t="s">
        <v>95</v>
      </c>
      <c r="M466" t="s">
        <v>111</v>
      </c>
      <c r="N466" t="s">
        <v>116</v>
      </c>
      <c r="O466" t="s">
        <v>115</v>
      </c>
    </row>
    <row r="467" spans="1:15" x14ac:dyDescent="0.3">
      <c r="A467" t="s">
        <v>14</v>
      </c>
      <c r="B467">
        <v>32</v>
      </c>
      <c r="C467">
        <v>0</v>
      </c>
      <c r="D467">
        <v>0</v>
      </c>
      <c r="E467">
        <v>0</v>
      </c>
      <c r="F467" t="s">
        <v>46</v>
      </c>
      <c r="G467" t="s">
        <v>16</v>
      </c>
      <c r="H467" t="s">
        <v>23</v>
      </c>
      <c r="I467" t="s">
        <v>13</v>
      </c>
      <c r="J467">
        <v>0</v>
      </c>
      <c r="K467" t="s">
        <v>114</v>
      </c>
      <c r="L467" t="s">
        <v>109</v>
      </c>
      <c r="M467" t="s">
        <v>111</v>
      </c>
      <c r="N467" t="s">
        <v>112</v>
      </c>
      <c r="O467" t="s">
        <v>110</v>
      </c>
    </row>
    <row r="468" spans="1:15" x14ac:dyDescent="0.3">
      <c r="A468" t="s">
        <v>14</v>
      </c>
      <c r="B468">
        <v>39</v>
      </c>
      <c r="C468">
        <v>1</v>
      </c>
      <c r="D468">
        <v>1</v>
      </c>
      <c r="E468">
        <v>0</v>
      </c>
      <c r="F468" t="s">
        <v>20</v>
      </c>
      <c r="G468" t="s">
        <v>11</v>
      </c>
      <c r="H468" t="s">
        <v>23</v>
      </c>
      <c r="I468" t="s">
        <v>13</v>
      </c>
      <c r="J468">
        <v>1</v>
      </c>
      <c r="K468" t="s">
        <v>114</v>
      </c>
      <c r="L468" t="s">
        <v>95</v>
      </c>
      <c r="M468" t="s">
        <v>111</v>
      </c>
      <c r="N468" t="s">
        <v>116</v>
      </c>
      <c r="O468" t="s">
        <v>115</v>
      </c>
    </row>
    <row r="469" spans="1:15" x14ac:dyDescent="0.3">
      <c r="A469" t="s">
        <v>9</v>
      </c>
      <c r="B469">
        <v>53</v>
      </c>
      <c r="C469">
        <v>0</v>
      </c>
      <c r="D469">
        <v>0</v>
      </c>
      <c r="E469">
        <v>0</v>
      </c>
      <c r="F469" t="s">
        <v>44</v>
      </c>
      <c r="G469" t="s">
        <v>16</v>
      </c>
      <c r="H469" t="s">
        <v>12</v>
      </c>
      <c r="I469" t="s">
        <v>13</v>
      </c>
      <c r="J469">
        <v>0</v>
      </c>
      <c r="K469" t="s">
        <v>108</v>
      </c>
      <c r="L469" t="s">
        <v>109</v>
      </c>
      <c r="M469" t="s">
        <v>111</v>
      </c>
      <c r="N469" t="s">
        <v>112</v>
      </c>
      <c r="O469" t="s">
        <v>110</v>
      </c>
    </row>
    <row r="470" spans="1:15" x14ac:dyDescent="0.3">
      <c r="A470" t="s">
        <v>14</v>
      </c>
      <c r="B470">
        <v>29</v>
      </c>
      <c r="C470">
        <v>0</v>
      </c>
      <c r="D470">
        <v>0</v>
      </c>
      <c r="E470">
        <v>1</v>
      </c>
      <c r="F470" t="s">
        <v>30</v>
      </c>
      <c r="G470" t="s">
        <v>11</v>
      </c>
      <c r="H470" t="s">
        <v>18</v>
      </c>
      <c r="I470" t="s">
        <v>13</v>
      </c>
      <c r="J470">
        <v>0</v>
      </c>
      <c r="K470" t="s">
        <v>114</v>
      </c>
      <c r="L470" t="s">
        <v>109</v>
      </c>
      <c r="M470" t="s">
        <v>94</v>
      </c>
      <c r="N470" t="s">
        <v>112</v>
      </c>
      <c r="O470" t="s">
        <v>110</v>
      </c>
    </row>
    <row r="471" spans="1:15" x14ac:dyDescent="0.3">
      <c r="A471" t="s">
        <v>14</v>
      </c>
      <c r="B471">
        <v>51</v>
      </c>
      <c r="C471">
        <v>1</v>
      </c>
      <c r="D471">
        <v>1</v>
      </c>
      <c r="E471">
        <v>1</v>
      </c>
      <c r="F471" t="s">
        <v>40</v>
      </c>
      <c r="G471" t="s">
        <v>16</v>
      </c>
      <c r="H471" t="s">
        <v>18</v>
      </c>
      <c r="I471" t="s">
        <v>13</v>
      </c>
      <c r="J471">
        <v>1</v>
      </c>
      <c r="K471" t="s">
        <v>108</v>
      </c>
      <c r="L471" t="s">
        <v>95</v>
      </c>
      <c r="M471" t="s">
        <v>94</v>
      </c>
      <c r="N471" t="s">
        <v>116</v>
      </c>
      <c r="O471" t="s">
        <v>115</v>
      </c>
    </row>
    <row r="472" spans="1:15" x14ac:dyDescent="0.3">
      <c r="A472" t="s">
        <v>14</v>
      </c>
      <c r="B472">
        <v>11</v>
      </c>
      <c r="C472">
        <v>0</v>
      </c>
      <c r="D472">
        <v>0</v>
      </c>
      <c r="E472">
        <v>1</v>
      </c>
      <c r="F472" t="s">
        <v>34</v>
      </c>
      <c r="G472" t="s">
        <v>11</v>
      </c>
      <c r="H472" t="s">
        <v>18</v>
      </c>
      <c r="I472" t="s">
        <v>13</v>
      </c>
      <c r="J472">
        <v>0</v>
      </c>
      <c r="K472" t="s">
        <v>118</v>
      </c>
      <c r="L472" t="s">
        <v>109</v>
      </c>
      <c r="M472" t="s">
        <v>94</v>
      </c>
      <c r="N472" t="s">
        <v>112</v>
      </c>
      <c r="O472" t="s">
        <v>110</v>
      </c>
    </row>
    <row r="473" spans="1:15" x14ac:dyDescent="0.3">
      <c r="A473" t="s">
        <v>9</v>
      </c>
      <c r="B473">
        <v>29</v>
      </c>
      <c r="C473">
        <v>1</v>
      </c>
      <c r="D473">
        <v>1</v>
      </c>
      <c r="E473">
        <v>1</v>
      </c>
      <c r="F473" t="s">
        <v>50</v>
      </c>
      <c r="G473" t="s">
        <v>16</v>
      </c>
      <c r="H473" t="s">
        <v>12</v>
      </c>
      <c r="I473" t="s">
        <v>13</v>
      </c>
      <c r="J473">
        <v>1</v>
      </c>
      <c r="K473" t="s">
        <v>114</v>
      </c>
      <c r="L473" t="s">
        <v>95</v>
      </c>
      <c r="M473" t="s">
        <v>94</v>
      </c>
      <c r="N473" t="s">
        <v>116</v>
      </c>
      <c r="O473" t="s">
        <v>115</v>
      </c>
    </row>
    <row r="474" spans="1:15" x14ac:dyDescent="0.3">
      <c r="A474" t="s">
        <v>14</v>
      </c>
      <c r="B474">
        <v>45</v>
      </c>
      <c r="C474">
        <v>1</v>
      </c>
      <c r="D474">
        <v>1</v>
      </c>
      <c r="E474">
        <v>0</v>
      </c>
      <c r="F474" t="s">
        <v>29</v>
      </c>
      <c r="G474" t="s">
        <v>11</v>
      </c>
      <c r="H474" t="s">
        <v>12</v>
      </c>
      <c r="I474" t="s">
        <v>13</v>
      </c>
      <c r="J474">
        <v>1</v>
      </c>
      <c r="K474" t="s">
        <v>108</v>
      </c>
      <c r="L474" t="s">
        <v>95</v>
      </c>
      <c r="M474" t="s">
        <v>111</v>
      </c>
      <c r="N474" t="s">
        <v>116</v>
      </c>
      <c r="O474" t="s">
        <v>115</v>
      </c>
    </row>
    <row r="475" spans="1:15" x14ac:dyDescent="0.3">
      <c r="A475" t="s">
        <v>14</v>
      </c>
      <c r="B475">
        <v>19</v>
      </c>
      <c r="C475">
        <v>0</v>
      </c>
      <c r="D475">
        <v>0</v>
      </c>
      <c r="E475">
        <v>0</v>
      </c>
      <c r="F475" t="s">
        <v>48</v>
      </c>
      <c r="G475" t="s">
        <v>16</v>
      </c>
      <c r="H475" t="s">
        <v>12</v>
      </c>
      <c r="I475" t="s">
        <v>13</v>
      </c>
      <c r="J475">
        <v>0</v>
      </c>
      <c r="K475" t="s">
        <v>117</v>
      </c>
      <c r="L475" t="s">
        <v>109</v>
      </c>
      <c r="M475" t="s">
        <v>111</v>
      </c>
      <c r="N475" t="s">
        <v>112</v>
      </c>
      <c r="O475" t="s">
        <v>110</v>
      </c>
    </row>
    <row r="476" spans="1:15" x14ac:dyDescent="0.3">
      <c r="A476" t="s">
        <v>14</v>
      </c>
      <c r="B476">
        <v>24</v>
      </c>
      <c r="C476">
        <v>1</v>
      </c>
      <c r="D476">
        <v>1</v>
      </c>
      <c r="E476">
        <v>0</v>
      </c>
      <c r="F476" t="s">
        <v>47</v>
      </c>
      <c r="G476" t="s">
        <v>11</v>
      </c>
      <c r="H476" t="s">
        <v>23</v>
      </c>
      <c r="I476" t="s">
        <v>13</v>
      </c>
      <c r="J476">
        <v>1</v>
      </c>
      <c r="K476" t="s">
        <v>117</v>
      </c>
      <c r="L476" t="s">
        <v>95</v>
      </c>
      <c r="M476" t="s">
        <v>111</v>
      </c>
      <c r="N476" t="s">
        <v>116</v>
      </c>
      <c r="O476" t="s">
        <v>115</v>
      </c>
    </row>
    <row r="477" spans="1:15" x14ac:dyDescent="0.3">
      <c r="A477" t="s">
        <v>14</v>
      </c>
      <c r="B477">
        <v>48</v>
      </c>
      <c r="C477">
        <v>0</v>
      </c>
      <c r="D477">
        <v>0</v>
      </c>
      <c r="E477">
        <v>0</v>
      </c>
      <c r="F477" t="s">
        <v>43</v>
      </c>
      <c r="G477" t="s">
        <v>16</v>
      </c>
      <c r="H477" t="s">
        <v>12</v>
      </c>
      <c r="I477" t="s">
        <v>13</v>
      </c>
      <c r="J477">
        <v>0</v>
      </c>
      <c r="K477" t="s">
        <v>108</v>
      </c>
      <c r="L477" t="s">
        <v>109</v>
      </c>
      <c r="M477" t="s">
        <v>111</v>
      </c>
      <c r="N477" t="s">
        <v>112</v>
      </c>
      <c r="O477" t="s">
        <v>110</v>
      </c>
    </row>
    <row r="478" spans="1:15" x14ac:dyDescent="0.3">
      <c r="A478" t="s">
        <v>9</v>
      </c>
      <c r="B478">
        <v>53</v>
      </c>
      <c r="C478">
        <v>1</v>
      </c>
      <c r="D478">
        <v>1</v>
      </c>
      <c r="E478">
        <v>0</v>
      </c>
      <c r="F478" t="s">
        <v>41</v>
      </c>
      <c r="G478" t="s">
        <v>11</v>
      </c>
      <c r="H478" t="s">
        <v>23</v>
      </c>
      <c r="I478" t="s">
        <v>13</v>
      </c>
      <c r="J478">
        <v>1</v>
      </c>
      <c r="K478" t="s">
        <v>108</v>
      </c>
      <c r="L478" t="s">
        <v>95</v>
      </c>
      <c r="M478" t="s">
        <v>111</v>
      </c>
      <c r="N478" t="s">
        <v>116</v>
      </c>
      <c r="O478" t="s">
        <v>115</v>
      </c>
    </row>
    <row r="479" spans="1:15" x14ac:dyDescent="0.3">
      <c r="A479" t="s">
        <v>9</v>
      </c>
      <c r="B479">
        <v>33</v>
      </c>
      <c r="C479">
        <v>1</v>
      </c>
      <c r="D479">
        <v>1</v>
      </c>
      <c r="E479">
        <v>0</v>
      </c>
      <c r="F479" t="s">
        <v>39</v>
      </c>
      <c r="G479" t="s">
        <v>16</v>
      </c>
      <c r="H479" t="s">
        <v>23</v>
      </c>
      <c r="I479" t="s">
        <v>13</v>
      </c>
      <c r="J479">
        <v>1</v>
      </c>
      <c r="K479" t="s">
        <v>114</v>
      </c>
      <c r="L479" t="s">
        <v>95</v>
      </c>
      <c r="M479" t="s">
        <v>111</v>
      </c>
      <c r="N479" t="s">
        <v>116</v>
      </c>
      <c r="O479" t="s">
        <v>115</v>
      </c>
    </row>
    <row r="480" spans="1:15" x14ac:dyDescent="0.3">
      <c r="A480" t="s">
        <v>14</v>
      </c>
      <c r="B480">
        <v>41</v>
      </c>
      <c r="C480">
        <v>1</v>
      </c>
      <c r="D480">
        <v>1</v>
      </c>
      <c r="E480">
        <v>1</v>
      </c>
      <c r="F480" t="s">
        <v>26</v>
      </c>
      <c r="G480" t="s">
        <v>11</v>
      </c>
      <c r="H480" t="s">
        <v>23</v>
      </c>
      <c r="I480" t="s">
        <v>13</v>
      </c>
      <c r="J480">
        <v>1</v>
      </c>
      <c r="K480" t="s">
        <v>114</v>
      </c>
      <c r="L480" t="s">
        <v>95</v>
      </c>
      <c r="M480" t="s">
        <v>94</v>
      </c>
      <c r="N480" t="s">
        <v>116</v>
      </c>
      <c r="O480" t="s">
        <v>115</v>
      </c>
    </row>
    <row r="481" spans="1:15" x14ac:dyDescent="0.3">
      <c r="A481" t="s">
        <v>9</v>
      </c>
      <c r="B481">
        <v>35</v>
      </c>
      <c r="C481">
        <v>0</v>
      </c>
      <c r="D481">
        <v>0</v>
      </c>
      <c r="E481">
        <v>1</v>
      </c>
      <c r="F481" t="s">
        <v>21</v>
      </c>
      <c r="G481" t="s">
        <v>16</v>
      </c>
      <c r="H481" t="s">
        <v>12</v>
      </c>
      <c r="I481" t="s">
        <v>13</v>
      </c>
      <c r="J481">
        <v>0</v>
      </c>
      <c r="K481" t="s">
        <v>114</v>
      </c>
      <c r="L481" t="s">
        <v>109</v>
      </c>
      <c r="M481" t="s">
        <v>94</v>
      </c>
      <c r="N481" t="s">
        <v>112</v>
      </c>
      <c r="O481" t="s">
        <v>110</v>
      </c>
    </row>
    <row r="482" spans="1:15" x14ac:dyDescent="0.3">
      <c r="A482" t="s">
        <v>14</v>
      </c>
      <c r="B482">
        <v>63</v>
      </c>
      <c r="C482">
        <v>0</v>
      </c>
      <c r="D482">
        <v>0</v>
      </c>
      <c r="E482">
        <v>0</v>
      </c>
      <c r="F482" t="s">
        <v>21</v>
      </c>
      <c r="G482" t="s">
        <v>11</v>
      </c>
      <c r="H482" t="s">
        <v>23</v>
      </c>
      <c r="I482" t="s">
        <v>13</v>
      </c>
      <c r="J482">
        <v>0</v>
      </c>
      <c r="K482" t="s">
        <v>108</v>
      </c>
      <c r="L482" t="s">
        <v>109</v>
      </c>
      <c r="M482" t="s">
        <v>111</v>
      </c>
      <c r="N482" t="s">
        <v>112</v>
      </c>
      <c r="O482" t="s">
        <v>110</v>
      </c>
    </row>
    <row r="483" spans="1:15" x14ac:dyDescent="0.3">
      <c r="A483" t="s">
        <v>9</v>
      </c>
      <c r="B483">
        <v>54</v>
      </c>
      <c r="C483">
        <v>1</v>
      </c>
      <c r="D483">
        <v>1</v>
      </c>
      <c r="E483">
        <v>0</v>
      </c>
      <c r="F483" t="s">
        <v>32</v>
      </c>
      <c r="G483" t="s">
        <v>16</v>
      </c>
      <c r="H483" t="s">
        <v>23</v>
      </c>
      <c r="I483" t="s">
        <v>13</v>
      </c>
      <c r="J483">
        <v>1</v>
      </c>
      <c r="K483" t="s">
        <v>108</v>
      </c>
      <c r="L483" t="s">
        <v>95</v>
      </c>
      <c r="M483" t="s">
        <v>111</v>
      </c>
      <c r="N483" t="s">
        <v>116</v>
      </c>
      <c r="O483" t="s">
        <v>115</v>
      </c>
    </row>
    <row r="484" spans="1:15" x14ac:dyDescent="0.3">
      <c r="A484" t="s">
        <v>9</v>
      </c>
      <c r="B484">
        <v>40</v>
      </c>
      <c r="C484">
        <v>1</v>
      </c>
      <c r="D484">
        <v>1</v>
      </c>
      <c r="E484">
        <v>1</v>
      </c>
      <c r="F484" t="s">
        <v>42</v>
      </c>
      <c r="G484" t="s">
        <v>11</v>
      </c>
      <c r="H484" t="s">
        <v>23</v>
      </c>
      <c r="I484" t="s">
        <v>13</v>
      </c>
      <c r="J484">
        <v>1</v>
      </c>
      <c r="K484" t="s">
        <v>114</v>
      </c>
      <c r="L484" t="s">
        <v>95</v>
      </c>
      <c r="M484" t="s">
        <v>94</v>
      </c>
      <c r="N484" t="s">
        <v>116</v>
      </c>
      <c r="O484" t="s">
        <v>115</v>
      </c>
    </row>
    <row r="485" spans="1:15" x14ac:dyDescent="0.3">
      <c r="A485" t="s">
        <v>9</v>
      </c>
      <c r="B485">
        <v>23</v>
      </c>
      <c r="C485">
        <v>0</v>
      </c>
      <c r="D485">
        <v>0</v>
      </c>
      <c r="E485">
        <v>1</v>
      </c>
      <c r="F485" t="s">
        <v>51</v>
      </c>
      <c r="G485" t="s">
        <v>16</v>
      </c>
      <c r="H485" t="s">
        <v>18</v>
      </c>
      <c r="I485" t="s">
        <v>13</v>
      </c>
      <c r="J485">
        <v>0</v>
      </c>
      <c r="K485" t="s">
        <v>117</v>
      </c>
      <c r="L485" t="s">
        <v>109</v>
      </c>
      <c r="M485" t="s">
        <v>94</v>
      </c>
      <c r="N485" t="s">
        <v>112</v>
      </c>
      <c r="O485" t="s">
        <v>110</v>
      </c>
    </row>
    <row r="486" spans="1:15" x14ac:dyDescent="0.3">
      <c r="A486" t="s">
        <v>9</v>
      </c>
      <c r="B486">
        <v>55</v>
      </c>
      <c r="C486">
        <v>0</v>
      </c>
      <c r="D486">
        <v>0</v>
      </c>
      <c r="E486">
        <v>0</v>
      </c>
      <c r="F486" t="s">
        <v>26</v>
      </c>
      <c r="G486" t="s">
        <v>11</v>
      </c>
      <c r="H486" t="s">
        <v>18</v>
      </c>
      <c r="I486" t="s">
        <v>13</v>
      </c>
      <c r="J486">
        <v>0</v>
      </c>
      <c r="K486" t="s">
        <v>108</v>
      </c>
      <c r="L486" t="s">
        <v>109</v>
      </c>
      <c r="M486" t="s">
        <v>111</v>
      </c>
      <c r="N486" t="s">
        <v>112</v>
      </c>
      <c r="O486" t="s">
        <v>110</v>
      </c>
    </row>
    <row r="487" spans="1:15" x14ac:dyDescent="0.3">
      <c r="A487" t="s">
        <v>9</v>
      </c>
      <c r="B487">
        <v>32</v>
      </c>
      <c r="C487">
        <v>0</v>
      </c>
      <c r="D487">
        <v>0</v>
      </c>
      <c r="E487">
        <v>0</v>
      </c>
      <c r="F487" t="s">
        <v>41</v>
      </c>
      <c r="G487" t="s">
        <v>16</v>
      </c>
      <c r="H487" t="s">
        <v>18</v>
      </c>
      <c r="I487" t="s">
        <v>13</v>
      </c>
      <c r="J487">
        <v>0</v>
      </c>
      <c r="K487" t="s">
        <v>114</v>
      </c>
      <c r="L487" t="s">
        <v>109</v>
      </c>
      <c r="M487" t="s">
        <v>111</v>
      </c>
      <c r="N487" t="s">
        <v>112</v>
      </c>
      <c r="O487" t="s">
        <v>110</v>
      </c>
    </row>
    <row r="488" spans="1:15" x14ac:dyDescent="0.3">
      <c r="A488" t="s">
        <v>14</v>
      </c>
      <c r="B488">
        <v>13</v>
      </c>
      <c r="C488">
        <v>0</v>
      </c>
      <c r="D488">
        <v>0</v>
      </c>
      <c r="E488">
        <v>1</v>
      </c>
      <c r="F488" t="s">
        <v>20</v>
      </c>
      <c r="G488" t="s">
        <v>11</v>
      </c>
      <c r="H488" t="s">
        <v>23</v>
      </c>
      <c r="I488" t="s">
        <v>13</v>
      </c>
      <c r="J488">
        <v>0</v>
      </c>
      <c r="K488" t="s">
        <v>118</v>
      </c>
      <c r="L488" t="s">
        <v>109</v>
      </c>
      <c r="M488" t="s">
        <v>94</v>
      </c>
      <c r="N488" t="s">
        <v>112</v>
      </c>
      <c r="O488" t="s">
        <v>110</v>
      </c>
    </row>
    <row r="489" spans="1:15" x14ac:dyDescent="0.3">
      <c r="A489" t="s">
        <v>14</v>
      </c>
      <c r="B489">
        <v>44</v>
      </c>
      <c r="C489">
        <v>1</v>
      </c>
      <c r="D489">
        <v>1</v>
      </c>
      <c r="E489">
        <v>0</v>
      </c>
      <c r="F489" t="s">
        <v>39</v>
      </c>
      <c r="G489" t="s">
        <v>16</v>
      </c>
      <c r="H489" t="s">
        <v>12</v>
      </c>
      <c r="I489" t="s">
        <v>13</v>
      </c>
      <c r="J489">
        <v>1</v>
      </c>
      <c r="K489" t="s">
        <v>114</v>
      </c>
      <c r="L489" t="s">
        <v>95</v>
      </c>
      <c r="M489" t="s">
        <v>111</v>
      </c>
      <c r="N489" t="s">
        <v>116</v>
      </c>
      <c r="O489" t="s">
        <v>115</v>
      </c>
    </row>
    <row r="490" spans="1:15" x14ac:dyDescent="0.3">
      <c r="A490" t="s">
        <v>9</v>
      </c>
      <c r="B490">
        <v>52</v>
      </c>
      <c r="C490">
        <v>0</v>
      </c>
      <c r="D490">
        <v>0</v>
      </c>
      <c r="E490">
        <v>1</v>
      </c>
      <c r="F490" t="s">
        <v>29</v>
      </c>
      <c r="G490" t="s">
        <v>11</v>
      </c>
      <c r="H490" t="s">
        <v>23</v>
      </c>
      <c r="I490" t="s">
        <v>13</v>
      </c>
      <c r="J490">
        <v>0</v>
      </c>
      <c r="K490" t="s">
        <v>108</v>
      </c>
      <c r="L490" t="s">
        <v>109</v>
      </c>
      <c r="M490" t="s">
        <v>94</v>
      </c>
      <c r="N490" t="s">
        <v>112</v>
      </c>
      <c r="O490" t="s">
        <v>110</v>
      </c>
    </row>
    <row r="491" spans="1:15" x14ac:dyDescent="0.3">
      <c r="A491" t="s">
        <v>14</v>
      </c>
      <c r="B491">
        <v>65</v>
      </c>
      <c r="C491">
        <v>0</v>
      </c>
      <c r="D491">
        <v>0</v>
      </c>
      <c r="E491">
        <v>0</v>
      </c>
      <c r="F491" t="s">
        <v>31</v>
      </c>
      <c r="G491" t="s">
        <v>16</v>
      </c>
      <c r="H491" t="s">
        <v>18</v>
      </c>
      <c r="I491" t="s">
        <v>13</v>
      </c>
      <c r="J491">
        <v>0</v>
      </c>
      <c r="K491" t="s">
        <v>119</v>
      </c>
      <c r="L491" t="s">
        <v>109</v>
      </c>
      <c r="M491" t="s">
        <v>111</v>
      </c>
      <c r="N491" t="s">
        <v>112</v>
      </c>
      <c r="O491" t="s">
        <v>110</v>
      </c>
    </row>
    <row r="492" spans="1:15" x14ac:dyDescent="0.3">
      <c r="A492" t="s">
        <v>14</v>
      </c>
      <c r="B492">
        <v>55</v>
      </c>
      <c r="C492">
        <v>0</v>
      </c>
      <c r="D492">
        <v>0</v>
      </c>
      <c r="E492">
        <v>0</v>
      </c>
      <c r="F492" t="s">
        <v>36</v>
      </c>
      <c r="G492" t="s">
        <v>11</v>
      </c>
      <c r="H492" t="s">
        <v>18</v>
      </c>
      <c r="I492" t="s">
        <v>13</v>
      </c>
      <c r="J492">
        <v>0</v>
      </c>
      <c r="K492" t="s">
        <v>108</v>
      </c>
      <c r="L492" t="s">
        <v>109</v>
      </c>
      <c r="M492" t="s">
        <v>111</v>
      </c>
      <c r="N492" t="s">
        <v>112</v>
      </c>
      <c r="O492" t="s">
        <v>110</v>
      </c>
    </row>
    <row r="493" spans="1:15" x14ac:dyDescent="0.3">
      <c r="A493" t="s">
        <v>9</v>
      </c>
      <c r="B493">
        <v>17</v>
      </c>
      <c r="C493">
        <v>0</v>
      </c>
      <c r="D493">
        <v>0</v>
      </c>
      <c r="E493">
        <v>1</v>
      </c>
      <c r="F493" t="s">
        <v>10</v>
      </c>
      <c r="G493" t="s">
        <v>16</v>
      </c>
      <c r="H493" t="s">
        <v>18</v>
      </c>
      <c r="I493" t="s">
        <v>13</v>
      </c>
      <c r="J493">
        <v>0</v>
      </c>
      <c r="K493" t="s">
        <v>113</v>
      </c>
      <c r="L493" t="s">
        <v>109</v>
      </c>
      <c r="M493" t="s">
        <v>94</v>
      </c>
      <c r="N493" t="s">
        <v>112</v>
      </c>
      <c r="O493" t="s">
        <v>110</v>
      </c>
    </row>
    <row r="494" spans="1:15" x14ac:dyDescent="0.3">
      <c r="A494" t="s">
        <v>9</v>
      </c>
      <c r="B494">
        <v>31</v>
      </c>
      <c r="C494">
        <v>1</v>
      </c>
      <c r="D494">
        <v>1</v>
      </c>
      <c r="E494">
        <v>0</v>
      </c>
      <c r="F494" t="s">
        <v>36</v>
      </c>
      <c r="G494" t="s">
        <v>11</v>
      </c>
      <c r="H494" t="s">
        <v>12</v>
      </c>
      <c r="I494" t="s">
        <v>13</v>
      </c>
      <c r="J494">
        <v>1</v>
      </c>
      <c r="K494" t="s">
        <v>114</v>
      </c>
      <c r="L494" t="s">
        <v>95</v>
      </c>
      <c r="M494" t="s">
        <v>111</v>
      </c>
      <c r="N494" t="s">
        <v>116</v>
      </c>
      <c r="O494" t="s">
        <v>115</v>
      </c>
    </row>
    <row r="495" spans="1:15" x14ac:dyDescent="0.3">
      <c r="A495" t="s">
        <v>14</v>
      </c>
      <c r="B495">
        <v>9</v>
      </c>
      <c r="C495">
        <v>1</v>
      </c>
      <c r="D495">
        <v>1</v>
      </c>
      <c r="E495">
        <v>1</v>
      </c>
      <c r="F495" t="s">
        <v>38</v>
      </c>
      <c r="G495" t="s">
        <v>16</v>
      </c>
      <c r="H495" t="s">
        <v>23</v>
      </c>
      <c r="I495" t="s">
        <v>13</v>
      </c>
      <c r="J495">
        <v>1</v>
      </c>
      <c r="K495" t="s">
        <v>118</v>
      </c>
      <c r="L495" t="s">
        <v>95</v>
      </c>
      <c r="M495" t="s">
        <v>94</v>
      </c>
      <c r="N495" t="s">
        <v>116</v>
      </c>
      <c r="O495" t="s">
        <v>115</v>
      </c>
    </row>
    <row r="496" spans="1:15" x14ac:dyDescent="0.3">
      <c r="A496" t="s">
        <v>14</v>
      </c>
      <c r="B496">
        <v>22</v>
      </c>
      <c r="C496">
        <v>1</v>
      </c>
      <c r="D496">
        <v>1</v>
      </c>
      <c r="E496">
        <v>0</v>
      </c>
      <c r="F496" t="s">
        <v>38</v>
      </c>
      <c r="G496" t="s">
        <v>11</v>
      </c>
      <c r="H496" t="s">
        <v>23</v>
      </c>
      <c r="I496" t="s">
        <v>13</v>
      </c>
      <c r="J496">
        <v>1</v>
      </c>
      <c r="K496" t="s">
        <v>117</v>
      </c>
      <c r="L496" t="s">
        <v>95</v>
      </c>
      <c r="M496" t="s">
        <v>111</v>
      </c>
      <c r="N496" t="s">
        <v>116</v>
      </c>
      <c r="O496" t="s">
        <v>115</v>
      </c>
    </row>
    <row r="497" spans="1:15" x14ac:dyDescent="0.3">
      <c r="A497" t="s">
        <v>9</v>
      </c>
      <c r="B497">
        <v>21</v>
      </c>
      <c r="C497">
        <v>1</v>
      </c>
      <c r="D497">
        <v>1</v>
      </c>
      <c r="E497">
        <v>0</v>
      </c>
      <c r="F497" t="s">
        <v>46</v>
      </c>
      <c r="G497" t="s">
        <v>16</v>
      </c>
      <c r="H497" t="s">
        <v>18</v>
      </c>
      <c r="I497" t="s">
        <v>13</v>
      </c>
      <c r="J497">
        <v>1</v>
      </c>
      <c r="K497" t="s">
        <v>117</v>
      </c>
      <c r="L497" t="s">
        <v>95</v>
      </c>
      <c r="M497" t="s">
        <v>111</v>
      </c>
      <c r="N497" t="s">
        <v>116</v>
      </c>
      <c r="O497" t="s">
        <v>115</v>
      </c>
    </row>
    <row r="498" spans="1:15" x14ac:dyDescent="0.3">
      <c r="A498" t="s">
        <v>9</v>
      </c>
      <c r="B498">
        <v>15</v>
      </c>
      <c r="C498">
        <v>1</v>
      </c>
      <c r="D498">
        <v>1</v>
      </c>
      <c r="E498">
        <v>0</v>
      </c>
      <c r="F498" t="s">
        <v>51</v>
      </c>
      <c r="G498" t="s">
        <v>11</v>
      </c>
      <c r="H498" t="s">
        <v>12</v>
      </c>
      <c r="I498" t="s">
        <v>13</v>
      </c>
      <c r="J498">
        <v>1</v>
      </c>
      <c r="K498" t="s">
        <v>113</v>
      </c>
      <c r="L498" t="s">
        <v>95</v>
      </c>
      <c r="M498" t="s">
        <v>111</v>
      </c>
      <c r="N498" t="s">
        <v>116</v>
      </c>
      <c r="O498" t="s">
        <v>115</v>
      </c>
    </row>
    <row r="499" spans="1:15" x14ac:dyDescent="0.3">
      <c r="A499" t="s">
        <v>14</v>
      </c>
      <c r="B499">
        <v>40</v>
      </c>
      <c r="C499">
        <v>1</v>
      </c>
      <c r="D499">
        <v>1</v>
      </c>
      <c r="E499">
        <v>0</v>
      </c>
      <c r="F499" t="s">
        <v>48</v>
      </c>
      <c r="G499" t="s">
        <v>16</v>
      </c>
      <c r="H499" t="s">
        <v>23</v>
      </c>
      <c r="I499" t="s">
        <v>13</v>
      </c>
      <c r="J499">
        <v>1</v>
      </c>
      <c r="K499" t="s">
        <v>114</v>
      </c>
      <c r="L499" t="s">
        <v>95</v>
      </c>
      <c r="M499" t="s">
        <v>111</v>
      </c>
      <c r="N499" t="s">
        <v>116</v>
      </c>
      <c r="O499" t="s">
        <v>115</v>
      </c>
    </row>
    <row r="500" spans="1:15" x14ac:dyDescent="0.3">
      <c r="A500" t="s">
        <v>9</v>
      </c>
      <c r="B500">
        <v>37</v>
      </c>
      <c r="C500">
        <v>1</v>
      </c>
      <c r="D500">
        <v>1</v>
      </c>
      <c r="E500">
        <v>1</v>
      </c>
      <c r="F500" t="s">
        <v>19</v>
      </c>
      <c r="G500" t="s">
        <v>11</v>
      </c>
      <c r="H500" t="s">
        <v>12</v>
      </c>
      <c r="I500" t="s">
        <v>13</v>
      </c>
      <c r="J500">
        <v>1</v>
      </c>
      <c r="K500" t="s">
        <v>114</v>
      </c>
      <c r="L500" t="s">
        <v>95</v>
      </c>
      <c r="M500" t="s">
        <v>94</v>
      </c>
      <c r="N500" t="s">
        <v>116</v>
      </c>
      <c r="O500" t="s">
        <v>115</v>
      </c>
    </row>
    <row r="501" spans="1:15" x14ac:dyDescent="0.3">
      <c r="A501" t="s">
        <v>14</v>
      </c>
      <c r="B501">
        <v>53</v>
      </c>
      <c r="C501">
        <v>0</v>
      </c>
      <c r="D501">
        <v>0</v>
      </c>
      <c r="E501">
        <v>0</v>
      </c>
      <c r="F501" t="s">
        <v>20</v>
      </c>
      <c r="G501" t="s">
        <v>16</v>
      </c>
      <c r="H501" t="s">
        <v>18</v>
      </c>
      <c r="I501" t="s">
        <v>13</v>
      </c>
      <c r="J501">
        <v>0</v>
      </c>
      <c r="K501" t="s">
        <v>108</v>
      </c>
      <c r="L501" t="s">
        <v>109</v>
      </c>
      <c r="M501" t="s">
        <v>111</v>
      </c>
      <c r="N501" t="s">
        <v>112</v>
      </c>
      <c r="O501" t="s">
        <v>110</v>
      </c>
    </row>
    <row r="502" spans="1:15" x14ac:dyDescent="0.3">
      <c r="A502" t="s">
        <v>9</v>
      </c>
      <c r="B502">
        <v>46</v>
      </c>
      <c r="C502">
        <v>0</v>
      </c>
      <c r="D502">
        <v>0</v>
      </c>
      <c r="E502">
        <v>0</v>
      </c>
      <c r="F502" t="s">
        <v>22</v>
      </c>
      <c r="G502" t="s">
        <v>11</v>
      </c>
      <c r="H502" t="s">
        <v>23</v>
      </c>
      <c r="I502" t="s">
        <v>13</v>
      </c>
      <c r="J502">
        <v>0</v>
      </c>
      <c r="K502" t="s">
        <v>108</v>
      </c>
      <c r="L502" t="s">
        <v>109</v>
      </c>
      <c r="M502" t="s">
        <v>111</v>
      </c>
      <c r="N502" t="s">
        <v>112</v>
      </c>
      <c r="O502" t="s">
        <v>110</v>
      </c>
    </row>
    <row r="503" spans="1:15" x14ac:dyDescent="0.3">
      <c r="A503" t="s">
        <v>14</v>
      </c>
      <c r="B503">
        <v>9</v>
      </c>
      <c r="C503">
        <v>1</v>
      </c>
      <c r="D503">
        <v>1</v>
      </c>
      <c r="E503">
        <v>1</v>
      </c>
      <c r="F503" t="s">
        <v>33</v>
      </c>
      <c r="G503" t="s">
        <v>16</v>
      </c>
      <c r="H503" t="s">
        <v>18</v>
      </c>
      <c r="I503" t="s">
        <v>13</v>
      </c>
      <c r="J503">
        <v>1</v>
      </c>
      <c r="K503" t="s">
        <v>118</v>
      </c>
      <c r="L503" t="s">
        <v>95</v>
      </c>
      <c r="M503" t="s">
        <v>94</v>
      </c>
      <c r="N503" t="s">
        <v>116</v>
      </c>
      <c r="O503" t="s">
        <v>115</v>
      </c>
    </row>
    <row r="504" spans="1:15" x14ac:dyDescent="0.3">
      <c r="A504" t="s">
        <v>14</v>
      </c>
      <c r="B504">
        <v>35</v>
      </c>
      <c r="C504">
        <v>0</v>
      </c>
      <c r="D504">
        <v>0</v>
      </c>
      <c r="E504">
        <v>1</v>
      </c>
      <c r="F504" t="s">
        <v>22</v>
      </c>
      <c r="G504" t="s">
        <v>11</v>
      </c>
      <c r="H504" t="s">
        <v>23</v>
      </c>
      <c r="I504" t="s">
        <v>13</v>
      </c>
      <c r="J504">
        <v>0</v>
      </c>
      <c r="K504" t="s">
        <v>114</v>
      </c>
      <c r="L504" t="s">
        <v>109</v>
      </c>
      <c r="M504" t="s">
        <v>94</v>
      </c>
      <c r="N504" t="s">
        <v>112</v>
      </c>
      <c r="O504" t="s">
        <v>110</v>
      </c>
    </row>
    <row r="505" spans="1:15" x14ac:dyDescent="0.3">
      <c r="A505" t="s">
        <v>9</v>
      </c>
      <c r="B505">
        <v>18</v>
      </c>
      <c r="C505">
        <v>0</v>
      </c>
      <c r="D505">
        <v>0</v>
      </c>
      <c r="E505">
        <v>1</v>
      </c>
      <c r="F505" t="s">
        <v>35</v>
      </c>
      <c r="G505" t="s">
        <v>16</v>
      </c>
      <c r="H505" t="s">
        <v>18</v>
      </c>
      <c r="I505" t="s">
        <v>13</v>
      </c>
      <c r="J505">
        <v>0</v>
      </c>
      <c r="K505" t="s">
        <v>113</v>
      </c>
      <c r="L505" t="s">
        <v>109</v>
      </c>
      <c r="M505" t="s">
        <v>94</v>
      </c>
      <c r="N505" t="s">
        <v>112</v>
      </c>
      <c r="O505" t="s">
        <v>110</v>
      </c>
    </row>
    <row r="506" spans="1:15" x14ac:dyDescent="0.3">
      <c r="A506" t="s">
        <v>9</v>
      </c>
      <c r="B506">
        <v>10</v>
      </c>
      <c r="C506">
        <v>0</v>
      </c>
      <c r="D506">
        <v>0</v>
      </c>
      <c r="E506">
        <v>1</v>
      </c>
      <c r="F506" t="s">
        <v>34</v>
      </c>
      <c r="G506" t="s">
        <v>11</v>
      </c>
      <c r="H506" t="s">
        <v>18</v>
      </c>
      <c r="I506" t="s">
        <v>13</v>
      </c>
      <c r="J506">
        <v>0</v>
      </c>
      <c r="K506" t="s">
        <v>118</v>
      </c>
      <c r="L506" t="s">
        <v>109</v>
      </c>
      <c r="M506" t="s">
        <v>94</v>
      </c>
      <c r="N506" t="s">
        <v>112</v>
      </c>
      <c r="O506" t="s">
        <v>110</v>
      </c>
    </row>
    <row r="507" spans="1:15" x14ac:dyDescent="0.3">
      <c r="A507" t="s">
        <v>9</v>
      </c>
      <c r="B507">
        <v>13</v>
      </c>
      <c r="C507">
        <v>1</v>
      </c>
      <c r="D507">
        <v>1</v>
      </c>
      <c r="E507">
        <v>1</v>
      </c>
      <c r="F507" t="s">
        <v>10</v>
      </c>
      <c r="G507" t="s">
        <v>16</v>
      </c>
      <c r="H507" t="s">
        <v>23</v>
      </c>
      <c r="I507" t="s">
        <v>13</v>
      </c>
      <c r="J507">
        <v>1</v>
      </c>
      <c r="K507" t="s">
        <v>118</v>
      </c>
      <c r="L507" t="s">
        <v>95</v>
      </c>
      <c r="M507" t="s">
        <v>94</v>
      </c>
      <c r="N507" t="s">
        <v>116</v>
      </c>
      <c r="O507" t="s">
        <v>115</v>
      </c>
    </row>
    <row r="508" spans="1:15" x14ac:dyDescent="0.3">
      <c r="A508" t="s">
        <v>9</v>
      </c>
      <c r="B508">
        <v>19</v>
      </c>
      <c r="C508">
        <v>1</v>
      </c>
      <c r="D508">
        <v>1</v>
      </c>
      <c r="E508">
        <v>0</v>
      </c>
      <c r="F508" t="s">
        <v>50</v>
      </c>
      <c r="G508" t="s">
        <v>11</v>
      </c>
      <c r="H508" t="s">
        <v>23</v>
      </c>
      <c r="I508" t="s">
        <v>13</v>
      </c>
      <c r="J508">
        <v>1</v>
      </c>
      <c r="K508" t="s">
        <v>117</v>
      </c>
      <c r="L508" t="s">
        <v>95</v>
      </c>
      <c r="M508" t="s">
        <v>111</v>
      </c>
      <c r="N508" t="s">
        <v>116</v>
      </c>
      <c r="O508" t="s">
        <v>115</v>
      </c>
    </row>
    <row r="509" spans="1:15" x14ac:dyDescent="0.3">
      <c r="A509" t="s">
        <v>14</v>
      </c>
      <c r="B509">
        <v>37</v>
      </c>
      <c r="C509">
        <v>0</v>
      </c>
      <c r="D509">
        <v>0</v>
      </c>
      <c r="E509">
        <v>1</v>
      </c>
      <c r="F509" t="s">
        <v>30</v>
      </c>
      <c r="G509" t="s">
        <v>16</v>
      </c>
      <c r="H509" t="s">
        <v>18</v>
      </c>
      <c r="I509" t="s">
        <v>13</v>
      </c>
      <c r="J509">
        <v>0</v>
      </c>
      <c r="K509" t="s">
        <v>114</v>
      </c>
      <c r="L509" t="s">
        <v>109</v>
      </c>
      <c r="M509" t="s">
        <v>94</v>
      </c>
      <c r="N509" t="s">
        <v>112</v>
      </c>
      <c r="O509" t="s">
        <v>110</v>
      </c>
    </row>
    <row r="510" spans="1:15" x14ac:dyDescent="0.3">
      <c r="A510" t="s">
        <v>9</v>
      </c>
      <c r="B510">
        <v>40</v>
      </c>
      <c r="C510">
        <v>1</v>
      </c>
      <c r="D510">
        <v>1</v>
      </c>
      <c r="E510">
        <v>0</v>
      </c>
      <c r="F510" t="s">
        <v>48</v>
      </c>
      <c r="G510" t="s">
        <v>11</v>
      </c>
      <c r="H510" t="s">
        <v>12</v>
      </c>
      <c r="I510" t="s">
        <v>13</v>
      </c>
      <c r="J510">
        <v>1</v>
      </c>
      <c r="K510" t="s">
        <v>114</v>
      </c>
      <c r="L510" t="s">
        <v>95</v>
      </c>
      <c r="M510" t="s">
        <v>111</v>
      </c>
      <c r="N510" t="s">
        <v>116</v>
      </c>
      <c r="O510" t="s">
        <v>115</v>
      </c>
    </row>
    <row r="511" spans="1:15" x14ac:dyDescent="0.3">
      <c r="A511" t="s">
        <v>9</v>
      </c>
      <c r="B511">
        <v>10</v>
      </c>
      <c r="C511">
        <v>0</v>
      </c>
      <c r="D511">
        <v>0</v>
      </c>
      <c r="E511">
        <v>0</v>
      </c>
      <c r="F511" t="s">
        <v>48</v>
      </c>
      <c r="G511" t="s">
        <v>16</v>
      </c>
      <c r="H511" t="s">
        <v>23</v>
      </c>
      <c r="I511" t="s">
        <v>13</v>
      </c>
      <c r="J511">
        <v>0</v>
      </c>
      <c r="K511" t="s">
        <v>118</v>
      </c>
      <c r="L511" t="s">
        <v>109</v>
      </c>
      <c r="M511" t="s">
        <v>111</v>
      </c>
      <c r="N511" t="s">
        <v>112</v>
      </c>
      <c r="O511" t="s">
        <v>110</v>
      </c>
    </row>
    <row r="512" spans="1:15" x14ac:dyDescent="0.3">
      <c r="A512" t="s">
        <v>9</v>
      </c>
      <c r="B512">
        <v>17</v>
      </c>
      <c r="C512">
        <v>0</v>
      </c>
      <c r="D512">
        <v>0</v>
      </c>
      <c r="E512">
        <v>1</v>
      </c>
      <c r="F512" t="s">
        <v>24</v>
      </c>
      <c r="G512" t="s">
        <v>11</v>
      </c>
      <c r="H512" t="s">
        <v>18</v>
      </c>
      <c r="I512" t="s">
        <v>13</v>
      </c>
      <c r="J512">
        <v>0</v>
      </c>
      <c r="K512" t="s">
        <v>113</v>
      </c>
      <c r="L512" t="s">
        <v>109</v>
      </c>
      <c r="M512" t="s">
        <v>94</v>
      </c>
      <c r="N512" t="s">
        <v>112</v>
      </c>
      <c r="O512" t="s">
        <v>110</v>
      </c>
    </row>
    <row r="513" spans="1:15" x14ac:dyDescent="0.3">
      <c r="A513" t="s">
        <v>9</v>
      </c>
      <c r="B513">
        <v>47</v>
      </c>
      <c r="C513">
        <v>1</v>
      </c>
      <c r="D513">
        <v>1</v>
      </c>
      <c r="E513">
        <v>0</v>
      </c>
      <c r="F513" t="s">
        <v>41</v>
      </c>
      <c r="G513" t="s">
        <v>16</v>
      </c>
      <c r="H513" t="s">
        <v>12</v>
      </c>
      <c r="I513" t="s">
        <v>13</v>
      </c>
      <c r="J513">
        <v>1</v>
      </c>
      <c r="K513" t="s">
        <v>108</v>
      </c>
      <c r="L513" t="s">
        <v>95</v>
      </c>
      <c r="M513" t="s">
        <v>111</v>
      </c>
      <c r="N513" t="s">
        <v>116</v>
      </c>
      <c r="O513" t="s">
        <v>115</v>
      </c>
    </row>
    <row r="514" spans="1:15" x14ac:dyDescent="0.3">
      <c r="A514" t="s">
        <v>14</v>
      </c>
      <c r="B514">
        <v>51</v>
      </c>
      <c r="C514">
        <v>0</v>
      </c>
      <c r="D514">
        <v>0</v>
      </c>
      <c r="E514">
        <v>0</v>
      </c>
      <c r="F514" t="s">
        <v>37</v>
      </c>
      <c r="G514" t="s">
        <v>11</v>
      </c>
      <c r="H514" t="s">
        <v>18</v>
      </c>
      <c r="I514" t="s">
        <v>13</v>
      </c>
      <c r="J514">
        <v>0</v>
      </c>
      <c r="K514" t="s">
        <v>108</v>
      </c>
      <c r="L514" t="s">
        <v>109</v>
      </c>
      <c r="M514" t="s">
        <v>111</v>
      </c>
      <c r="N514" t="s">
        <v>112</v>
      </c>
      <c r="O514" t="s">
        <v>110</v>
      </c>
    </row>
    <row r="515" spans="1:15" x14ac:dyDescent="0.3">
      <c r="A515" t="s">
        <v>14</v>
      </c>
      <c r="B515">
        <v>33</v>
      </c>
      <c r="C515">
        <v>1</v>
      </c>
      <c r="D515">
        <v>1</v>
      </c>
      <c r="E515">
        <v>1</v>
      </c>
      <c r="F515" t="s">
        <v>51</v>
      </c>
      <c r="G515" t="s">
        <v>16</v>
      </c>
      <c r="H515" t="s">
        <v>12</v>
      </c>
      <c r="I515" t="s">
        <v>13</v>
      </c>
      <c r="J515">
        <v>1</v>
      </c>
      <c r="K515" t="s">
        <v>114</v>
      </c>
      <c r="L515" t="s">
        <v>95</v>
      </c>
      <c r="M515" t="s">
        <v>94</v>
      </c>
      <c r="N515" t="s">
        <v>116</v>
      </c>
      <c r="O515" t="s">
        <v>115</v>
      </c>
    </row>
    <row r="516" spans="1:15" x14ac:dyDescent="0.3">
      <c r="A516" t="s">
        <v>14</v>
      </c>
      <c r="B516">
        <v>51</v>
      </c>
      <c r="C516">
        <v>1</v>
      </c>
      <c r="D516">
        <v>1</v>
      </c>
      <c r="E516">
        <v>1</v>
      </c>
      <c r="F516" t="s">
        <v>21</v>
      </c>
      <c r="G516" t="s">
        <v>11</v>
      </c>
      <c r="H516" t="s">
        <v>18</v>
      </c>
      <c r="I516" t="s">
        <v>13</v>
      </c>
      <c r="J516">
        <v>1</v>
      </c>
      <c r="K516" t="s">
        <v>108</v>
      </c>
      <c r="L516" t="s">
        <v>95</v>
      </c>
      <c r="M516" t="s">
        <v>94</v>
      </c>
      <c r="N516" t="s">
        <v>116</v>
      </c>
      <c r="O516" t="s">
        <v>115</v>
      </c>
    </row>
    <row r="517" spans="1:15" x14ac:dyDescent="0.3">
      <c r="A517" t="s">
        <v>9</v>
      </c>
      <c r="B517">
        <v>60</v>
      </c>
      <c r="C517">
        <v>0</v>
      </c>
      <c r="D517">
        <v>0</v>
      </c>
      <c r="E517">
        <v>1</v>
      </c>
      <c r="F517" t="s">
        <v>36</v>
      </c>
      <c r="G517" t="s">
        <v>16</v>
      </c>
      <c r="H517" t="s">
        <v>12</v>
      </c>
      <c r="I517" t="s">
        <v>13</v>
      </c>
      <c r="J517">
        <v>0</v>
      </c>
      <c r="K517" t="s">
        <v>108</v>
      </c>
      <c r="L517" t="s">
        <v>109</v>
      </c>
      <c r="M517" t="s">
        <v>94</v>
      </c>
      <c r="N517" t="s">
        <v>112</v>
      </c>
      <c r="O517" t="s">
        <v>110</v>
      </c>
    </row>
    <row r="518" spans="1:15" x14ac:dyDescent="0.3">
      <c r="A518" t="s">
        <v>9</v>
      </c>
      <c r="B518">
        <v>23</v>
      </c>
      <c r="C518">
        <v>0</v>
      </c>
      <c r="D518">
        <v>0</v>
      </c>
      <c r="E518">
        <v>1</v>
      </c>
      <c r="F518" t="s">
        <v>50</v>
      </c>
      <c r="G518" t="s">
        <v>11</v>
      </c>
      <c r="H518" t="s">
        <v>18</v>
      </c>
      <c r="I518" t="s">
        <v>13</v>
      </c>
      <c r="J518">
        <v>0</v>
      </c>
      <c r="K518" t="s">
        <v>117</v>
      </c>
      <c r="L518" t="s">
        <v>109</v>
      </c>
      <c r="M518" t="s">
        <v>94</v>
      </c>
      <c r="N518" t="s">
        <v>112</v>
      </c>
      <c r="O518" t="s">
        <v>110</v>
      </c>
    </row>
    <row r="519" spans="1:15" x14ac:dyDescent="0.3">
      <c r="A519" t="s">
        <v>9</v>
      </c>
      <c r="B519">
        <v>8</v>
      </c>
      <c r="C519">
        <v>0</v>
      </c>
      <c r="D519">
        <v>0</v>
      </c>
      <c r="E519">
        <v>0</v>
      </c>
      <c r="F519" t="s">
        <v>21</v>
      </c>
      <c r="G519" t="s">
        <v>16</v>
      </c>
      <c r="H519" t="s">
        <v>18</v>
      </c>
      <c r="I519" t="s">
        <v>13</v>
      </c>
      <c r="J519">
        <v>0</v>
      </c>
      <c r="K519" t="s">
        <v>118</v>
      </c>
      <c r="L519" t="s">
        <v>109</v>
      </c>
      <c r="M519" t="s">
        <v>111</v>
      </c>
      <c r="N519" t="s">
        <v>112</v>
      </c>
      <c r="O519" t="s">
        <v>110</v>
      </c>
    </row>
    <row r="520" spans="1:15" x14ac:dyDescent="0.3">
      <c r="A520" t="s">
        <v>14</v>
      </c>
      <c r="B520">
        <v>52</v>
      </c>
      <c r="C520">
        <v>0</v>
      </c>
      <c r="D520">
        <v>0</v>
      </c>
      <c r="E520">
        <v>1</v>
      </c>
      <c r="F520" t="s">
        <v>10</v>
      </c>
      <c r="G520" t="s">
        <v>11</v>
      </c>
      <c r="H520" t="s">
        <v>12</v>
      </c>
      <c r="I520" t="s">
        <v>13</v>
      </c>
      <c r="J520">
        <v>0</v>
      </c>
      <c r="K520" t="s">
        <v>108</v>
      </c>
      <c r="L520" t="s">
        <v>109</v>
      </c>
      <c r="M520" t="s">
        <v>94</v>
      </c>
      <c r="N520" t="s">
        <v>112</v>
      </c>
      <c r="O520" t="s">
        <v>110</v>
      </c>
    </row>
    <row r="521" spans="1:15" x14ac:dyDescent="0.3">
      <c r="A521" t="s">
        <v>9</v>
      </c>
      <c r="B521">
        <v>10</v>
      </c>
      <c r="C521">
        <v>1</v>
      </c>
      <c r="D521">
        <v>1</v>
      </c>
      <c r="E521">
        <v>1</v>
      </c>
      <c r="F521" t="s">
        <v>24</v>
      </c>
      <c r="G521" t="s">
        <v>16</v>
      </c>
      <c r="H521" t="s">
        <v>23</v>
      </c>
      <c r="I521" t="s">
        <v>13</v>
      </c>
      <c r="J521">
        <v>1</v>
      </c>
      <c r="K521" t="s">
        <v>118</v>
      </c>
      <c r="L521" t="s">
        <v>95</v>
      </c>
      <c r="M521" t="s">
        <v>94</v>
      </c>
      <c r="N521" t="s">
        <v>116</v>
      </c>
      <c r="O521" t="s">
        <v>115</v>
      </c>
    </row>
    <row r="522" spans="1:15" x14ac:dyDescent="0.3">
      <c r="A522" t="s">
        <v>14</v>
      </c>
      <c r="B522">
        <v>22</v>
      </c>
      <c r="C522">
        <v>1</v>
      </c>
      <c r="D522">
        <v>1</v>
      </c>
      <c r="E522">
        <v>0</v>
      </c>
      <c r="F522" t="s">
        <v>24</v>
      </c>
      <c r="G522" t="s">
        <v>11</v>
      </c>
      <c r="H522" t="s">
        <v>12</v>
      </c>
      <c r="I522" t="s">
        <v>13</v>
      </c>
      <c r="J522">
        <v>1</v>
      </c>
      <c r="K522" t="s">
        <v>117</v>
      </c>
      <c r="L522" t="s">
        <v>95</v>
      </c>
      <c r="M522" t="s">
        <v>111</v>
      </c>
      <c r="N522" t="s">
        <v>116</v>
      </c>
      <c r="O522" t="s">
        <v>115</v>
      </c>
    </row>
    <row r="523" spans="1:15" x14ac:dyDescent="0.3">
      <c r="A523" t="s">
        <v>14</v>
      </c>
      <c r="B523">
        <v>23</v>
      </c>
      <c r="C523">
        <v>1</v>
      </c>
      <c r="D523">
        <v>1</v>
      </c>
      <c r="E523">
        <v>0</v>
      </c>
      <c r="F523" t="s">
        <v>34</v>
      </c>
      <c r="G523" t="s">
        <v>16</v>
      </c>
      <c r="H523" t="s">
        <v>23</v>
      </c>
      <c r="I523" t="s">
        <v>13</v>
      </c>
      <c r="J523">
        <v>1</v>
      </c>
      <c r="K523" t="s">
        <v>117</v>
      </c>
      <c r="L523" t="s">
        <v>95</v>
      </c>
      <c r="M523" t="s">
        <v>111</v>
      </c>
      <c r="N523" t="s">
        <v>116</v>
      </c>
      <c r="O523" t="s">
        <v>115</v>
      </c>
    </row>
    <row r="524" spans="1:15" x14ac:dyDescent="0.3">
      <c r="A524" t="s">
        <v>9</v>
      </c>
      <c r="B524">
        <v>13</v>
      </c>
      <c r="C524">
        <v>0</v>
      </c>
      <c r="D524">
        <v>0</v>
      </c>
      <c r="E524">
        <v>1</v>
      </c>
      <c r="F524" t="s">
        <v>52</v>
      </c>
      <c r="G524" t="s">
        <v>11</v>
      </c>
      <c r="H524" t="s">
        <v>23</v>
      </c>
      <c r="I524" t="s">
        <v>13</v>
      </c>
      <c r="J524">
        <v>0</v>
      </c>
      <c r="K524" t="s">
        <v>118</v>
      </c>
      <c r="L524" t="s">
        <v>109</v>
      </c>
      <c r="M524" t="s">
        <v>94</v>
      </c>
      <c r="N524" t="s">
        <v>112</v>
      </c>
      <c r="O524" t="s">
        <v>110</v>
      </c>
    </row>
    <row r="525" spans="1:15" x14ac:dyDescent="0.3">
      <c r="A525" t="s">
        <v>9</v>
      </c>
      <c r="B525">
        <v>22</v>
      </c>
      <c r="C525">
        <v>0</v>
      </c>
      <c r="D525">
        <v>0</v>
      </c>
      <c r="E525">
        <v>0</v>
      </c>
      <c r="F525" t="s">
        <v>25</v>
      </c>
      <c r="G525" t="s">
        <v>16</v>
      </c>
      <c r="H525" t="s">
        <v>12</v>
      </c>
      <c r="I525" t="s">
        <v>13</v>
      </c>
      <c r="J525">
        <v>0</v>
      </c>
      <c r="K525" t="s">
        <v>117</v>
      </c>
      <c r="L525" t="s">
        <v>109</v>
      </c>
      <c r="M525" t="s">
        <v>111</v>
      </c>
      <c r="N525" t="s">
        <v>112</v>
      </c>
      <c r="O525" t="s">
        <v>110</v>
      </c>
    </row>
    <row r="526" spans="1:15" x14ac:dyDescent="0.3">
      <c r="A526" t="s">
        <v>14</v>
      </c>
      <c r="B526">
        <v>64</v>
      </c>
      <c r="C526">
        <v>1</v>
      </c>
      <c r="D526">
        <v>1</v>
      </c>
      <c r="E526">
        <v>1</v>
      </c>
      <c r="F526" t="s">
        <v>32</v>
      </c>
      <c r="G526" t="s">
        <v>11</v>
      </c>
      <c r="H526" t="s">
        <v>12</v>
      </c>
      <c r="I526" t="s">
        <v>13</v>
      </c>
      <c r="J526">
        <v>1</v>
      </c>
      <c r="K526" t="s">
        <v>108</v>
      </c>
      <c r="L526" t="s">
        <v>95</v>
      </c>
      <c r="M526" t="s">
        <v>94</v>
      </c>
      <c r="N526" t="s">
        <v>116</v>
      </c>
      <c r="O526" t="s">
        <v>115</v>
      </c>
    </row>
    <row r="527" spans="1:15" x14ac:dyDescent="0.3">
      <c r="A527" t="s">
        <v>9</v>
      </c>
      <c r="B527">
        <v>9</v>
      </c>
      <c r="C527">
        <v>0</v>
      </c>
      <c r="D527">
        <v>0</v>
      </c>
      <c r="E527">
        <v>0</v>
      </c>
      <c r="F527" t="s">
        <v>42</v>
      </c>
      <c r="G527" t="s">
        <v>16</v>
      </c>
      <c r="H527" t="s">
        <v>23</v>
      </c>
      <c r="I527" t="s">
        <v>13</v>
      </c>
      <c r="J527">
        <v>0</v>
      </c>
      <c r="K527" t="s">
        <v>118</v>
      </c>
      <c r="L527" t="s">
        <v>109</v>
      </c>
      <c r="M527" t="s">
        <v>111</v>
      </c>
      <c r="N527" t="s">
        <v>112</v>
      </c>
      <c r="O527" t="s">
        <v>110</v>
      </c>
    </row>
    <row r="528" spans="1:15" x14ac:dyDescent="0.3">
      <c r="A528" t="s">
        <v>9</v>
      </c>
      <c r="B528">
        <v>26</v>
      </c>
      <c r="C528">
        <v>0</v>
      </c>
      <c r="D528">
        <v>0</v>
      </c>
      <c r="E528">
        <v>0</v>
      </c>
      <c r="F528" t="s">
        <v>42</v>
      </c>
      <c r="G528" t="s">
        <v>11</v>
      </c>
      <c r="H528" t="s">
        <v>23</v>
      </c>
      <c r="I528" t="s">
        <v>13</v>
      </c>
      <c r="J528">
        <v>0</v>
      </c>
      <c r="K528" t="s">
        <v>114</v>
      </c>
      <c r="L528" t="s">
        <v>109</v>
      </c>
      <c r="M528" t="s">
        <v>111</v>
      </c>
      <c r="N528" t="s">
        <v>112</v>
      </c>
      <c r="O528" t="s">
        <v>110</v>
      </c>
    </row>
    <row r="529" spans="1:15" x14ac:dyDescent="0.3">
      <c r="A529" t="s">
        <v>14</v>
      </c>
      <c r="B529">
        <v>32</v>
      </c>
      <c r="C529">
        <v>0</v>
      </c>
      <c r="D529">
        <v>0</v>
      </c>
      <c r="E529">
        <v>0</v>
      </c>
      <c r="F529" t="s">
        <v>32</v>
      </c>
      <c r="G529" t="s">
        <v>16</v>
      </c>
      <c r="H529" t="s">
        <v>23</v>
      </c>
      <c r="I529" t="s">
        <v>13</v>
      </c>
      <c r="J529">
        <v>0</v>
      </c>
      <c r="K529" t="s">
        <v>114</v>
      </c>
      <c r="L529" t="s">
        <v>109</v>
      </c>
      <c r="M529" t="s">
        <v>111</v>
      </c>
      <c r="N529" t="s">
        <v>112</v>
      </c>
      <c r="O529" t="s">
        <v>110</v>
      </c>
    </row>
    <row r="530" spans="1:15" x14ac:dyDescent="0.3">
      <c r="A530" t="s">
        <v>9</v>
      </c>
      <c r="B530">
        <v>48</v>
      </c>
      <c r="C530">
        <v>0</v>
      </c>
      <c r="D530">
        <v>0</v>
      </c>
      <c r="E530">
        <v>1</v>
      </c>
      <c r="F530" t="s">
        <v>47</v>
      </c>
      <c r="G530" t="s">
        <v>11</v>
      </c>
      <c r="H530" t="s">
        <v>12</v>
      </c>
      <c r="I530" t="s">
        <v>13</v>
      </c>
      <c r="J530">
        <v>0</v>
      </c>
      <c r="K530" t="s">
        <v>108</v>
      </c>
      <c r="L530" t="s">
        <v>109</v>
      </c>
      <c r="M530" t="s">
        <v>94</v>
      </c>
      <c r="N530" t="s">
        <v>112</v>
      </c>
      <c r="O530" t="s">
        <v>110</v>
      </c>
    </row>
    <row r="531" spans="1:15" x14ac:dyDescent="0.3">
      <c r="A531" t="s">
        <v>14</v>
      </c>
      <c r="B531">
        <v>48</v>
      </c>
      <c r="C531">
        <v>0</v>
      </c>
      <c r="D531">
        <v>1</v>
      </c>
      <c r="E531">
        <v>0</v>
      </c>
      <c r="F531" t="s">
        <v>27</v>
      </c>
      <c r="G531" t="s">
        <v>16</v>
      </c>
      <c r="H531" t="s">
        <v>18</v>
      </c>
      <c r="I531" t="s">
        <v>13</v>
      </c>
      <c r="J531">
        <v>1</v>
      </c>
      <c r="K531" t="s">
        <v>108</v>
      </c>
      <c r="L531" t="s">
        <v>95</v>
      </c>
      <c r="M531" t="s">
        <v>111</v>
      </c>
      <c r="N531" t="s">
        <v>112</v>
      </c>
      <c r="O531" t="s">
        <v>115</v>
      </c>
    </row>
    <row r="532" spans="1:15" x14ac:dyDescent="0.3">
      <c r="A532" t="s">
        <v>9</v>
      </c>
      <c r="B532">
        <v>33</v>
      </c>
      <c r="C532">
        <v>0</v>
      </c>
      <c r="D532">
        <v>0</v>
      </c>
      <c r="E532">
        <v>0</v>
      </c>
      <c r="F532" t="s">
        <v>22</v>
      </c>
      <c r="G532" t="s">
        <v>11</v>
      </c>
      <c r="H532" t="s">
        <v>18</v>
      </c>
      <c r="I532" t="s">
        <v>13</v>
      </c>
      <c r="J532">
        <v>0</v>
      </c>
      <c r="K532" t="s">
        <v>114</v>
      </c>
      <c r="L532" t="s">
        <v>109</v>
      </c>
      <c r="M532" t="s">
        <v>111</v>
      </c>
      <c r="N532" t="s">
        <v>112</v>
      </c>
      <c r="O532" t="s">
        <v>110</v>
      </c>
    </row>
    <row r="533" spans="1:15" x14ac:dyDescent="0.3">
      <c r="A533" t="s">
        <v>9</v>
      </c>
      <c r="B533">
        <v>36</v>
      </c>
      <c r="C533">
        <v>0</v>
      </c>
      <c r="D533">
        <v>0</v>
      </c>
      <c r="E533">
        <v>0</v>
      </c>
      <c r="F533" t="s">
        <v>44</v>
      </c>
      <c r="G533" t="s">
        <v>16</v>
      </c>
      <c r="H533" t="s">
        <v>18</v>
      </c>
      <c r="I533" t="s">
        <v>13</v>
      </c>
      <c r="J533">
        <v>0</v>
      </c>
      <c r="K533" t="s">
        <v>114</v>
      </c>
      <c r="L533" t="s">
        <v>109</v>
      </c>
      <c r="M533" t="s">
        <v>111</v>
      </c>
      <c r="N533" t="s">
        <v>112</v>
      </c>
      <c r="O533" t="s">
        <v>110</v>
      </c>
    </row>
    <row r="534" spans="1:15" x14ac:dyDescent="0.3">
      <c r="A534" t="s">
        <v>9</v>
      </c>
      <c r="B534">
        <v>32</v>
      </c>
      <c r="C534">
        <v>0</v>
      </c>
      <c r="D534">
        <v>0</v>
      </c>
      <c r="E534">
        <v>0</v>
      </c>
      <c r="F534" t="s">
        <v>46</v>
      </c>
      <c r="G534" t="s">
        <v>11</v>
      </c>
      <c r="H534" t="s">
        <v>18</v>
      </c>
      <c r="I534" t="s">
        <v>13</v>
      </c>
      <c r="J534">
        <v>0</v>
      </c>
      <c r="K534" t="s">
        <v>114</v>
      </c>
      <c r="L534" t="s">
        <v>109</v>
      </c>
      <c r="M534" t="s">
        <v>111</v>
      </c>
      <c r="N534" t="s">
        <v>112</v>
      </c>
      <c r="O534" t="s">
        <v>110</v>
      </c>
    </row>
    <row r="535" spans="1:15" x14ac:dyDescent="0.3">
      <c r="A535" t="s">
        <v>14</v>
      </c>
      <c r="B535">
        <v>53</v>
      </c>
      <c r="C535">
        <v>0</v>
      </c>
      <c r="D535">
        <v>0</v>
      </c>
      <c r="E535">
        <v>0</v>
      </c>
      <c r="F535" t="s">
        <v>19</v>
      </c>
      <c r="G535" t="s">
        <v>16</v>
      </c>
      <c r="H535" t="s">
        <v>12</v>
      </c>
      <c r="I535" t="s">
        <v>13</v>
      </c>
      <c r="J535">
        <v>0</v>
      </c>
      <c r="K535" t="s">
        <v>108</v>
      </c>
      <c r="L535" t="s">
        <v>109</v>
      </c>
      <c r="M535" t="s">
        <v>111</v>
      </c>
      <c r="N535" t="s">
        <v>112</v>
      </c>
      <c r="O535" t="s">
        <v>110</v>
      </c>
    </row>
    <row r="536" spans="1:15" x14ac:dyDescent="0.3">
      <c r="A536" t="s">
        <v>9</v>
      </c>
      <c r="B536">
        <v>9</v>
      </c>
      <c r="C536">
        <v>1</v>
      </c>
      <c r="D536">
        <v>1</v>
      </c>
      <c r="E536">
        <v>0</v>
      </c>
      <c r="F536" t="s">
        <v>22</v>
      </c>
      <c r="G536" t="s">
        <v>11</v>
      </c>
      <c r="H536" t="s">
        <v>18</v>
      </c>
      <c r="I536" t="s">
        <v>13</v>
      </c>
      <c r="J536">
        <v>1</v>
      </c>
      <c r="K536" t="s">
        <v>118</v>
      </c>
      <c r="L536" t="s">
        <v>95</v>
      </c>
      <c r="M536" t="s">
        <v>111</v>
      </c>
      <c r="N536" t="s">
        <v>116</v>
      </c>
      <c r="O536" t="s">
        <v>115</v>
      </c>
    </row>
    <row r="537" spans="1:15" x14ac:dyDescent="0.3">
      <c r="A537" t="s">
        <v>14</v>
      </c>
      <c r="B537">
        <v>9</v>
      </c>
      <c r="C537">
        <v>1</v>
      </c>
      <c r="D537">
        <v>1</v>
      </c>
      <c r="E537">
        <v>0</v>
      </c>
      <c r="F537" t="s">
        <v>30</v>
      </c>
      <c r="G537" t="s">
        <v>16</v>
      </c>
      <c r="H537" t="s">
        <v>12</v>
      </c>
      <c r="I537" t="s">
        <v>13</v>
      </c>
      <c r="J537">
        <v>1</v>
      </c>
      <c r="K537" t="s">
        <v>118</v>
      </c>
      <c r="L537" t="s">
        <v>95</v>
      </c>
      <c r="M537" t="s">
        <v>111</v>
      </c>
      <c r="N537" t="s">
        <v>116</v>
      </c>
      <c r="O537" t="s">
        <v>115</v>
      </c>
    </row>
    <row r="538" spans="1:15" x14ac:dyDescent="0.3">
      <c r="A538" t="s">
        <v>14</v>
      </c>
      <c r="B538">
        <v>40</v>
      </c>
      <c r="C538">
        <v>0</v>
      </c>
      <c r="D538">
        <v>0</v>
      </c>
      <c r="E538">
        <v>1</v>
      </c>
      <c r="F538" t="s">
        <v>24</v>
      </c>
      <c r="G538" t="s">
        <v>11</v>
      </c>
      <c r="H538" t="s">
        <v>12</v>
      </c>
      <c r="I538" t="s">
        <v>13</v>
      </c>
      <c r="J538">
        <v>0</v>
      </c>
      <c r="K538" t="s">
        <v>114</v>
      </c>
      <c r="L538" t="s">
        <v>109</v>
      </c>
      <c r="M538" t="s">
        <v>94</v>
      </c>
      <c r="N538" t="s">
        <v>112</v>
      </c>
      <c r="O538" t="s">
        <v>110</v>
      </c>
    </row>
    <row r="539" spans="1:15" x14ac:dyDescent="0.3">
      <c r="A539" t="s">
        <v>9</v>
      </c>
      <c r="B539">
        <v>55</v>
      </c>
      <c r="C539">
        <v>1</v>
      </c>
      <c r="D539">
        <v>1</v>
      </c>
      <c r="E539">
        <v>1</v>
      </c>
      <c r="F539" t="s">
        <v>37</v>
      </c>
      <c r="G539" t="s">
        <v>16</v>
      </c>
      <c r="H539" t="s">
        <v>23</v>
      </c>
      <c r="I539" t="s">
        <v>13</v>
      </c>
      <c r="J539">
        <v>1</v>
      </c>
      <c r="K539" t="s">
        <v>108</v>
      </c>
      <c r="L539" t="s">
        <v>95</v>
      </c>
      <c r="M539" t="s">
        <v>94</v>
      </c>
      <c r="N539" t="s">
        <v>116</v>
      </c>
      <c r="O539" t="s">
        <v>115</v>
      </c>
    </row>
    <row r="540" spans="1:15" x14ac:dyDescent="0.3">
      <c r="A540" t="s">
        <v>14</v>
      </c>
      <c r="B540">
        <v>34</v>
      </c>
      <c r="C540">
        <v>0</v>
      </c>
      <c r="D540">
        <v>0</v>
      </c>
      <c r="E540">
        <v>1</v>
      </c>
      <c r="F540" t="s">
        <v>31</v>
      </c>
      <c r="G540" t="s">
        <v>11</v>
      </c>
      <c r="H540" t="s">
        <v>23</v>
      </c>
      <c r="I540" t="s">
        <v>13</v>
      </c>
      <c r="J540">
        <v>0</v>
      </c>
      <c r="K540" t="s">
        <v>114</v>
      </c>
      <c r="L540" t="s">
        <v>109</v>
      </c>
      <c r="M540" t="s">
        <v>94</v>
      </c>
      <c r="N540" t="s">
        <v>112</v>
      </c>
      <c r="O540" t="s">
        <v>110</v>
      </c>
    </row>
    <row r="541" spans="1:15" x14ac:dyDescent="0.3">
      <c r="A541" t="s">
        <v>9</v>
      </c>
      <c r="B541">
        <v>19</v>
      </c>
      <c r="C541">
        <v>1</v>
      </c>
      <c r="D541">
        <v>1</v>
      </c>
      <c r="E541">
        <v>1</v>
      </c>
      <c r="F541" t="s">
        <v>32</v>
      </c>
      <c r="G541" t="s">
        <v>16</v>
      </c>
      <c r="H541" t="s">
        <v>12</v>
      </c>
      <c r="I541" t="s">
        <v>13</v>
      </c>
      <c r="J541">
        <v>1</v>
      </c>
      <c r="K541" t="s">
        <v>117</v>
      </c>
      <c r="L541" t="s">
        <v>95</v>
      </c>
      <c r="M541" t="s">
        <v>94</v>
      </c>
      <c r="N541" t="s">
        <v>116</v>
      </c>
      <c r="O541" t="s">
        <v>115</v>
      </c>
    </row>
    <row r="542" spans="1:15" x14ac:dyDescent="0.3">
      <c r="A542" t="s">
        <v>14</v>
      </c>
      <c r="B542">
        <v>48</v>
      </c>
      <c r="C542">
        <v>1</v>
      </c>
      <c r="D542">
        <v>1</v>
      </c>
      <c r="E542">
        <v>1</v>
      </c>
      <c r="F542" t="s">
        <v>45</v>
      </c>
      <c r="G542" t="s">
        <v>11</v>
      </c>
      <c r="H542" t="s">
        <v>18</v>
      </c>
      <c r="I542" t="s">
        <v>13</v>
      </c>
      <c r="J542">
        <v>1</v>
      </c>
      <c r="K542" t="s">
        <v>108</v>
      </c>
      <c r="L542" t="s">
        <v>95</v>
      </c>
      <c r="M542" t="s">
        <v>94</v>
      </c>
      <c r="N542" t="s">
        <v>116</v>
      </c>
      <c r="O542" t="s">
        <v>115</v>
      </c>
    </row>
    <row r="543" spans="1:15" x14ac:dyDescent="0.3">
      <c r="A543" t="s">
        <v>9</v>
      </c>
      <c r="B543">
        <v>30</v>
      </c>
      <c r="C543">
        <v>1</v>
      </c>
      <c r="D543">
        <v>1</v>
      </c>
      <c r="E543">
        <v>0</v>
      </c>
      <c r="F543" t="s">
        <v>10</v>
      </c>
      <c r="G543" t="s">
        <v>16</v>
      </c>
      <c r="H543" t="s">
        <v>12</v>
      </c>
      <c r="I543" t="s">
        <v>13</v>
      </c>
      <c r="J543">
        <v>1</v>
      </c>
      <c r="K543" t="s">
        <v>114</v>
      </c>
      <c r="L543" t="s">
        <v>95</v>
      </c>
      <c r="M543" t="s">
        <v>111</v>
      </c>
      <c r="N543" t="s">
        <v>116</v>
      </c>
      <c r="O543" t="s">
        <v>115</v>
      </c>
    </row>
    <row r="544" spans="1:15" x14ac:dyDescent="0.3">
      <c r="A544" t="s">
        <v>9</v>
      </c>
      <c r="B544">
        <v>27</v>
      </c>
      <c r="C544">
        <v>0</v>
      </c>
      <c r="D544">
        <v>0</v>
      </c>
      <c r="E544">
        <v>0</v>
      </c>
      <c r="F544" t="s">
        <v>47</v>
      </c>
      <c r="G544" t="s">
        <v>11</v>
      </c>
      <c r="H544" t="s">
        <v>12</v>
      </c>
      <c r="I544" t="s">
        <v>13</v>
      </c>
      <c r="J544">
        <v>0</v>
      </c>
      <c r="K544" t="s">
        <v>114</v>
      </c>
      <c r="L544" t="s">
        <v>109</v>
      </c>
      <c r="M544" t="s">
        <v>111</v>
      </c>
      <c r="N544" t="s">
        <v>112</v>
      </c>
      <c r="O544" t="s">
        <v>110</v>
      </c>
    </row>
    <row r="545" spans="1:15" x14ac:dyDescent="0.3">
      <c r="A545" t="s">
        <v>14</v>
      </c>
      <c r="B545">
        <v>49</v>
      </c>
      <c r="C545">
        <v>0</v>
      </c>
      <c r="D545">
        <v>0</v>
      </c>
      <c r="E545">
        <v>0</v>
      </c>
      <c r="F545" t="s">
        <v>28</v>
      </c>
      <c r="G545" t="s">
        <v>16</v>
      </c>
      <c r="H545" t="s">
        <v>18</v>
      </c>
      <c r="I545" t="s">
        <v>13</v>
      </c>
      <c r="J545">
        <v>0</v>
      </c>
      <c r="K545" t="s">
        <v>108</v>
      </c>
      <c r="L545" t="s">
        <v>109</v>
      </c>
      <c r="M545" t="s">
        <v>111</v>
      </c>
      <c r="N545" t="s">
        <v>112</v>
      </c>
      <c r="O545" t="s">
        <v>110</v>
      </c>
    </row>
    <row r="546" spans="1:15" x14ac:dyDescent="0.3">
      <c r="A546" t="s">
        <v>9</v>
      </c>
      <c r="B546">
        <v>28</v>
      </c>
      <c r="C546">
        <v>0</v>
      </c>
      <c r="D546">
        <v>0</v>
      </c>
      <c r="E546">
        <v>1</v>
      </c>
      <c r="F546" t="s">
        <v>34</v>
      </c>
      <c r="G546" t="s">
        <v>11</v>
      </c>
      <c r="H546" t="s">
        <v>18</v>
      </c>
      <c r="I546" t="s">
        <v>13</v>
      </c>
      <c r="J546">
        <v>0</v>
      </c>
      <c r="K546" t="s">
        <v>114</v>
      </c>
      <c r="L546" t="s">
        <v>109</v>
      </c>
      <c r="M546" t="s">
        <v>94</v>
      </c>
      <c r="N546" t="s">
        <v>112</v>
      </c>
      <c r="O546" t="s">
        <v>110</v>
      </c>
    </row>
    <row r="547" spans="1:15" x14ac:dyDescent="0.3">
      <c r="A547" t="s">
        <v>9</v>
      </c>
      <c r="B547">
        <v>29</v>
      </c>
      <c r="C547">
        <v>1</v>
      </c>
      <c r="D547">
        <v>1</v>
      </c>
      <c r="E547">
        <v>1</v>
      </c>
      <c r="F547" t="s">
        <v>41</v>
      </c>
      <c r="G547" t="s">
        <v>16</v>
      </c>
      <c r="H547" t="s">
        <v>23</v>
      </c>
      <c r="I547" t="s">
        <v>13</v>
      </c>
      <c r="J547">
        <v>1</v>
      </c>
      <c r="K547" t="s">
        <v>114</v>
      </c>
      <c r="L547" t="s">
        <v>95</v>
      </c>
      <c r="M547" t="s">
        <v>94</v>
      </c>
      <c r="N547" t="s">
        <v>116</v>
      </c>
      <c r="O547" t="s">
        <v>115</v>
      </c>
    </row>
    <row r="548" spans="1:15" x14ac:dyDescent="0.3">
      <c r="A548" t="s">
        <v>14</v>
      </c>
      <c r="B548">
        <v>65</v>
      </c>
      <c r="C548">
        <v>1</v>
      </c>
      <c r="D548">
        <v>1</v>
      </c>
      <c r="E548">
        <v>0</v>
      </c>
      <c r="F548" t="s">
        <v>25</v>
      </c>
      <c r="G548" t="s">
        <v>11</v>
      </c>
      <c r="H548" t="s">
        <v>23</v>
      </c>
      <c r="I548" t="s">
        <v>13</v>
      </c>
      <c r="J548">
        <v>1</v>
      </c>
      <c r="K548" t="s">
        <v>119</v>
      </c>
      <c r="L548" t="s">
        <v>95</v>
      </c>
      <c r="M548" t="s">
        <v>111</v>
      </c>
      <c r="N548" t="s">
        <v>116</v>
      </c>
      <c r="O548" t="s">
        <v>115</v>
      </c>
    </row>
    <row r="549" spans="1:15" x14ac:dyDescent="0.3">
      <c r="A549" t="s">
        <v>14</v>
      </c>
      <c r="B549">
        <v>36</v>
      </c>
      <c r="C549">
        <v>0</v>
      </c>
      <c r="D549">
        <v>0</v>
      </c>
      <c r="E549">
        <v>1</v>
      </c>
      <c r="F549" t="s">
        <v>44</v>
      </c>
      <c r="G549" t="s">
        <v>16</v>
      </c>
      <c r="H549" t="s">
        <v>12</v>
      </c>
      <c r="I549" t="s">
        <v>13</v>
      </c>
      <c r="J549">
        <v>0</v>
      </c>
      <c r="K549" t="s">
        <v>114</v>
      </c>
      <c r="L549" t="s">
        <v>109</v>
      </c>
      <c r="M549" t="s">
        <v>94</v>
      </c>
      <c r="N549" t="s">
        <v>112</v>
      </c>
      <c r="O549" t="s">
        <v>110</v>
      </c>
    </row>
    <row r="550" spans="1:15" x14ac:dyDescent="0.3">
      <c r="A550" t="s">
        <v>9</v>
      </c>
      <c r="B550">
        <v>55</v>
      </c>
      <c r="C550">
        <v>1</v>
      </c>
      <c r="D550">
        <v>1</v>
      </c>
      <c r="E550">
        <v>0</v>
      </c>
      <c r="F550" t="s">
        <v>26</v>
      </c>
      <c r="G550" t="s">
        <v>11</v>
      </c>
      <c r="H550" t="s">
        <v>12</v>
      </c>
      <c r="I550" t="s">
        <v>13</v>
      </c>
      <c r="J550">
        <v>1</v>
      </c>
      <c r="K550" t="s">
        <v>108</v>
      </c>
      <c r="L550" t="s">
        <v>95</v>
      </c>
      <c r="M550" t="s">
        <v>111</v>
      </c>
      <c r="N550" t="s">
        <v>116</v>
      </c>
      <c r="O550" t="s">
        <v>115</v>
      </c>
    </row>
    <row r="551" spans="1:15" x14ac:dyDescent="0.3">
      <c r="A551" t="s">
        <v>14</v>
      </c>
      <c r="B551">
        <v>22</v>
      </c>
      <c r="C551">
        <v>0</v>
      </c>
      <c r="D551">
        <v>0</v>
      </c>
      <c r="E551">
        <v>1</v>
      </c>
      <c r="F551" t="s">
        <v>41</v>
      </c>
      <c r="G551" t="s">
        <v>16</v>
      </c>
      <c r="H551" t="s">
        <v>12</v>
      </c>
      <c r="I551" t="s">
        <v>13</v>
      </c>
      <c r="J551">
        <v>0</v>
      </c>
      <c r="K551" t="s">
        <v>117</v>
      </c>
      <c r="L551" t="s">
        <v>109</v>
      </c>
      <c r="M551" t="s">
        <v>94</v>
      </c>
      <c r="N551" t="s">
        <v>112</v>
      </c>
      <c r="O551" t="s">
        <v>110</v>
      </c>
    </row>
    <row r="552" spans="1:15" x14ac:dyDescent="0.3">
      <c r="A552" t="s">
        <v>14</v>
      </c>
      <c r="B552">
        <v>26</v>
      </c>
      <c r="C552">
        <v>1</v>
      </c>
      <c r="D552">
        <v>1</v>
      </c>
      <c r="E552">
        <v>0</v>
      </c>
      <c r="F552" t="s">
        <v>22</v>
      </c>
      <c r="G552" t="s">
        <v>11</v>
      </c>
      <c r="H552" t="s">
        <v>23</v>
      </c>
      <c r="I552" t="s">
        <v>13</v>
      </c>
      <c r="J552">
        <v>1</v>
      </c>
      <c r="K552" t="s">
        <v>114</v>
      </c>
      <c r="L552" t="s">
        <v>95</v>
      </c>
      <c r="M552" t="s">
        <v>111</v>
      </c>
      <c r="N552" t="s">
        <v>116</v>
      </c>
      <c r="O552" t="s">
        <v>115</v>
      </c>
    </row>
    <row r="553" spans="1:15" x14ac:dyDescent="0.3">
      <c r="A553" t="s">
        <v>14</v>
      </c>
      <c r="B553">
        <v>31</v>
      </c>
      <c r="C553">
        <v>1</v>
      </c>
      <c r="D553">
        <v>1</v>
      </c>
      <c r="E553">
        <v>0</v>
      </c>
      <c r="F553" t="s">
        <v>38</v>
      </c>
      <c r="G553" t="s">
        <v>16</v>
      </c>
      <c r="H553" t="s">
        <v>23</v>
      </c>
      <c r="I553" t="s">
        <v>13</v>
      </c>
      <c r="J553">
        <v>1</v>
      </c>
      <c r="K553" t="s">
        <v>114</v>
      </c>
      <c r="L553" t="s">
        <v>95</v>
      </c>
      <c r="M553" t="s">
        <v>111</v>
      </c>
      <c r="N553" t="s">
        <v>116</v>
      </c>
      <c r="O553" t="s">
        <v>115</v>
      </c>
    </row>
    <row r="554" spans="1:15" x14ac:dyDescent="0.3">
      <c r="A554" t="s">
        <v>9</v>
      </c>
      <c r="B554">
        <v>50</v>
      </c>
      <c r="C554">
        <v>0</v>
      </c>
      <c r="D554">
        <v>0</v>
      </c>
      <c r="E554">
        <v>0</v>
      </c>
      <c r="F554" t="s">
        <v>46</v>
      </c>
      <c r="G554" t="s">
        <v>11</v>
      </c>
      <c r="H554" t="s">
        <v>12</v>
      </c>
      <c r="I554" t="s">
        <v>13</v>
      </c>
      <c r="J554">
        <v>0</v>
      </c>
      <c r="K554" t="s">
        <v>108</v>
      </c>
      <c r="L554" t="s">
        <v>109</v>
      </c>
      <c r="M554" t="s">
        <v>111</v>
      </c>
      <c r="N554" t="s">
        <v>112</v>
      </c>
      <c r="O554" t="s">
        <v>110</v>
      </c>
    </row>
    <row r="555" spans="1:15" x14ac:dyDescent="0.3">
      <c r="A555" t="s">
        <v>14</v>
      </c>
      <c r="B555">
        <v>25</v>
      </c>
      <c r="C555">
        <v>0</v>
      </c>
      <c r="D555">
        <v>0</v>
      </c>
      <c r="E555">
        <v>0</v>
      </c>
      <c r="F555" t="s">
        <v>35</v>
      </c>
      <c r="G555" t="s">
        <v>16</v>
      </c>
      <c r="H555" t="s">
        <v>23</v>
      </c>
      <c r="I555" t="s">
        <v>13</v>
      </c>
      <c r="J555">
        <v>0</v>
      </c>
      <c r="K555" t="s">
        <v>114</v>
      </c>
      <c r="L555" t="s">
        <v>109</v>
      </c>
      <c r="M555" t="s">
        <v>111</v>
      </c>
      <c r="N555" t="s">
        <v>112</v>
      </c>
      <c r="O555" t="s">
        <v>110</v>
      </c>
    </row>
    <row r="556" spans="1:15" x14ac:dyDescent="0.3">
      <c r="A556" t="s">
        <v>9</v>
      </c>
      <c r="B556">
        <v>34</v>
      </c>
      <c r="C556">
        <v>1</v>
      </c>
      <c r="D556">
        <v>1</v>
      </c>
      <c r="E556">
        <v>0</v>
      </c>
      <c r="F556" t="s">
        <v>22</v>
      </c>
      <c r="G556" t="s">
        <v>11</v>
      </c>
      <c r="H556" t="s">
        <v>12</v>
      </c>
      <c r="I556" t="s">
        <v>13</v>
      </c>
      <c r="J556">
        <v>1</v>
      </c>
      <c r="K556" t="s">
        <v>114</v>
      </c>
      <c r="L556" t="s">
        <v>95</v>
      </c>
      <c r="M556" t="s">
        <v>111</v>
      </c>
      <c r="N556" t="s">
        <v>116</v>
      </c>
      <c r="O556" t="s">
        <v>115</v>
      </c>
    </row>
    <row r="557" spans="1:15" x14ac:dyDescent="0.3">
      <c r="A557" t="s">
        <v>9</v>
      </c>
      <c r="B557">
        <v>54</v>
      </c>
      <c r="C557">
        <v>0</v>
      </c>
      <c r="D557">
        <v>0</v>
      </c>
      <c r="E557">
        <v>0</v>
      </c>
      <c r="F557" t="s">
        <v>10</v>
      </c>
      <c r="G557" t="s">
        <v>16</v>
      </c>
      <c r="H557" t="s">
        <v>23</v>
      </c>
      <c r="I557" t="s">
        <v>13</v>
      </c>
      <c r="J557">
        <v>0</v>
      </c>
      <c r="K557" t="s">
        <v>108</v>
      </c>
      <c r="L557" t="s">
        <v>109</v>
      </c>
      <c r="M557" t="s">
        <v>111</v>
      </c>
      <c r="N557" t="s">
        <v>112</v>
      </c>
      <c r="O557" t="s">
        <v>110</v>
      </c>
    </row>
    <row r="558" spans="1:15" x14ac:dyDescent="0.3">
      <c r="A558" t="s">
        <v>9</v>
      </c>
      <c r="B558">
        <v>35</v>
      </c>
      <c r="C558">
        <v>1</v>
      </c>
      <c r="D558">
        <v>1</v>
      </c>
      <c r="E558">
        <v>0</v>
      </c>
      <c r="F558" t="s">
        <v>40</v>
      </c>
      <c r="G558" t="s">
        <v>11</v>
      </c>
      <c r="H558" t="s">
        <v>12</v>
      </c>
      <c r="I558" t="s">
        <v>13</v>
      </c>
      <c r="J558">
        <v>1</v>
      </c>
      <c r="K558" t="s">
        <v>114</v>
      </c>
      <c r="L558" t="s">
        <v>95</v>
      </c>
      <c r="M558" t="s">
        <v>111</v>
      </c>
      <c r="N558" t="s">
        <v>116</v>
      </c>
      <c r="O558" t="s">
        <v>115</v>
      </c>
    </row>
    <row r="559" spans="1:15" x14ac:dyDescent="0.3">
      <c r="A559" t="s">
        <v>14</v>
      </c>
      <c r="B559">
        <v>29</v>
      </c>
      <c r="C559">
        <v>1</v>
      </c>
      <c r="D559">
        <v>1</v>
      </c>
      <c r="E559">
        <v>1</v>
      </c>
      <c r="F559" t="s">
        <v>27</v>
      </c>
      <c r="G559" t="s">
        <v>16</v>
      </c>
      <c r="H559" t="s">
        <v>12</v>
      </c>
      <c r="I559" t="s">
        <v>13</v>
      </c>
      <c r="J559">
        <v>1</v>
      </c>
      <c r="K559" t="s">
        <v>114</v>
      </c>
      <c r="L559" t="s">
        <v>95</v>
      </c>
      <c r="M559" t="s">
        <v>94</v>
      </c>
      <c r="N559" t="s">
        <v>116</v>
      </c>
      <c r="O559" t="s">
        <v>115</v>
      </c>
    </row>
    <row r="560" spans="1:15" x14ac:dyDescent="0.3">
      <c r="A560" t="s">
        <v>9</v>
      </c>
      <c r="B560">
        <v>18</v>
      </c>
      <c r="C560">
        <v>1</v>
      </c>
      <c r="D560">
        <v>1</v>
      </c>
      <c r="E560">
        <v>0</v>
      </c>
      <c r="F560" t="s">
        <v>46</v>
      </c>
      <c r="G560" t="s">
        <v>11</v>
      </c>
      <c r="H560" t="s">
        <v>18</v>
      </c>
      <c r="I560" t="s">
        <v>13</v>
      </c>
      <c r="J560">
        <v>1</v>
      </c>
      <c r="K560" t="s">
        <v>113</v>
      </c>
      <c r="L560" t="s">
        <v>95</v>
      </c>
      <c r="M560" t="s">
        <v>111</v>
      </c>
      <c r="N560" t="s">
        <v>116</v>
      </c>
      <c r="O560" t="s">
        <v>115</v>
      </c>
    </row>
    <row r="561" spans="1:15" x14ac:dyDescent="0.3">
      <c r="A561" t="s">
        <v>9</v>
      </c>
      <c r="B561">
        <v>12</v>
      </c>
      <c r="C561">
        <v>1</v>
      </c>
      <c r="D561">
        <v>1</v>
      </c>
      <c r="E561">
        <v>1</v>
      </c>
      <c r="F561" t="s">
        <v>52</v>
      </c>
      <c r="G561" t="s">
        <v>16</v>
      </c>
      <c r="H561" t="s">
        <v>23</v>
      </c>
      <c r="I561" t="s">
        <v>13</v>
      </c>
      <c r="J561">
        <v>1</v>
      </c>
      <c r="K561" t="s">
        <v>118</v>
      </c>
      <c r="L561" t="s">
        <v>95</v>
      </c>
      <c r="M561" t="s">
        <v>94</v>
      </c>
      <c r="N561" t="s">
        <v>116</v>
      </c>
      <c r="O561" t="s">
        <v>115</v>
      </c>
    </row>
    <row r="562" spans="1:15" x14ac:dyDescent="0.3">
      <c r="A562" t="s">
        <v>9</v>
      </c>
      <c r="B562">
        <v>19</v>
      </c>
      <c r="C562">
        <v>0</v>
      </c>
      <c r="D562">
        <v>0</v>
      </c>
      <c r="E562">
        <v>0</v>
      </c>
      <c r="F562" t="s">
        <v>39</v>
      </c>
      <c r="G562" t="s">
        <v>11</v>
      </c>
      <c r="H562" t="s">
        <v>18</v>
      </c>
      <c r="I562" t="s">
        <v>13</v>
      </c>
      <c r="J562">
        <v>0</v>
      </c>
      <c r="K562" t="s">
        <v>117</v>
      </c>
      <c r="L562" t="s">
        <v>109</v>
      </c>
      <c r="M562" t="s">
        <v>111</v>
      </c>
      <c r="N562" t="s">
        <v>112</v>
      </c>
      <c r="O562" t="s">
        <v>110</v>
      </c>
    </row>
    <row r="563" spans="1:15" x14ac:dyDescent="0.3">
      <c r="A563" t="s">
        <v>9</v>
      </c>
      <c r="B563">
        <v>38</v>
      </c>
      <c r="C563">
        <v>1</v>
      </c>
      <c r="D563">
        <v>1</v>
      </c>
      <c r="E563">
        <v>0</v>
      </c>
      <c r="F563" t="s">
        <v>26</v>
      </c>
      <c r="G563" t="s">
        <v>16</v>
      </c>
      <c r="H563" t="s">
        <v>18</v>
      </c>
      <c r="I563" t="s">
        <v>13</v>
      </c>
      <c r="J563">
        <v>1</v>
      </c>
      <c r="K563" t="s">
        <v>114</v>
      </c>
      <c r="L563" t="s">
        <v>95</v>
      </c>
      <c r="M563" t="s">
        <v>111</v>
      </c>
      <c r="N563" t="s">
        <v>116</v>
      </c>
      <c r="O563" t="s">
        <v>115</v>
      </c>
    </row>
    <row r="564" spans="1:15" x14ac:dyDescent="0.3">
      <c r="A564" t="s">
        <v>14</v>
      </c>
      <c r="B564">
        <v>46</v>
      </c>
      <c r="C564">
        <v>0</v>
      </c>
      <c r="D564">
        <v>0</v>
      </c>
      <c r="E564">
        <v>0</v>
      </c>
      <c r="F564" t="s">
        <v>41</v>
      </c>
      <c r="G564" t="s">
        <v>11</v>
      </c>
      <c r="H564" t="s">
        <v>18</v>
      </c>
      <c r="I564" t="s">
        <v>13</v>
      </c>
      <c r="J564">
        <v>0</v>
      </c>
      <c r="K564" t="s">
        <v>108</v>
      </c>
      <c r="L564" t="s">
        <v>109</v>
      </c>
      <c r="M564" t="s">
        <v>111</v>
      </c>
      <c r="N564" t="s">
        <v>112</v>
      </c>
      <c r="O564" t="s">
        <v>110</v>
      </c>
    </row>
    <row r="565" spans="1:15" x14ac:dyDescent="0.3">
      <c r="A565" t="s">
        <v>9</v>
      </c>
      <c r="B565">
        <v>9</v>
      </c>
      <c r="C565">
        <v>1</v>
      </c>
      <c r="D565">
        <v>1</v>
      </c>
      <c r="E565">
        <v>0</v>
      </c>
      <c r="F565" t="s">
        <v>24</v>
      </c>
      <c r="G565" t="s">
        <v>16</v>
      </c>
      <c r="H565" t="s">
        <v>12</v>
      </c>
      <c r="I565" t="s">
        <v>13</v>
      </c>
      <c r="J565">
        <v>1</v>
      </c>
      <c r="K565" t="s">
        <v>118</v>
      </c>
      <c r="L565" t="s">
        <v>95</v>
      </c>
      <c r="M565" t="s">
        <v>111</v>
      </c>
      <c r="N565" t="s">
        <v>116</v>
      </c>
      <c r="O565" t="s">
        <v>115</v>
      </c>
    </row>
    <row r="566" spans="1:15" x14ac:dyDescent="0.3">
      <c r="A566" t="s">
        <v>9</v>
      </c>
      <c r="B566">
        <v>42</v>
      </c>
      <c r="C566">
        <v>1</v>
      </c>
      <c r="D566">
        <v>1</v>
      </c>
      <c r="E566">
        <v>1</v>
      </c>
      <c r="F566" t="s">
        <v>30</v>
      </c>
      <c r="G566" t="s">
        <v>11</v>
      </c>
      <c r="H566" t="s">
        <v>12</v>
      </c>
      <c r="I566" t="s">
        <v>13</v>
      </c>
      <c r="J566">
        <v>1</v>
      </c>
      <c r="K566" t="s">
        <v>114</v>
      </c>
      <c r="L566" t="s">
        <v>95</v>
      </c>
      <c r="M566" t="s">
        <v>94</v>
      </c>
      <c r="N566" t="s">
        <v>116</v>
      </c>
      <c r="O566" t="s">
        <v>115</v>
      </c>
    </row>
    <row r="567" spans="1:15" x14ac:dyDescent="0.3">
      <c r="A567" t="s">
        <v>14</v>
      </c>
      <c r="B567">
        <v>23</v>
      </c>
      <c r="C567">
        <v>0</v>
      </c>
      <c r="D567">
        <v>0</v>
      </c>
      <c r="E567">
        <v>1</v>
      </c>
      <c r="F567" t="s">
        <v>17</v>
      </c>
      <c r="G567" t="s">
        <v>16</v>
      </c>
      <c r="H567" t="s">
        <v>12</v>
      </c>
      <c r="I567" t="s">
        <v>13</v>
      </c>
      <c r="J567">
        <v>0</v>
      </c>
      <c r="K567" t="s">
        <v>117</v>
      </c>
      <c r="L567" t="s">
        <v>109</v>
      </c>
      <c r="M567" t="s">
        <v>94</v>
      </c>
      <c r="N567" t="s">
        <v>112</v>
      </c>
      <c r="O567" t="s">
        <v>110</v>
      </c>
    </row>
    <row r="568" spans="1:15" x14ac:dyDescent="0.3">
      <c r="A568" t="s">
        <v>9</v>
      </c>
      <c r="B568">
        <v>45</v>
      </c>
      <c r="C568">
        <v>1</v>
      </c>
      <c r="D568">
        <v>1</v>
      </c>
      <c r="E568">
        <v>1</v>
      </c>
      <c r="F568" t="s">
        <v>17</v>
      </c>
      <c r="G568" t="s">
        <v>11</v>
      </c>
      <c r="H568" t="s">
        <v>12</v>
      </c>
      <c r="I568" t="s">
        <v>13</v>
      </c>
      <c r="J568">
        <v>1</v>
      </c>
      <c r="K568" t="s">
        <v>108</v>
      </c>
      <c r="L568" t="s">
        <v>95</v>
      </c>
      <c r="M568" t="s">
        <v>94</v>
      </c>
      <c r="N568" t="s">
        <v>116</v>
      </c>
      <c r="O568" t="s">
        <v>115</v>
      </c>
    </row>
    <row r="569" spans="1:15" x14ac:dyDescent="0.3">
      <c r="A569" t="s">
        <v>9</v>
      </c>
      <c r="B569">
        <v>29</v>
      </c>
      <c r="C569">
        <v>1</v>
      </c>
      <c r="D569">
        <v>1</v>
      </c>
      <c r="E569">
        <v>1</v>
      </c>
      <c r="F569" t="s">
        <v>17</v>
      </c>
      <c r="G569" t="s">
        <v>16</v>
      </c>
      <c r="H569" t="s">
        <v>12</v>
      </c>
      <c r="I569" t="s">
        <v>13</v>
      </c>
      <c r="J569">
        <v>1</v>
      </c>
      <c r="K569" t="s">
        <v>114</v>
      </c>
      <c r="L569" t="s">
        <v>95</v>
      </c>
      <c r="M569" t="s">
        <v>94</v>
      </c>
      <c r="N569" t="s">
        <v>116</v>
      </c>
      <c r="O569" t="s">
        <v>115</v>
      </c>
    </row>
    <row r="570" spans="1:15" x14ac:dyDescent="0.3">
      <c r="A570" t="s">
        <v>14</v>
      </c>
      <c r="B570">
        <v>31</v>
      </c>
      <c r="C570">
        <v>1</v>
      </c>
      <c r="D570">
        <v>1</v>
      </c>
      <c r="E570">
        <v>1</v>
      </c>
      <c r="F570" t="s">
        <v>50</v>
      </c>
      <c r="G570" t="s">
        <v>11</v>
      </c>
      <c r="H570" t="s">
        <v>23</v>
      </c>
      <c r="I570" t="s">
        <v>13</v>
      </c>
      <c r="J570">
        <v>1</v>
      </c>
      <c r="K570" t="s">
        <v>114</v>
      </c>
      <c r="L570" t="s">
        <v>95</v>
      </c>
      <c r="M570" t="s">
        <v>94</v>
      </c>
      <c r="N570" t="s">
        <v>116</v>
      </c>
      <c r="O570" t="s">
        <v>115</v>
      </c>
    </row>
    <row r="571" spans="1:15" x14ac:dyDescent="0.3">
      <c r="A571" t="s">
        <v>14</v>
      </c>
      <c r="B571">
        <v>34</v>
      </c>
      <c r="C571">
        <v>0</v>
      </c>
      <c r="D571">
        <v>0</v>
      </c>
      <c r="E571">
        <v>0</v>
      </c>
      <c r="F571" t="s">
        <v>35</v>
      </c>
      <c r="G571" t="s">
        <v>16</v>
      </c>
      <c r="H571" t="s">
        <v>23</v>
      </c>
      <c r="I571" t="s">
        <v>13</v>
      </c>
      <c r="J571">
        <v>0</v>
      </c>
      <c r="K571" t="s">
        <v>114</v>
      </c>
      <c r="L571" t="s">
        <v>109</v>
      </c>
      <c r="M571" t="s">
        <v>111</v>
      </c>
      <c r="N571" t="s">
        <v>112</v>
      </c>
      <c r="O571" t="s">
        <v>110</v>
      </c>
    </row>
    <row r="572" spans="1:15" x14ac:dyDescent="0.3">
      <c r="A572" t="s">
        <v>9</v>
      </c>
      <c r="B572">
        <v>61</v>
      </c>
      <c r="C572">
        <v>1</v>
      </c>
      <c r="D572">
        <v>1</v>
      </c>
      <c r="E572">
        <v>1</v>
      </c>
      <c r="F572" t="s">
        <v>52</v>
      </c>
      <c r="G572" t="s">
        <v>11</v>
      </c>
      <c r="H572" t="s">
        <v>23</v>
      </c>
      <c r="I572" t="s">
        <v>13</v>
      </c>
      <c r="J572">
        <v>1</v>
      </c>
      <c r="K572" t="s">
        <v>108</v>
      </c>
      <c r="L572" t="s">
        <v>95</v>
      </c>
      <c r="M572" t="s">
        <v>94</v>
      </c>
      <c r="N572" t="s">
        <v>116</v>
      </c>
      <c r="O572" t="s">
        <v>115</v>
      </c>
    </row>
    <row r="573" spans="1:15" x14ac:dyDescent="0.3">
      <c r="A573" t="s">
        <v>9</v>
      </c>
      <c r="B573">
        <v>26</v>
      </c>
      <c r="C573">
        <v>1</v>
      </c>
      <c r="D573">
        <v>1</v>
      </c>
      <c r="E573">
        <v>1</v>
      </c>
      <c r="F573" t="s">
        <v>39</v>
      </c>
      <c r="G573" t="s">
        <v>16</v>
      </c>
      <c r="H573" t="s">
        <v>23</v>
      </c>
      <c r="I573" t="s">
        <v>13</v>
      </c>
      <c r="J573">
        <v>1</v>
      </c>
      <c r="K573" t="s">
        <v>114</v>
      </c>
      <c r="L573" t="s">
        <v>95</v>
      </c>
      <c r="M573" t="s">
        <v>94</v>
      </c>
      <c r="N573" t="s">
        <v>116</v>
      </c>
      <c r="O573" t="s">
        <v>115</v>
      </c>
    </row>
    <row r="574" spans="1:15" x14ac:dyDescent="0.3">
      <c r="A574" t="s">
        <v>9</v>
      </c>
      <c r="B574">
        <v>52</v>
      </c>
      <c r="C574">
        <v>0</v>
      </c>
      <c r="D574">
        <v>0</v>
      </c>
      <c r="E574">
        <v>0</v>
      </c>
      <c r="F574" t="s">
        <v>35</v>
      </c>
      <c r="G574" t="s">
        <v>11</v>
      </c>
      <c r="H574" t="s">
        <v>18</v>
      </c>
      <c r="I574" t="s">
        <v>13</v>
      </c>
      <c r="J574">
        <v>0</v>
      </c>
      <c r="K574" t="s">
        <v>108</v>
      </c>
      <c r="L574" t="s">
        <v>109</v>
      </c>
      <c r="M574" t="s">
        <v>111</v>
      </c>
      <c r="N574" t="s">
        <v>112</v>
      </c>
      <c r="O574" t="s">
        <v>110</v>
      </c>
    </row>
    <row r="575" spans="1:15" x14ac:dyDescent="0.3">
      <c r="A575" t="s">
        <v>9</v>
      </c>
      <c r="B575">
        <v>24</v>
      </c>
      <c r="C575">
        <v>0</v>
      </c>
      <c r="D575">
        <v>0</v>
      </c>
      <c r="E575">
        <v>0</v>
      </c>
      <c r="F575" t="s">
        <v>25</v>
      </c>
      <c r="G575" t="s">
        <v>16</v>
      </c>
      <c r="H575" t="s">
        <v>23</v>
      </c>
      <c r="I575" t="s">
        <v>13</v>
      </c>
      <c r="J575">
        <v>0</v>
      </c>
      <c r="K575" t="s">
        <v>117</v>
      </c>
      <c r="L575" t="s">
        <v>109</v>
      </c>
      <c r="M575" t="s">
        <v>111</v>
      </c>
      <c r="N575" t="s">
        <v>112</v>
      </c>
      <c r="O575" t="s">
        <v>110</v>
      </c>
    </row>
    <row r="576" spans="1:15" x14ac:dyDescent="0.3">
      <c r="A576" t="s">
        <v>14</v>
      </c>
      <c r="B576">
        <v>19</v>
      </c>
      <c r="C576">
        <v>0</v>
      </c>
      <c r="D576">
        <v>0</v>
      </c>
      <c r="E576">
        <v>1</v>
      </c>
      <c r="F576" t="s">
        <v>36</v>
      </c>
      <c r="G576" t="s">
        <v>11</v>
      </c>
      <c r="H576" t="s">
        <v>12</v>
      </c>
      <c r="I576" t="s">
        <v>13</v>
      </c>
      <c r="J576">
        <v>0</v>
      </c>
      <c r="K576" t="s">
        <v>117</v>
      </c>
      <c r="L576" t="s">
        <v>109</v>
      </c>
      <c r="M576" t="s">
        <v>94</v>
      </c>
      <c r="N576" t="s">
        <v>112</v>
      </c>
      <c r="O576" t="s">
        <v>110</v>
      </c>
    </row>
    <row r="577" spans="1:15" x14ac:dyDescent="0.3">
      <c r="A577" t="s">
        <v>9</v>
      </c>
      <c r="B577">
        <v>47</v>
      </c>
      <c r="C577">
        <v>1</v>
      </c>
      <c r="D577">
        <v>1</v>
      </c>
      <c r="E577">
        <v>0</v>
      </c>
      <c r="F577" t="s">
        <v>47</v>
      </c>
      <c r="G577" t="s">
        <v>16</v>
      </c>
      <c r="H577" t="s">
        <v>23</v>
      </c>
      <c r="I577" t="s">
        <v>13</v>
      </c>
      <c r="J577">
        <v>1</v>
      </c>
      <c r="K577" t="s">
        <v>108</v>
      </c>
      <c r="L577" t="s">
        <v>95</v>
      </c>
      <c r="M577" t="s">
        <v>111</v>
      </c>
      <c r="N577" t="s">
        <v>116</v>
      </c>
      <c r="O577" t="s">
        <v>115</v>
      </c>
    </row>
    <row r="578" spans="1:15" x14ac:dyDescent="0.3">
      <c r="A578" t="s">
        <v>9</v>
      </c>
      <c r="B578">
        <v>14</v>
      </c>
      <c r="C578">
        <v>1</v>
      </c>
      <c r="D578">
        <v>1</v>
      </c>
      <c r="E578">
        <v>1</v>
      </c>
      <c r="F578" t="s">
        <v>27</v>
      </c>
      <c r="G578" t="s">
        <v>11</v>
      </c>
      <c r="H578" t="s">
        <v>23</v>
      </c>
      <c r="I578" t="s">
        <v>13</v>
      </c>
      <c r="J578">
        <v>1</v>
      </c>
      <c r="K578" t="s">
        <v>113</v>
      </c>
      <c r="L578" t="s">
        <v>95</v>
      </c>
      <c r="M578" t="s">
        <v>94</v>
      </c>
      <c r="N578" t="s">
        <v>116</v>
      </c>
      <c r="O578" t="s">
        <v>115</v>
      </c>
    </row>
    <row r="579" spans="1:15" x14ac:dyDescent="0.3">
      <c r="A579" t="s">
        <v>14</v>
      </c>
      <c r="B579">
        <v>62</v>
      </c>
      <c r="C579">
        <v>1</v>
      </c>
      <c r="D579">
        <v>1</v>
      </c>
      <c r="E579">
        <v>0</v>
      </c>
      <c r="F579" t="s">
        <v>36</v>
      </c>
      <c r="G579" t="s">
        <v>16</v>
      </c>
      <c r="H579" t="s">
        <v>23</v>
      </c>
      <c r="I579" t="s">
        <v>13</v>
      </c>
      <c r="J579">
        <v>1</v>
      </c>
      <c r="K579" t="s">
        <v>108</v>
      </c>
      <c r="L579" t="s">
        <v>95</v>
      </c>
      <c r="M579" t="s">
        <v>111</v>
      </c>
      <c r="N579" t="s">
        <v>116</v>
      </c>
      <c r="O579" t="s">
        <v>115</v>
      </c>
    </row>
    <row r="580" spans="1:15" x14ac:dyDescent="0.3">
      <c r="A580" t="s">
        <v>14</v>
      </c>
      <c r="B580">
        <v>53</v>
      </c>
      <c r="C580">
        <v>1</v>
      </c>
      <c r="D580">
        <v>1</v>
      </c>
      <c r="E580">
        <v>1</v>
      </c>
      <c r="F580" t="s">
        <v>10</v>
      </c>
      <c r="G580" t="s">
        <v>11</v>
      </c>
      <c r="H580" t="s">
        <v>23</v>
      </c>
      <c r="I580" t="s">
        <v>13</v>
      </c>
      <c r="J580">
        <v>1</v>
      </c>
      <c r="K580" t="s">
        <v>108</v>
      </c>
      <c r="L580" t="s">
        <v>95</v>
      </c>
      <c r="M580" t="s">
        <v>94</v>
      </c>
      <c r="N580" t="s">
        <v>116</v>
      </c>
      <c r="O580" t="s">
        <v>115</v>
      </c>
    </row>
    <row r="581" spans="1:15" x14ac:dyDescent="0.3">
      <c r="A581" t="s">
        <v>14</v>
      </c>
      <c r="B581">
        <v>49</v>
      </c>
      <c r="C581">
        <v>0</v>
      </c>
      <c r="D581">
        <v>0</v>
      </c>
      <c r="E581">
        <v>1</v>
      </c>
      <c r="F581" t="s">
        <v>46</v>
      </c>
      <c r="G581" t="s">
        <v>16</v>
      </c>
      <c r="H581" t="s">
        <v>23</v>
      </c>
      <c r="I581" t="s">
        <v>13</v>
      </c>
      <c r="J581">
        <v>0</v>
      </c>
      <c r="K581" t="s">
        <v>108</v>
      </c>
      <c r="L581" t="s">
        <v>109</v>
      </c>
      <c r="M581" t="s">
        <v>94</v>
      </c>
      <c r="N581" t="s">
        <v>112</v>
      </c>
      <c r="O581" t="s">
        <v>110</v>
      </c>
    </row>
    <row r="582" spans="1:15" x14ac:dyDescent="0.3">
      <c r="A582" t="s">
        <v>9</v>
      </c>
      <c r="B582">
        <v>51</v>
      </c>
      <c r="C582">
        <v>0</v>
      </c>
      <c r="D582">
        <v>0</v>
      </c>
      <c r="E582">
        <v>1</v>
      </c>
      <c r="F582" t="s">
        <v>28</v>
      </c>
      <c r="G582" t="s">
        <v>11</v>
      </c>
      <c r="H582" t="s">
        <v>12</v>
      </c>
      <c r="I582" t="s">
        <v>13</v>
      </c>
      <c r="J582">
        <v>0</v>
      </c>
      <c r="K582" t="s">
        <v>108</v>
      </c>
      <c r="L582" t="s">
        <v>109</v>
      </c>
      <c r="M582" t="s">
        <v>94</v>
      </c>
      <c r="N582" t="s">
        <v>112</v>
      </c>
      <c r="O582" t="s">
        <v>110</v>
      </c>
    </row>
    <row r="583" spans="1:15" x14ac:dyDescent="0.3">
      <c r="A583" t="s">
        <v>9</v>
      </c>
      <c r="B583">
        <v>61</v>
      </c>
      <c r="C583">
        <v>0</v>
      </c>
      <c r="D583">
        <v>0</v>
      </c>
      <c r="E583">
        <v>0</v>
      </c>
      <c r="F583" t="s">
        <v>34</v>
      </c>
      <c r="G583" t="s">
        <v>16</v>
      </c>
      <c r="H583" t="s">
        <v>12</v>
      </c>
      <c r="I583" t="s">
        <v>13</v>
      </c>
      <c r="J583">
        <v>0</v>
      </c>
      <c r="K583" t="s">
        <v>108</v>
      </c>
      <c r="L583" t="s">
        <v>109</v>
      </c>
      <c r="M583" t="s">
        <v>111</v>
      </c>
      <c r="N583" t="s">
        <v>112</v>
      </c>
      <c r="O583" t="s">
        <v>110</v>
      </c>
    </row>
    <row r="584" spans="1:15" x14ac:dyDescent="0.3">
      <c r="A584" t="s">
        <v>9</v>
      </c>
      <c r="B584">
        <v>35</v>
      </c>
      <c r="C584">
        <v>1</v>
      </c>
      <c r="D584">
        <v>1</v>
      </c>
      <c r="E584">
        <v>0</v>
      </c>
      <c r="F584" t="s">
        <v>34</v>
      </c>
      <c r="G584" t="s">
        <v>11</v>
      </c>
      <c r="H584" t="s">
        <v>12</v>
      </c>
      <c r="I584" t="s">
        <v>13</v>
      </c>
      <c r="J584">
        <v>1</v>
      </c>
      <c r="K584" t="s">
        <v>114</v>
      </c>
      <c r="L584" t="s">
        <v>95</v>
      </c>
      <c r="M584" t="s">
        <v>111</v>
      </c>
      <c r="N584" t="s">
        <v>116</v>
      </c>
      <c r="O584" t="s">
        <v>115</v>
      </c>
    </row>
    <row r="585" spans="1:15" x14ac:dyDescent="0.3">
      <c r="A585" t="s">
        <v>9</v>
      </c>
      <c r="B585">
        <v>45</v>
      </c>
      <c r="C585">
        <v>0</v>
      </c>
      <c r="D585">
        <v>0</v>
      </c>
      <c r="E585">
        <v>1</v>
      </c>
      <c r="F585" t="s">
        <v>49</v>
      </c>
      <c r="G585" t="s">
        <v>16</v>
      </c>
      <c r="H585" t="s">
        <v>23</v>
      </c>
      <c r="I585" t="s">
        <v>13</v>
      </c>
      <c r="J585">
        <v>0</v>
      </c>
      <c r="K585" t="s">
        <v>108</v>
      </c>
      <c r="L585" t="s">
        <v>109</v>
      </c>
      <c r="M585" t="s">
        <v>94</v>
      </c>
      <c r="N585" t="s">
        <v>112</v>
      </c>
      <c r="O585" t="s">
        <v>110</v>
      </c>
    </row>
    <row r="586" spans="1:15" x14ac:dyDescent="0.3">
      <c r="A586" t="s">
        <v>14</v>
      </c>
      <c r="B586">
        <v>25</v>
      </c>
      <c r="C586">
        <v>1</v>
      </c>
      <c r="D586">
        <v>1</v>
      </c>
      <c r="E586">
        <v>1</v>
      </c>
      <c r="F586" t="s">
        <v>38</v>
      </c>
      <c r="G586" t="s">
        <v>11</v>
      </c>
      <c r="H586" t="s">
        <v>12</v>
      </c>
      <c r="I586" t="s">
        <v>13</v>
      </c>
      <c r="J586">
        <v>1</v>
      </c>
      <c r="K586" t="s">
        <v>114</v>
      </c>
      <c r="L586" t="s">
        <v>95</v>
      </c>
      <c r="M586" t="s">
        <v>94</v>
      </c>
      <c r="N586" t="s">
        <v>116</v>
      </c>
      <c r="O586" t="s">
        <v>115</v>
      </c>
    </row>
    <row r="587" spans="1:15" x14ac:dyDescent="0.3">
      <c r="A587" t="s">
        <v>9</v>
      </c>
      <c r="B587">
        <v>53</v>
      </c>
      <c r="C587">
        <v>1</v>
      </c>
      <c r="D587">
        <v>1</v>
      </c>
      <c r="E587">
        <v>0</v>
      </c>
      <c r="F587" t="s">
        <v>32</v>
      </c>
      <c r="G587" t="s">
        <v>16</v>
      </c>
      <c r="H587" t="s">
        <v>12</v>
      </c>
      <c r="I587" t="s">
        <v>13</v>
      </c>
      <c r="J587">
        <v>1</v>
      </c>
      <c r="K587" t="s">
        <v>108</v>
      </c>
      <c r="L587" t="s">
        <v>95</v>
      </c>
      <c r="M587" t="s">
        <v>111</v>
      </c>
      <c r="N587" t="s">
        <v>116</v>
      </c>
      <c r="O587" t="s">
        <v>115</v>
      </c>
    </row>
    <row r="588" spans="1:15" x14ac:dyDescent="0.3">
      <c r="A588" t="s">
        <v>9</v>
      </c>
      <c r="B588">
        <v>37</v>
      </c>
      <c r="C588">
        <v>1</v>
      </c>
      <c r="D588">
        <v>1</v>
      </c>
      <c r="E588">
        <v>0</v>
      </c>
      <c r="F588" t="s">
        <v>20</v>
      </c>
      <c r="G588" t="s">
        <v>11</v>
      </c>
      <c r="H588" t="s">
        <v>12</v>
      </c>
      <c r="I588" t="s">
        <v>13</v>
      </c>
      <c r="J588">
        <v>1</v>
      </c>
      <c r="K588" t="s">
        <v>114</v>
      </c>
      <c r="L588" t="s">
        <v>95</v>
      </c>
      <c r="M588" t="s">
        <v>111</v>
      </c>
      <c r="N588" t="s">
        <v>116</v>
      </c>
      <c r="O588" t="s">
        <v>115</v>
      </c>
    </row>
    <row r="589" spans="1:15" x14ac:dyDescent="0.3">
      <c r="A589" t="s">
        <v>14</v>
      </c>
      <c r="B589">
        <v>25</v>
      </c>
      <c r="C589">
        <v>0</v>
      </c>
      <c r="D589">
        <v>0</v>
      </c>
      <c r="E589">
        <v>1</v>
      </c>
      <c r="F589" t="s">
        <v>51</v>
      </c>
      <c r="G589" t="s">
        <v>16</v>
      </c>
      <c r="H589" t="s">
        <v>12</v>
      </c>
      <c r="I589" t="s">
        <v>13</v>
      </c>
      <c r="J589">
        <v>0</v>
      </c>
      <c r="K589" t="s">
        <v>114</v>
      </c>
      <c r="L589" t="s">
        <v>109</v>
      </c>
      <c r="M589" t="s">
        <v>94</v>
      </c>
      <c r="N589" t="s">
        <v>112</v>
      </c>
      <c r="O589" t="s">
        <v>110</v>
      </c>
    </row>
    <row r="590" spans="1:15" x14ac:dyDescent="0.3">
      <c r="A590" t="s">
        <v>14</v>
      </c>
      <c r="B590">
        <v>38</v>
      </c>
      <c r="C590">
        <v>1</v>
      </c>
      <c r="D590">
        <v>1</v>
      </c>
      <c r="E590">
        <v>1</v>
      </c>
      <c r="F590" t="s">
        <v>37</v>
      </c>
      <c r="G590" t="s">
        <v>11</v>
      </c>
      <c r="H590" t="s">
        <v>23</v>
      </c>
      <c r="I590" t="s">
        <v>13</v>
      </c>
      <c r="J590">
        <v>1</v>
      </c>
      <c r="K590" t="s">
        <v>114</v>
      </c>
      <c r="L590" t="s">
        <v>95</v>
      </c>
      <c r="M590" t="s">
        <v>94</v>
      </c>
      <c r="N590" t="s">
        <v>116</v>
      </c>
      <c r="O590" t="s">
        <v>115</v>
      </c>
    </row>
    <row r="591" spans="1:15" x14ac:dyDescent="0.3">
      <c r="A591" t="s">
        <v>9</v>
      </c>
      <c r="B591">
        <v>50</v>
      </c>
      <c r="C591">
        <v>1</v>
      </c>
      <c r="D591">
        <v>1</v>
      </c>
      <c r="E591">
        <v>0</v>
      </c>
      <c r="F591" t="s">
        <v>51</v>
      </c>
      <c r="G591" t="s">
        <v>16</v>
      </c>
      <c r="H591" t="s">
        <v>18</v>
      </c>
      <c r="I591" t="s">
        <v>13</v>
      </c>
      <c r="J591">
        <v>1</v>
      </c>
      <c r="K591" t="s">
        <v>108</v>
      </c>
      <c r="L591" t="s">
        <v>95</v>
      </c>
      <c r="M591" t="s">
        <v>111</v>
      </c>
      <c r="N591" t="s">
        <v>116</v>
      </c>
      <c r="O591" t="s">
        <v>115</v>
      </c>
    </row>
    <row r="592" spans="1:15" x14ac:dyDescent="0.3">
      <c r="A592" t="s">
        <v>14</v>
      </c>
      <c r="B592">
        <v>30</v>
      </c>
      <c r="C592">
        <v>1</v>
      </c>
      <c r="D592">
        <v>1</v>
      </c>
      <c r="E592">
        <v>1</v>
      </c>
      <c r="F592" t="s">
        <v>47</v>
      </c>
      <c r="G592" t="s">
        <v>11</v>
      </c>
      <c r="H592" t="s">
        <v>12</v>
      </c>
      <c r="I592" t="s">
        <v>13</v>
      </c>
      <c r="J592">
        <v>1</v>
      </c>
      <c r="K592" t="s">
        <v>114</v>
      </c>
      <c r="L592" t="s">
        <v>95</v>
      </c>
      <c r="M592" t="s">
        <v>94</v>
      </c>
      <c r="N592" t="s">
        <v>116</v>
      </c>
      <c r="O592" t="s">
        <v>115</v>
      </c>
    </row>
    <row r="593" spans="1:15" x14ac:dyDescent="0.3">
      <c r="A593" t="s">
        <v>9</v>
      </c>
      <c r="B593">
        <v>20</v>
      </c>
      <c r="C593">
        <v>0</v>
      </c>
      <c r="D593">
        <v>0</v>
      </c>
      <c r="E593">
        <v>0</v>
      </c>
      <c r="F593" t="s">
        <v>15</v>
      </c>
      <c r="G593" t="s">
        <v>16</v>
      </c>
      <c r="H593" t="s">
        <v>12</v>
      </c>
      <c r="I593" t="s">
        <v>13</v>
      </c>
      <c r="J593">
        <v>0</v>
      </c>
      <c r="K593" t="s">
        <v>117</v>
      </c>
      <c r="L593" t="s">
        <v>109</v>
      </c>
      <c r="M593" t="s">
        <v>111</v>
      </c>
      <c r="N593" t="s">
        <v>112</v>
      </c>
      <c r="O593" t="s">
        <v>110</v>
      </c>
    </row>
    <row r="594" spans="1:15" x14ac:dyDescent="0.3">
      <c r="A594" t="s">
        <v>14</v>
      </c>
      <c r="B594">
        <v>44</v>
      </c>
      <c r="C594">
        <v>1</v>
      </c>
      <c r="D594">
        <v>1</v>
      </c>
      <c r="E594">
        <v>0</v>
      </c>
      <c r="F594" t="s">
        <v>30</v>
      </c>
      <c r="G594" t="s">
        <v>11</v>
      </c>
      <c r="H594" t="s">
        <v>18</v>
      </c>
      <c r="I594" t="s">
        <v>13</v>
      </c>
      <c r="J594">
        <v>1</v>
      </c>
      <c r="K594" t="s">
        <v>114</v>
      </c>
      <c r="L594" t="s">
        <v>95</v>
      </c>
      <c r="M594" t="s">
        <v>111</v>
      </c>
      <c r="N594" t="s">
        <v>116</v>
      </c>
      <c r="O594" t="s">
        <v>115</v>
      </c>
    </row>
    <row r="595" spans="1:15" x14ac:dyDescent="0.3">
      <c r="A595" t="s">
        <v>9</v>
      </c>
      <c r="B595">
        <v>57</v>
      </c>
      <c r="C595">
        <v>0</v>
      </c>
      <c r="D595">
        <v>0</v>
      </c>
      <c r="E595">
        <v>1</v>
      </c>
      <c r="F595" t="s">
        <v>43</v>
      </c>
      <c r="G595" t="s">
        <v>16</v>
      </c>
      <c r="H595" t="s">
        <v>12</v>
      </c>
      <c r="I595" t="s">
        <v>13</v>
      </c>
      <c r="J595">
        <v>0</v>
      </c>
      <c r="K595" t="s">
        <v>108</v>
      </c>
      <c r="L595" t="s">
        <v>109</v>
      </c>
      <c r="M595" t="s">
        <v>94</v>
      </c>
      <c r="N595" t="s">
        <v>112</v>
      </c>
      <c r="O595" t="s">
        <v>110</v>
      </c>
    </row>
    <row r="596" spans="1:15" x14ac:dyDescent="0.3">
      <c r="A596" t="s">
        <v>14</v>
      </c>
      <c r="B596">
        <v>19</v>
      </c>
      <c r="C596">
        <v>1</v>
      </c>
      <c r="D596">
        <v>1</v>
      </c>
      <c r="E596">
        <v>1</v>
      </c>
      <c r="F596" t="s">
        <v>33</v>
      </c>
      <c r="G596" t="s">
        <v>11</v>
      </c>
      <c r="H596" t="s">
        <v>18</v>
      </c>
      <c r="I596" t="s">
        <v>13</v>
      </c>
      <c r="J596">
        <v>1</v>
      </c>
      <c r="K596" t="s">
        <v>117</v>
      </c>
      <c r="L596" t="s">
        <v>95</v>
      </c>
      <c r="M596" t="s">
        <v>94</v>
      </c>
      <c r="N596" t="s">
        <v>116</v>
      </c>
      <c r="O596" t="s">
        <v>115</v>
      </c>
    </row>
    <row r="597" spans="1:15" x14ac:dyDescent="0.3">
      <c r="A597" t="s">
        <v>9</v>
      </c>
      <c r="B597">
        <v>34</v>
      </c>
      <c r="C597">
        <v>0</v>
      </c>
      <c r="D597">
        <v>0</v>
      </c>
      <c r="E597">
        <v>0</v>
      </c>
      <c r="F597" t="s">
        <v>41</v>
      </c>
      <c r="G597" t="s">
        <v>16</v>
      </c>
      <c r="H597" t="s">
        <v>18</v>
      </c>
      <c r="I597" t="s">
        <v>13</v>
      </c>
      <c r="J597">
        <v>0</v>
      </c>
      <c r="K597" t="s">
        <v>114</v>
      </c>
      <c r="L597" t="s">
        <v>109</v>
      </c>
      <c r="M597" t="s">
        <v>111</v>
      </c>
      <c r="N597" t="s">
        <v>112</v>
      </c>
      <c r="O597" t="s">
        <v>110</v>
      </c>
    </row>
    <row r="598" spans="1:15" x14ac:dyDescent="0.3">
      <c r="A598" t="s">
        <v>9</v>
      </c>
      <c r="B598">
        <v>42</v>
      </c>
      <c r="C598">
        <v>1</v>
      </c>
      <c r="D598">
        <v>1</v>
      </c>
      <c r="E598">
        <v>1</v>
      </c>
      <c r="F598" t="s">
        <v>29</v>
      </c>
      <c r="G598" t="s">
        <v>11</v>
      </c>
      <c r="H598" t="s">
        <v>18</v>
      </c>
      <c r="I598" t="s">
        <v>13</v>
      </c>
      <c r="J598">
        <v>1</v>
      </c>
      <c r="K598" t="s">
        <v>114</v>
      </c>
      <c r="L598" t="s">
        <v>95</v>
      </c>
      <c r="M598" t="s">
        <v>94</v>
      </c>
      <c r="N598" t="s">
        <v>116</v>
      </c>
      <c r="O598" t="s">
        <v>115</v>
      </c>
    </row>
    <row r="599" spans="1:15" x14ac:dyDescent="0.3">
      <c r="A599" t="s">
        <v>9</v>
      </c>
      <c r="B599">
        <v>48</v>
      </c>
      <c r="C599">
        <v>1</v>
      </c>
      <c r="D599">
        <v>1</v>
      </c>
      <c r="E599">
        <v>1</v>
      </c>
      <c r="F599" t="s">
        <v>48</v>
      </c>
      <c r="G599" t="s">
        <v>16</v>
      </c>
      <c r="H599" t="s">
        <v>18</v>
      </c>
      <c r="I599" t="s">
        <v>13</v>
      </c>
      <c r="J599">
        <v>1</v>
      </c>
      <c r="K599" t="s">
        <v>108</v>
      </c>
      <c r="L599" t="s">
        <v>95</v>
      </c>
      <c r="M599" t="s">
        <v>94</v>
      </c>
      <c r="N599" t="s">
        <v>116</v>
      </c>
      <c r="O599" t="s">
        <v>115</v>
      </c>
    </row>
    <row r="600" spans="1:15" x14ac:dyDescent="0.3">
      <c r="A600" t="s">
        <v>14</v>
      </c>
      <c r="B600">
        <v>45</v>
      </c>
      <c r="C600">
        <v>1</v>
      </c>
      <c r="D600">
        <v>1</v>
      </c>
      <c r="E600">
        <v>1</v>
      </c>
      <c r="F600" t="s">
        <v>27</v>
      </c>
      <c r="G600" t="s">
        <v>11</v>
      </c>
      <c r="H600" t="s">
        <v>12</v>
      </c>
      <c r="I600" t="s">
        <v>13</v>
      </c>
      <c r="J600">
        <v>1</v>
      </c>
      <c r="K600" t="s">
        <v>108</v>
      </c>
      <c r="L600" t="s">
        <v>95</v>
      </c>
      <c r="M600" t="s">
        <v>94</v>
      </c>
      <c r="N600" t="s">
        <v>116</v>
      </c>
      <c r="O600" t="s">
        <v>115</v>
      </c>
    </row>
    <row r="601" spans="1:15" x14ac:dyDescent="0.3">
      <c r="A601" t="s">
        <v>9</v>
      </c>
      <c r="B601">
        <v>48</v>
      </c>
      <c r="C601">
        <v>0</v>
      </c>
      <c r="D601">
        <v>0</v>
      </c>
      <c r="E601">
        <v>1</v>
      </c>
      <c r="F601" t="s">
        <v>44</v>
      </c>
      <c r="G601" t="s">
        <v>16</v>
      </c>
      <c r="H601" t="s">
        <v>23</v>
      </c>
      <c r="I601" t="s">
        <v>13</v>
      </c>
      <c r="J601">
        <v>0</v>
      </c>
      <c r="K601" t="s">
        <v>108</v>
      </c>
      <c r="L601" t="s">
        <v>109</v>
      </c>
      <c r="M601" t="s">
        <v>94</v>
      </c>
      <c r="N601" t="s">
        <v>112</v>
      </c>
      <c r="O601" t="s">
        <v>110</v>
      </c>
    </row>
    <row r="602" spans="1:15" x14ac:dyDescent="0.3">
      <c r="A602" t="s">
        <v>9</v>
      </c>
      <c r="B602">
        <v>50</v>
      </c>
      <c r="C602">
        <v>1</v>
      </c>
      <c r="D602">
        <v>1</v>
      </c>
      <c r="E602">
        <v>0</v>
      </c>
      <c r="F602" t="s">
        <v>22</v>
      </c>
      <c r="G602" t="s">
        <v>11</v>
      </c>
      <c r="H602" t="s">
        <v>18</v>
      </c>
      <c r="I602" t="s">
        <v>13</v>
      </c>
      <c r="J602">
        <v>1</v>
      </c>
      <c r="K602" t="s">
        <v>108</v>
      </c>
      <c r="L602" t="s">
        <v>95</v>
      </c>
      <c r="M602" t="s">
        <v>111</v>
      </c>
      <c r="N602" t="s">
        <v>116</v>
      </c>
      <c r="O602" t="s">
        <v>115</v>
      </c>
    </row>
    <row r="603" spans="1:15" x14ac:dyDescent="0.3">
      <c r="A603" t="s">
        <v>9</v>
      </c>
      <c r="B603">
        <v>37</v>
      </c>
      <c r="C603">
        <v>0</v>
      </c>
      <c r="D603">
        <v>0</v>
      </c>
      <c r="E603">
        <v>1</v>
      </c>
      <c r="F603" t="s">
        <v>24</v>
      </c>
      <c r="G603" t="s">
        <v>16</v>
      </c>
      <c r="H603" t="s">
        <v>12</v>
      </c>
      <c r="I603" t="s">
        <v>13</v>
      </c>
      <c r="J603">
        <v>0</v>
      </c>
      <c r="K603" t="s">
        <v>114</v>
      </c>
      <c r="L603" t="s">
        <v>109</v>
      </c>
      <c r="M603" t="s">
        <v>94</v>
      </c>
      <c r="N603" t="s">
        <v>112</v>
      </c>
      <c r="O603" t="s">
        <v>110</v>
      </c>
    </row>
    <row r="604" spans="1:15" x14ac:dyDescent="0.3">
      <c r="A604" t="s">
        <v>9</v>
      </c>
      <c r="B604">
        <v>28</v>
      </c>
      <c r="C604">
        <v>1</v>
      </c>
      <c r="D604">
        <v>1</v>
      </c>
      <c r="E604">
        <v>0</v>
      </c>
      <c r="F604" t="s">
        <v>36</v>
      </c>
      <c r="G604" t="s">
        <v>11</v>
      </c>
      <c r="H604" t="s">
        <v>23</v>
      </c>
      <c r="I604" t="s">
        <v>13</v>
      </c>
      <c r="J604">
        <v>1</v>
      </c>
      <c r="K604" t="s">
        <v>114</v>
      </c>
      <c r="L604" t="s">
        <v>95</v>
      </c>
      <c r="M604" t="s">
        <v>111</v>
      </c>
      <c r="N604" t="s">
        <v>116</v>
      </c>
      <c r="O604" t="s">
        <v>115</v>
      </c>
    </row>
    <row r="605" spans="1:15" x14ac:dyDescent="0.3">
      <c r="A605" t="s">
        <v>14</v>
      </c>
      <c r="B605">
        <v>51</v>
      </c>
      <c r="C605">
        <v>1</v>
      </c>
      <c r="D605">
        <v>1</v>
      </c>
      <c r="E605">
        <v>1</v>
      </c>
      <c r="F605" t="s">
        <v>39</v>
      </c>
      <c r="G605" t="s">
        <v>16</v>
      </c>
      <c r="H605" t="s">
        <v>18</v>
      </c>
      <c r="I605" t="s">
        <v>13</v>
      </c>
      <c r="J605">
        <v>1</v>
      </c>
      <c r="K605" t="s">
        <v>108</v>
      </c>
      <c r="L605" t="s">
        <v>95</v>
      </c>
      <c r="M605" t="s">
        <v>94</v>
      </c>
      <c r="N605" t="s">
        <v>116</v>
      </c>
      <c r="O605" t="s">
        <v>115</v>
      </c>
    </row>
    <row r="606" spans="1:15" x14ac:dyDescent="0.3">
      <c r="A606" t="s">
        <v>9</v>
      </c>
      <c r="B606">
        <v>37</v>
      </c>
      <c r="C606">
        <v>1</v>
      </c>
      <c r="D606">
        <v>1</v>
      </c>
      <c r="E606">
        <v>1</v>
      </c>
      <c r="F606" t="s">
        <v>32</v>
      </c>
      <c r="G606" t="s">
        <v>11</v>
      </c>
      <c r="H606" t="s">
        <v>12</v>
      </c>
      <c r="I606" t="s">
        <v>13</v>
      </c>
      <c r="J606">
        <v>1</v>
      </c>
      <c r="K606" t="s">
        <v>114</v>
      </c>
      <c r="L606" t="s">
        <v>95</v>
      </c>
      <c r="M606" t="s">
        <v>94</v>
      </c>
      <c r="N606" t="s">
        <v>116</v>
      </c>
      <c r="O606" t="s">
        <v>115</v>
      </c>
    </row>
    <row r="607" spans="1:15" x14ac:dyDescent="0.3">
      <c r="A607" t="s">
        <v>9</v>
      </c>
      <c r="B607">
        <v>12</v>
      </c>
      <c r="C607">
        <v>0</v>
      </c>
      <c r="D607">
        <v>0</v>
      </c>
      <c r="E607">
        <v>1</v>
      </c>
      <c r="F607" t="s">
        <v>25</v>
      </c>
      <c r="G607" t="s">
        <v>16</v>
      </c>
      <c r="H607" t="s">
        <v>12</v>
      </c>
      <c r="I607" t="s">
        <v>13</v>
      </c>
      <c r="J607">
        <v>0</v>
      </c>
      <c r="K607" t="s">
        <v>118</v>
      </c>
      <c r="L607" t="s">
        <v>109</v>
      </c>
      <c r="M607" t="s">
        <v>94</v>
      </c>
      <c r="N607" t="s">
        <v>112</v>
      </c>
      <c r="O607" t="s">
        <v>110</v>
      </c>
    </row>
    <row r="608" spans="1:15" x14ac:dyDescent="0.3">
      <c r="A608" t="s">
        <v>14</v>
      </c>
      <c r="B608">
        <v>65</v>
      </c>
      <c r="C608">
        <v>1</v>
      </c>
      <c r="D608">
        <v>1</v>
      </c>
      <c r="E608">
        <v>0</v>
      </c>
      <c r="F608" t="s">
        <v>32</v>
      </c>
      <c r="G608" t="s">
        <v>11</v>
      </c>
      <c r="H608" t="s">
        <v>18</v>
      </c>
      <c r="I608" t="s">
        <v>13</v>
      </c>
      <c r="J608">
        <v>1</v>
      </c>
      <c r="K608" t="s">
        <v>119</v>
      </c>
      <c r="L608" t="s">
        <v>95</v>
      </c>
      <c r="M608" t="s">
        <v>111</v>
      </c>
      <c r="N608" t="s">
        <v>116</v>
      </c>
      <c r="O608" t="s">
        <v>115</v>
      </c>
    </row>
    <row r="609" spans="1:15" x14ac:dyDescent="0.3">
      <c r="A609" t="s">
        <v>9</v>
      </c>
      <c r="B609">
        <v>44</v>
      </c>
      <c r="C609">
        <v>1</v>
      </c>
      <c r="D609">
        <v>1</v>
      </c>
      <c r="E609">
        <v>0</v>
      </c>
      <c r="F609" t="s">
        <v>26</v>
      </c>
      <c r="G609" t="s">
        <v>16</v>
      </c>
      <c r="H609" t="s">
        <v>12</v>
      </c>
      <c r="I609" t="s">
        <v>13</v>
      </c>
      <c r="J609">
        <v>1</v>
      </c>
      <c r="K609" t="s">
        <v>114</v>
      </c>
      <c r="L609" t="s">
        <v>95</v>
      </c>
      <c r="M609" t="s">
        <v>111</v>
      </c>
      <c r="N609" t="s">
        <v>116</v>
      </c>
      <c r="O609" t="s">
        <v>115</v>
      </c>
    </row>
    <row r="610" spans="1:15" x14ac:dyDescent="0.3">
      <c r="A610" t="s">
        <v>14</v>
      </c>
      <c r="B610">
        <v>52</v>
      </c>
      <c r="C610">
        <v>1</v>
      </c>
      <c r="D610">
        <v>1</v>
      </c>
      <c r="E610">
        <v>0</v>
      </c>
      <c r="F610" t="s">
        <v>22</v>
      </c>
      <c r="G610" t="s">
        <v>11</v>
      </c>
      <c r="H610" t="s">
        <v>12</v>
      </c>
      <c r="I610" t="s">
        <v>13</v>
      </c>
      <c r="J610">
        <v>1</v>
      </c>
      <c r="K610" t="s">
        <v>108</v>
      </c>
      <c r="L610" t="s">
        <v>95</v>
      </c>
      <c r="M610" t="s">
        <v>111</v>
      </c>
      <c r="N610" t="s">
        <v>116</v>
      </c>
      <c r="O610" t="s">
        <v>115</v>
      </c>
    </row>
    <row r="611" spans="1:15" x14ac:dyDescent="0.3">
      <c r="A611" t="s">
        <v>9</v>
      </c>
      <c r="B611">
        <v>10</v>
      </c>
      <c r="C611">
        <v>1</v>
      </c>
      <c r="D611">
        <v>1</v>
      </c>
      <c r="E611">
        <v>1</v>
      </c>
      <c r="F611" t="s">
        <v>43</v>
      </c>
      <c r="G611" t="s">
        <v>16</v>
      </c>
      <c r="H611" t="s">
        <v>23</v>
      </c>
      <c r="I611" t="s">
        <v>13</v>
      </c>
      <c r="J611">
        <v>1</v>
      </c>
      <c r="K611" t="s">
        <v>118</v>
      </c>
      <c r="L611" t="s">
        <v>95</v>
      </c>
      <c r="M611" t="s">
        <v>94</v>
      </c>
      <c r="N611" t="s">
        <v>116</v>
      </c>
      <c r="O611" t="s">
        <v>115</v>
      </c>
    </row>
    <row r="612" spans="1:15" x14ac:dyDescent="0.3">
      <c r="A612" t="s">
        <v>14</v>
      </c>
      <c r="B612">
        <v>16</v>
      </c>
      <c r="C612">
        <v>1</v>
      </c>
      <c r="D612">
        <v>1</v>
      </c>
      <c r="E612">
        <v>0</v>
      </c>
      <c r="F612" t="s">
        <v>39</v>
      </c>
      <c r="G612" t="s">
        <v>11</v>
      </c>
      <c r="H612" t="s">
        <v>12</v>
      </c>
      <c r="I612" t="s">
        <v>13</v>
      </c>
      <c r="J612">
        <v>1</v>
      </c>
      <c r="K612" t="s">
        <v>113</v>
      </c>
      <c r="L612" t="s">
        <v>95</v>
      </c>
      <c r="M612" t="s">
        <v>111</v>
      </c>
      <c r="N612" t="s">
        <v>116</v>
      </c>
      <c r="O612" t="s">
        <v>115</v>
      </c>
    </row>
    <row r="613" spans="1:15" x14ac:dyDescent="0.3">
      <c r="A613" t="s">
        <v>9</v>
      </c>
      <c r="B613">
        <v>17</v>
      </c>
      <c r="C613">
        <v>1</v>
      </c>
      <c r="D613">
        <v>1</v>
      </c>
      <c r="E613">
        <v>0</v>
      </c>
      <c r="F613" t="s">
        <v>37</v>
      </c>
      <c r="G613" t="s">
        <v>16</v>
      </c>
      <c r="H613" t="s">
        <v>18</v>
      </c>
      <c r="I613" t="s">
        <v>13</v>
      </c>
      <c r="J613">
        <v>1</v>
      </c>
      <c r="K613" t="s">
        <v>113</v>
      </c>
      <c r="L613" t="s">
        <v>95</v>
      </c>
      <c r="M613" t="s">
        <v>111</v>
      </c>
      <c r="N613" t="s">
        <v>116</v>
      </c>
      <c r="O613" t="s">
        <v>115</v>
      </c>
    </row>
    <row r="614" spans="1:15" x14ac:dyDescent="0.3">
      <c r="A614" t="s">
        <v>9</v>
      </c>
      <c r="B614">
        <v>63</v>
      </c>
      <c r="C614">
        <v>0</v>
      </c>
      <c r="D614">
        <v>0</v>
      </c>
      <c r="E614">
        <v>1</v>
      </c>
      <c r="F614" t="s">
        <v>42</v>
      </c>
      <c r="G614" t="s">
        <v>11</v>
      </c>
      <c r="H614" t="s">
        <v>18</v>
      </c>
      <c r="I614" t="s">
        <v>13</v>
      </c>
      <c r="J614">
        <v>0</v>
      </c>
      <c r="K614" t="s">
        <v>108</v>
      </c>
      <c r="L614" t="s">
        <v>109</v>
      </c>
      <c r="M614" t="s">
        <v>94</v>
      </c>
      <c r="N614" t="s">
        <v>112</v>
      </c>
      <c r="O614" t="s">
        <v>110</v>
      </c>
    </row>
    <row r="615" spans="1:15" x14ac:dyDescent="0.3">
      <c r="A615" t="s">
        <v>9</v>
      </c>
      <c r="B615">
        <v>29</v>
      </c>
      <c r="C615">
        <v>1</v>
      </c>
      <c r="D615">
        <v>1</v>
      </c>
      <c r="E615">
        <v>1</v>
      </c>
      <c r="F615" t="s">
        <v>10</v>
      </c>
      <c r="G615" t="s">
        <v>16</v>
      </c>
      <c r="H615" t="s">
        <v>18</v>
      </c>
      <c r="I615" t="s">
        <v>13</v>
      </c>
      <c r="J615">
        <v>1</v>
      </c>
      <c r="K615" t="s">
        <v>114</v>
      </c>
      <c r="L615" t="s">
        <v>95</v>
      </c>
      <c r="M615" t="s">
        <v>94</v>
      </c>
      <c r="N615" t="s">
        <v>116</v>
      </c>
      <c r="O615" t="s">
        <v>115</v>
      </c>
    </row>
    <row r="616" spans="1:15" x14ac:dyDescent="0.3">
      <c r="A616" t="s">
        <v>14</v>
      </c>
      <c r="B616">
        <v>62</v>
      </c>
      <c r="C616">
        <v>0</v>
      </c>
      <c r="D616">
        <v>0</v>
      </c>
      <c r="E616">
        <v>1</v>
      </c>
      <c r="F616" t="s">
        <v>36</v>
      </c>
      <c r="G616" t="s">
        <v>11</v>
      </c>
      <c r="H616" t="s">
        <v>12</v>
      </c>
      <c r="I616" t="s">
        <v>13</v>
      </c>
      <c r="J616">
        <v>0</v>
      </c>
      <c r="K616" t="s">
        <v>108</v>
      </c>
      <c r="L616" t="s">
        <v>109</v>
      </c>
      <c r="M616" t="s">
        <v>94</v>
      </c>
      <c r="N616" t="s">
        <v>112</v>
      </c>
      <c r="O616" t="s">
        <v>110</v>
      </c>
    </row>
    <row r="617" spans="1:15" x14ac:dyDescent="0.3">
      <c r="A617" t="s">
        <v>9</v>
      </c>
      <c r="B617">
        <v>16</v>
      </c>
      <c r="C617">
        <v>0</v>
      </c>
      <c r="D617">
        <v>0</v>
      </c>
      <c r="E617">
        <v>0</v>
      </c>
      <c r="F617" t="s">
        <v>24</v>
      </c>
      <c r="G617" t="s">
        <v>16</v>
      </c>
      <c r="H617" t="s">
        <v>23</v>
      </c>
      <c r="I617" t="s">
        <v>13</v>
      </c>
      <c r="J617">
        <v>0</v>
      </c>
      <c r="K617" t="s">
        <v>113</v>
      </c>
      <c r="L617" t="s">
        <v>109</v>
      </c>
      <c r="M617" t="s">
        <v>111</v>
      </c>
      <c r="N617" t="s">
        <v>112</v>
      </c>
      <c r="O617" t="s">
        <v>110</v>
      </c>
    </row>
    <row r="618" spans="1:15" x14ac:dyDescent="0.3">
      <c r="A618" t="s">
        <v>14</v>
      </c>
      <c r="B618">
        <v>8</v>
      </c>
      <c r="C618">
        <v>0</v>
      </c>
      <c r="D618">
        <v>0</v>
      </c>
      <c r="E618">
        <v>0</v>
      </c>
      <c r="F618" t="s">
        <v>20</v>
      </c>
      <c r="G618" t="s">
        <v>11</v>
      </c>
      <c r="H618" t="s">
        <v>12</v>
      </c>
      <c r="I618" t="s">
        <v>13</v>
      </c>
      <c r="J618">
        <v>0</v>
      </c>
      <c r="K618" t="s">
        <v>118</v>
      </c>
      <c r="L618" t="s">
        <v>109</v>
      </c>
      <c r="M618" t="s">
        <v>111</v>
      </c>
      <c r="N618" t="s">
        <v>112</v>
      </c>
      <c r="O618" t="s">
        <v>110</v>
      </c>
    </row>
    <row r="619" spans="1:15" x14ac:dyDescent="0.3">
      <c r="A619" t="s">
        <v>9</v>
      </c>
      <c r="B619">
        <v>10</v>
      </c>
      <c r="C619">
        <v>1</v>
      </c>
      <c r="D619">
        <v>1</v>
      </c>
      <c r="E619">
        <v>0</v>
      </c>
      <c r="F619" t="s">
        <v>50</v>
      </c>
      <c r="G619" t="s">
        <v>16</v>
      </c>
      <c r="H619" t="s">
        <v>23</v>
      </c>
      <c r="I619" t="s">
        <v>13</v>
      </c>
      <c r="J619">
        <v>1</v>
      </c>
      <c r="K619" t="s">
        <v>118</v>
      </c>
      <c r="L619" t="s">
        <v>95</v>
      </c>
      <c r="M619" t="s">
        <v>111</v>
      </c>
      <c r="N619" t="s">
        <v>116</v>
      </c>
      <c r="O619" t="s">
        <v>115</v>
      </c>
    </row>
    <row r="620" spans="1:15" x14ac:dyDescent="0.3">
      <c r="A620" t="s">
        <v>9</v>
      </c>
      <c r="B620">
        <v>40</v>
      </c>
      <c r="C620">
        <v>1</v>
      </c>
      <c r="D620">
        <v>1</v>
      </c>
      <c r="E620">
        <v>0</v>
      </c>
      <c r="F620" t="s">
        <v>30</v>
      </c>
      <c r="G620" t="s">
        <v>11</v>
      </c>
      <c r="H620" t="s">
        <v>23</v>
      </c>
      <c r="I620" t="s">
        <v>13</v>
      </c>
      <c r="J620">
        <v>1</v>
      </c>
      <c r="K620" t="s">
        <v>114</v>
      </c>
      <c r="L620" t="s">
        <v>95</v>
      </c>
      <c r="M620" t="s">
        <v>111</v>
      </c>
      <c r="N620" t="s">
        <v>116</v>
      </c>
      <c r="O620" t="s">
        <v>115</v>
      </c>
    </row>
    <row r="621" spans="1:15" x14ac:dyDescent="0.3">
      <c r="A621" t="s">
        <v>9</v>
      </c>
      <c r="B621">
        <v>51</v>
      </c>
      <c r="C621">
        <v>0</v>
      </c>
      <c r="D621">
        <v>0</v>
      </c>
      <c r="E621">
        <v>1</v>
      </c>
      <c r="F621" t="s">
        <v>15</v>
      </c>
      <c r="G621" t="s">
        <v>16</v>
      </c>
      <c r="H621" t="s">
        <v>18</v>
      </c>
      <c r="I621" t="s">
        <v>13</v>
      </c>
      <c r="J621">
        <v>0</v>
      </c>
      <c r="K621" t="s">
        <v>108</v>
      </c>
      <c r="L621" t="s">
        <v>109</v>
      </c>
      <c r="M621" t="s">
        <v>94</v>
      </c>
      <c r="N621" t="s">
        <v>112</v>
      </c>
      <c r="O621" t="s">
        <v>110</v>
      </c>
    </row>
    <row r="622" spans="1:15" x14ac:dyDescent="0.3">
      <c r="A622" t="s">
        <v>9</v>
      </c>
      <c r="B622">
        <v>40</v>
      </c>
      <c r="C622">
        <v>1</v>
      </c>
      <c r="D622">
        <v>1</v>
      </c>
      <c r="E622">
        <v>1</v>
      </c>
      <c r="F622" t="s">
        <v>43</v>
      </c>
      <c r="G622" t="s">
        <v>11</v>
      </c>
      <c r="H622" t="s">
        <v>12</v>
      </c>
      <c r="I622" t="s">
        <v>13</v>
      </c>
      <c r="J622">
        <v>1</v>
      </c>
      <c r="K622" t="s">
        <v>114</v>
      </c>
      <c r="L622" t="s">
        <v>95</v>
      </c>
      <c r="M622" t="s">
        <v>94</v>
      </c>
      <c r="N622" t="s">
        <v>116</v>
      </c>
      <c r="O622" t="s">
        <v>115</v>
      </c>
    </row>
    <row r="623" spans="1:15" x14ac:dyDescent="0.3">
      <c r="A623" t="s">
        <v>9</v>
      </c>
      <c r="B623">
        <v>50</v>
      </c>
      <c r="C623">
        <v>0</v>
      </c>
      <c r="D623">
        <v>0</v>
      </c>
      <c r="E623">
        <v>0</v>
      </c>
      <c r="F623" t="s">
        <v>24</v>
      </c>
      <c r="G623" t="s">
        <v>16</v>
      </c>
      <c r="H623" t="s">
        <v>18</v>
      </c>
      <c r="I623" t="s">
        <v>13</v>
      </c>
      <c r="J623">
        <v>0</v>
      </c>
      <c r="K623" t="s">
        <v>108</v>
      </c>
      <c r="L623" t="s">
        <v>109</v>
      </c>
      <c r="M623" t="s">
        <v>111</v>
      </c>
      <c r="N623" t="s">
        <v>112</v>
      </c>
      <c r="O623" t="s">
        <v>110</v>
      </c>
    </row>
    <row r="624" spans="1:15" x14ac:dyDescent="0.3">
      <c r="A624" t="s">
        <v>14</v>
      </c>
      <c r="B624">
        <v>20</v>
      </c>
      <c r="C624">
        <v>1</v>
      </c>
      <c r="D624">
        <v>1</v>
      </c>
      <c r="E624">
        <v>1</v>
      </c>
      <c r="F624" t="s">
        <v>10</v>
      </c>
      <c r="G624" t="s">
        <v>11</v>
      </c>
      <c r="H624" t="s">
        <v>23</v>
      </c>
      <c r="I624" t="s">
        <v>13</v>
      </c>
      <c r="J624">
        <v>1</v>
      </c>
      <c r="K624" t="s">
        <v>117</v>
      </c>
      <c r="L624" t="s">
        <v>95</v>
      </c>
      <c r="M624" t="s">
        <v>94</v>
      </c>
      <c r="N624" t="s">
        <v>116</v>
      </c>
      <c r="O624" t="s">
        <v>115</v>
      </c>
    </row>
    <row r="625" spans="1:15" x14ac:dyDescent="0.3">
      <c r="A625" t="s">
        <v>9</v>
      </c>
      <c r="B625">
        <v>27</v>
      </c>
      <c r="C625">
        <v>0</v>
      </c>
      <c r="D625">
        <v>0</v>
      </c>
      <c r="E625">
        <v>0</v>
      </c>
      <c r="F625" t="s">
        <v>20</v>
      </c>
      <c r="G625" t="s">
        <v>16</v>
      </c>
      <c r="H625" t="s">
        <v>18</v>
      </c>
      <c r="I625" t="s">
        <v>13</v>
      </c>
      <c r="J625">
        <v>0</v>
      </c>
      <c r="K625" t="s">
        <v>114</v>
      </c>
      <c r="L625" t="s">
        <v>109</v>
      </c>
      <c r="M625" t="s">
        <v>111</v>
      </c>
      <c r="N625" t="s">
        <v>112</v>
      </c>
      <c r="O625" t="s">
        <v>110</v>
      </c>
    </row>
    <row r="626" spans="1:15" x14ac:dyDescent="0.3">
      <c r="A626" t="s">
        <v>9</v>
      </c>
      <c r="B626">
        <v>65</v>
      </c>
      <c r="C626">
        <v>0</v>
      </c>
      <c r="D626">
        <v>0</v>
      </c>
      <c r="E626">
        <v>0</v>
      </c>
      <c r="F626" t="s">
        <v>19</v>
      </c>
      <c r="G626" t="s">
        <v>11</v>
      </c>
      <c r="H626" t="s">
        <v>23</v>
      </c>
      <c r="I626" t="s">
        <v>13</v>
      </c>
      <c r="J626">
        <v>0</v>
      </c>
      <c r="K626" t="s">
        <v>119</v>
      </c>
      <c r="L626" t="s">
        <v>109</v>
      </c>
      <c r="M626" t="s">
        <v>111</v>
      </c>
      <c r="N626" t="s">
        <v>112</v>
      </c>
      <c r="O626" t="s">
        <v>110</v>
      </c>
    </row>
    <row r="627" spans="1:15" x14ac:dyDescent="0.3">
      <c r="A627" t="s">
        <v>9</v>
      </c>
      <c r="B627">
        <v>10</v>
      </c>
      <c r="C627">
        <v>1</v>
      </c>
      <c r="D627">
        <v>1</v>
      </c>
      <c r="E627">
        <v>1</v>
      </c>
      <c r="F627" t="s">
        <v>49</v>
      </c>
      <c r="G627" t="s">
        <v>16</v>
      </c>
      <c r="H627" t="s">
        <v>23</v>
      </c>
      <c r="I627" t="s">
        <v>13</v>
      </c>
      <c r="J627">
        <v>1</v>
      </c>
      <c r="K627" t="s">
        <v>118</v>
      </c>
      <c r="L627" t="s">
        <v>95</v>
      </c>
      <c r="M627" t="s">
        <v>94</v>
      </c>
      <c r="N627" t="s">
        <v>116</v>
      </c>
      <c r="O627" t="s">
        <v>115</v>
      </c>
    </row>
    <row r="628" spans="1:15" x14ac:dyDescent="0.3">
      <c r="A628" t="s">
        <v>9</v>
      </c>
      <c r="B628">
        <v>33</v>
      </c>
      <c r="C628">
        <v>1</v>
      </c>
      <c r="D628">
        <v>1</v>
      </c>
      <c r="E628">
        <v>1</v>
      </c>
      <c r="F628" t="s">
        <v>19</v>
      </c>
      <c r="G628" t="s">
        <v>11</v>
      </c>
      <c r="H628" t="s">
        <v>23</v>
      </c>
      <c r="I628" t="s">
        <v>13</v>
      </c>
      <c r="J628">
        <v>1</v>
      </c>
      <c r="K628" t="s">
        <v>114</v>
      </c>
      <c r="L628" t="s">
        <v>95</v>
      </c>
      <c r="M628" t="s">
        <v>94</v>
      </c>
      <c r="N628" t="s">
        <v>116</v>
      </c>
      <c r="O628" t="s">
        <v>115</v>
      </c>
    </row>
    <row r="629" spans="1:15" x14ac:dyDescent="0.3">
      <c r="A629" t="s">
        <v>14</v>
      </c>
      <c r="B629">
        <v>20</v>
      </c>
      <c r="C629">
        <v>1</v>
      </c>
      <c r="D629">
        <v>1</v>
      </c>
      <c r="E629">
        <v>1</v>
      </c>
      <c r="F629" t="s">
        <v>19</v>
      </c>
      <c r="G629" t="s">
        <v>16</v>
      </c>
      <c r="H629" t="s">
        <v>23</v>
      </c>
      <c r="I629" t="s">
        <v>13</v>
      </c>
      <c r="J629">
        <v>1</v>
      </c>
      <c r="K629" t="s">
        <v>117</v>
      </c>
      <c r="L629" t="s">
        <v>95</v>
      </c>
      <c r="M629" t="s">
        <v>94</v>
      </c>
      <c r="N629" t="s">
        <v>116</v>
      </c>
      <c r="O629" t="s">
        <v>115</v>
      </c>
    </row>
    <row r="630" spans="1:15" x14ac:dyDescent="0.3">
      <c r="A630" t="s">
        <v>9</v>
      </c>
      <c r="B630">
        <v>44</v>
      </c>
      <c r="C630">
        <v>1</v>
      </c>
      <c r="D630">
        <v>1</v>
      </c>
      <c r="E630">
        <v>1</v>
      </c>
      <c r="F630" t="s">
        <v>24</v>
      </c>
      <c r="G630" t="s">
        <v>11</v>
      </c>
      <c r="H630" t="s">
        <v>12</v>
      </c>
      <c r="I630" t="s">
        <v>13</v>
      </c>
      <c r="J630">
        <v>1</v>
      </c>
      <c r="K630" t="s">
        <v>114</v>
      </c>
      <c r="L630" t="s">
        <v>95</v>
      </c>
      <c r="M630" t="s">
        <v>94</v>
      </c>
      <c r="N630" t="s">
        <v>116</v>
      </c>
      <c r="O630" t="s">
        <v>115</v>
      </c>
    </row>
    <row r="631" spans="1:15" x14ac:dyDescent="0.3">
      <c r="A631" t="s">
        <v>14</v>
      </c>
      <c r="B631">
        <v>62</v>
      </c>
      <c r="C631">
        <v>0</v>
      </c>
      <c r="D631">
        <v>0</v>
      </c>
      <c r="E631">
        <v>0</v>
      </c>
      <c r="F631" t="s">
        <v>24</v>
      </c>
      <c r="G631" t="s">
        <v>16</v>
      </c>
      <c r="H631" t="s">
        <v>12</v>
      </c>
      <c r="I631" t="s">
        <v>13</v>
      </c>
      <c r="J631">
        <v>0</v>
      </c>
      <c r="K631" t="s">
        <v>108</v>
      </c>
      <c r="L631" t="s">
        <v>109</v>
      </c>
      <c r="M631" t="s">
        <v>111</v>
      </c>
      <c r="N631" t="s">
        <v>112</v>
      </c>
      <c r="O631" t="s">
        <v>110</v>
      </c>
    </row>
    <row r="632" spans="1:15" x14ac:dyDescent="0.3">
      <c r="A632" t="s">
        <v>14</v>
      </c>
      <c r="B632">
        <v>62</v>
      </c>
      <c r="C632">
        <v>1</v>
      </c>
      <c r="D632">
        <v>1</v>
      </c>
      <c r="E632">
        <v>0</v>
      </c>
      <c r="F632" t="s">
        <v>49</v>
      </c>
      <c r="G632" t="s">
        <v>11</v>
      </c>
      <c r="H632" t="s">
        <v>18</v>
      </c>
      <c r="I632" t="s">
        <v>13</v>
      </c>
      <c r="J632">
        <v>1</v>
      </c>
      <c r="K632" t="s">
        <v>108</v>
      </c>
      <c r="L632" t="s">
        <v>95</v>
      </c>
      <c r="M632" t="s">
        <v>111</v>
      </c>
      <c r="N632" t="s">
        <v>116</v>
      </c>
      <c r="O632" t="s">
        <v>115</v>
      </c>
    </row>
    <row r="633" spans="1:15" x14ac:dyDescent="0.3">
      <c r="A633" t="s">
        <v>14</v>
      </c>
      <c r="B633">
        <v>54</v>
      </c>
      <c r="C633">
        <v>1</v>
      </c>
      <c r="D633">
        <v>1</v>
      </c>
      <c r="E633">
        <v>1</v>
      </c>
      <c r="F633" t="s">
        <v>37</v>
      </c>
      <c r="G633" t="s">
        <v>16</v>
      </c>
      <c r="H633" t="s">
        <v>12</v>
      </c>
      <c r="I633" t="s">
        <v>13</v>
      </c>
      <c r="J633">
        <v>1</v>
      </c>
      <c r="K633" t="s">
        <v>108</v>
      </c>
      <c r="L633" t="s">
        <v>95</v>
      </c>
      <c r="M633" t="s">
        <v>94</v>
      </c>
      <c r="N633" t="s">
        <v>116</v>
      </c>
      <c r="O633" t="s">
        <v>115</v>
      </c>
    </row>
    <row r="634" spans="1:15" x14ac:dyDescent="0.3">
      <c r="A634" t="s">
        <v>14</v>
      </c>
      <c r="B634">
        <v>62</v>
      </c>
      <c r="C634">
        <v>0</v>
      </c>
      <c r="D634">
        <v>0</v>
      </c>
      <c r="E634">
        <v>1</v>
      </c>
      <c r="F634" t="s">
        <v>17</v>
      </c>
      <c r="G634" t="s">
        <v>11</v>
      </c>
      <c r="H634" t="s">
        <v>23</v>
      </c>
      <c r="I634" t="s">
        <v>13</v>
      </c>
      <c r="J634">
        <v>0</v>
      </c>
      <c r="K634" t="s">
        <v>108</v>
      </c>
      <c r="L634" t="s">
        <v>109</v>
      </c>
      <c r="M634" t="s">
        <v>94</v>
      </c>
      <c r="N634" t="s">
        <v>112</v>
      </c>
      <c r="O634" t="s">
        <v>110</v>
      </c>
    </row>
    <row r="635" spans="1:15" x14ac:dyDescent="0.3">
      <c r="A635" t="s">
        <v>14</v>
      </c>
      <c r="B635">
        <v>58</v>
      </c>
      <c r="C635">
        <v>1</v>
      </c>
      <c r="D635">
        <v>1</v>
      </c>
      <c r="E635">
        <v>0</v>
      </c>
      <c r="F635" t="s">
        <v>24</v>
      </c>
      <c r="G635" t="s">
        <v>16</v>
      </c>
      <c r="H635" t="s">
        <v>12</v>
      </c>
      <c r="I635" t="s">
        <v>13</v>
      </c>
      <c r="J635">
        <v>1</v>
      </c>
      <c r="K635" t="s">
        <v>108</v>
      </c>
      <c r="L635" t="s">
        <v>95</v>
      </c>
      <c r="M635" t="s">
        <v>111</v>
      </c>
      <c r="N635" t="s">
        <v>116</v>
      </c>
      <c r="O635" t="s">
        <v>115</v>
      </c>
    </row>
    <row r="636" spans="1:15" x14ac:dyDescent="0.3">
      <c r="A636" t="s">
        <v>14</v>
      </c>
      <c r="B636">
        <v>10</v>
      </c>
      <c r="C636">
        <v>1</v>
      </c>
      <c r="D636">
        <v>1</v>
      </c>
      <c r="E636">
        <v>1</v>
      </c>
      <c r="F636" t="s">
        <v>25</v>
      </c>
      <c r="G636" t="s">
        <v>11</v>
      </c>
      <c r="H636" t="s">
        <v>18</v>
      </c>
      <c r="I636" t="s">
        <v>13</v>
      </c>
      <c r="J636">
        <v>1</v>
      </c>
      <c r="K636" t="s">
        <v>118</v>
      </c>
      <c r="L636" t="s">
        <v>95</v>
      </c>
      <c r="M636" t="s">
        <v>94</v>
      </c>
      <c r="N636" t="s">
        <v>116</v>
      </c>
      <c r="O636" t="s">
        <v>115</v>
      </c>
    </row>
    <row r="637" spans="1:15" x14ac:dyDescent="0.3">
      <c r="A637" t="s">
        <v>9</v>
      </c>
      <c r="B637">
        <v>47</v>
      </c>
      <c r="C637">
        <v>0</v>
      </c>
      <c r="D637">
        <v>0</v>
      </c>
      <c r="E637">
        <v>1</v>
      </c>
      <c r="F637" t="s">
        <v>38</v>
      </c>
      <c r="G637" t="s">
        <v>16</v>
      </c>
      <c r="H637" t="s">
        <v>12</v>
      </c>
      <c r="I637" t="s">
        <v>13</v>
      </c>
      <c r="J637">
        <v>0</v>
      </c>
      <c r="K637" t="s">
        <v>108</v>
      </c>
      <c r="L637" t="s">
        <v>109</v>
      </c>
      <c r="M637" t="s">
        <v>94</v>
      </c>
      <c r="N637" t="s">
        <v>112</v>
      </c>
      <c r="O637" t="s">
        <v>110</v>
      </c>
    </row>
    <row r="638" spans="1:15" x14ac:dyDescent="0.3">
      <c r="A638" t="s">
        <v>9</v>
      </c>
      <c r="B638">
        <v>20</v>
      </c>
      <c r="C638">
        <v>0</v>
      </c>
      <c r="D638">
        <v>0</v>
      </c>
      <c r="E638">
        <v>1</v>
      </c>
      <c r="F638" t="s">
        <v>35</v>
      </c>
      <c r="G638" t="s">
        <v>11</v>
      </c>
      <c r="H638" t="s">
        <v>23</v>
      </c>
      <c r="I638" t="s">
        <v>13</v>
      </c>
      <c r="J638">
        <v>0</v>
      </c>
      <c r="K638" t="s">
        <v>117</v>
      </c>
      <c r="L638" t="s">
        <v>109</v>
      </c>
      <c r="M638" t="s">
        <v>94</v>
      </c>
      <c r="N638" t="s">
        <v>112</v>
      </c>
      <c r="O638" t="s">
        <v>110</v>
      </c>
    </row>
    <row r="639" spans="1:15" x14ac:dyDescent="0.3">
      <c r="A639" t="s">
        <v>14</v>
      </c>
      <c r="B639">
        <v>60</v>
      </c>
      <c r="C639">
        <v>0</v>
      </c>
      <c r="D639">
        <v>0</v>
      </c>
      <c r="E639">
        <v>1</v>
      </c>
      <c r="F639" t="s">
        <v>35</v>
      </c>
      <c r="G639" t="s">
        <v>16</v>
      </c>
      <c r="H639" t="s">
        <v>12</v>
      </c>
      <c r="I639" t="s">
        <v>13</v>
      </c>
      <c r="J639">
        <v>0</v>
      </c>
      <c r="K639" t="s">
        <v>108</v>
      </c>
      <c r="L639" t="s">
        <v>109</v>
      </c>
      <c r="M639" t="s">
        <v>94</v>
      </c>
      <c r="N639" t="s">
        <v>112</v>
      </c>
      <c r="O639" t="s">
        <v>110</v>
      </c>
    </row>
    <row r="640" spans="1:15" x14ac:dyDescent="0.3">
      <c r="A640" t="s">
        <v>9</v>
      </c>
      <c r="B640">
        <v>28</v>
      </c>
      <c r="C640">
        <v>0</v>
      </c>
      <c r="D640">
        <v>0</v>
      </c>
      <c r="E640">
        <v>0</v>
      </c>
      <c r="F640" t="s">
        <v>48</v>
      </c>
      <c r="G640" t="s">
        <v>11</v>
      </c>
      <c r="H640" t="s">
        <v>23</v>
      </c>
      <c r="I640" t="s">
        <v>13</v>
      </c>
      <c r="J640">
        <v>0</v>
      </c>
      <c r="K640" t="s">
        <v>114</v>
      </c>
      <c r="L640" t="s">
        <v>109</v>
      </c>
      <c r="M640" t="s">
        <v>111</v>
      </c>
      <c r="N640" t="s">
        <v>112</v>
      </c>
      <c r="O640" t="s">
        <v>110</v>
      </c>
    </row>
    <row r="641" spans="1:15" x14ac:dyDescent="0.3">
      <c r="A641" t="s">
        <v>9</v>
      </c>
      <c r="B641">
        <v>21</v>
      </c>
      <c r="C641">
        <v>1</v>
      </c>
      <c r="D641">
        <v>1</v>
      </c>
      <c r="E641">
        <v>1</v>
      </c>
      <c r="F641" t="s">
        <v>51</v>
      </c>
      <c r="G641" t="s">
        <v>16</v>
      </c>
      <c r="H641" t="s">
        <v>12</v>
      </c>
      <c r="I641" t="s">
        <v>13</v>
      </c>
      <c r="J641">
        <v>1</v>
      </c>
      <c r="K641" t="s">
        <v>117</v>
      </c>
      <c r="L641" t="s">
        <v>95</v>
      </c>
      <c r="M641" t="s">
        <v>94</v>
      </c>
      <c r="N641" t="s">
        <v>116</v>
      </c>
      <c r="O641" t="s">
        <v>115</v>
      </c>
    </row>
    <row r="642" spans="1:15" x14ac:dyDescent="0.3">
      <c r="A642" t="s">
        <v>9</v>
      </c>
      <c r="B642">
        <v>48</v>
      </c>
      <c r="C642">
        <v>1</v>
      </c>
      <c r="D642">
        <v>1</v>
      </c>
      <c r="E642">
        <v>1</v>
      </c>
      <c r="F642" t="s">
        <v>52</v>
      </c>
      <c r="G642" t="s">
        <v>11</v>
      </c>
      <c r="H642" t="s">
        <v>18</v>
      </c>
      <c r="I642" t="s">
        <v>13</v>
      </c>
      <c r="J642">
        <v>1</v>
      </c>
      <c r="K642" t="s">
        <v>108</v>
      </c>
      <c r="L642" t="s">
        <v>95</v>
      </c>
      <c r="M642" t="s">
        <v>94</v>
      </c>
      <c r="N642" t="s">
        <v>116</v>
      </c>
      <c r="O642" t="s">
        <v>115</v>
      </c>
    </row>
    <row r="643" spans="1:15" x14ac:dyDescent="0.3">
      <c r="A643" t="s">
        <v>14</v>
      </c>
      <c r="B643">
        <v>45</v>
      </c>
      <c r="C643">
        <v>0</v>
      </c>
      <c r="D643">
        <v>0</v>
      </c>
      <c r="E643">
        <v>0</v>
      </c>
      <c r="F643" t="s">
        <v>34</v>
      </c>
      <c r="G643" t="s">
        <v>16</v>
      </c>
      <c r="H643" t="s">
        <v>18</v>
      </c>
      <c r="I643" t="s">
        <v>13</v>
      </c>
      <c r="J643">
        <v>0</v>
      </c>
      <c r="K643" t="s">
        <v>108</v>
      </c>
      <c r="L643" t="s">
        <v>109</v>
      </c>
      <c r="M643" t="s">
        <v>111</v>
      </c>
      <c r="N643" t="s">
        <v>112</v>
      </c>
      <c r="O643" t="s">
        <v>110</v>
      </c>
    </row>
    <row r="644" spans="1:15" x14ac:dyDescent="0.3">
      <c r="A644" t="s">
        <v>14</v>
      </c>
      <c r="B644">
        <v>23</v>
      </c>
      <c r="C644">
        <v>1</v>
      </c>
      <c r="D644">
        <v>1</v>
      </c>
      <c r="E644">
        <v>0</v>
      </c>
      <c r="F644" t="s">
        <v>47</v>
      </c>
      <c r="G644" t="s">
        <v>11</v>
      </c>
      <c r="H644" t="s">
        <v>12</v>
      </c>
      <c r="I644" t="s">
        <v>13</v>
      </c>
      <c r="J644">
        <v>1</v>
      </c>
      <c r="K644" t="s">
        <v>117</v>
      </c>
      <c r="L644" t="s">
        <v>95</v>
      </c>
      <c r="M644" t="s">
        <v>111</v>
      </c>
      <c r="N644" t="s">
        <v>116</v>
      </c>
      <c r="O644" t="s">
        <v>115</v>
      </c>
    </row>
    <row r="645" spans="1:15" x14ac:dyDescent="0.3">
      <c r="A645" t="s">
        <v>9</v>
      </c>
      <c r="B645">
        <v>52</v>
      </c>
      <c r="C645">
        <v>0</v>
      </c>
      <c r="D645">
        <v>0</v>
      </c>
      <c r="E645">
        <v>0</v>
      </c>
      <c r="F645" t="s">
        <v>34</v>
      </c>
      <c r="G645" t="s">
        <v>16</v>
      </c>
      <c r="H645" t="s">
        <v>23</v>
      </c>
      <c r="I645" t="s">
        <v>13</v>
      </c>
      <c r="J645">
        <v>0</v>
      </c>
      <c r="K645" t="s">
        <v>108</v>
      </c>
      <c r="L645" t="s">
        <v>109</v>
      </c>
      <c r="M645" t="s">
        <v>111</v>
      </c>
      <c r="N645" t="s">
        <v>112</v>
      </c>
      <c r="O645" t="s">
        <v>110</v>
      </c>
    </row>
    <row r="646" spans="1:15" x14ac:dyDescent="0.3">
      <c r="A646" t="s">
        <v>14</v>
      </c>
      <c r="B646">
        <v>28</v>
      </c>
      <c r="C646">
        <v>1</v>
      </c>
      <c r="D646">
        <v>1</v>
      </c>
      <c r="E646">
        <v>1</v>
      </c>
      <c r="F646" t="s">
        <v>51</v>
      </c>
      <c r="G646" t="s">
        <v>11</v>
      </c>
      <c r="H646" t="s">
        <v>12</v>
      </c>
      <c r="I646" t="s">
        <v>13</v>
      </c>
      <c r="J646">
        <v>1</v>
      </c>
      <c r="K646" t="s">
        <v>114</v>
      </c>
      <c r="L646" t="s">
        <v>95</v>
      </c>
      <c r="M646" t="s">
        <v>94</v>
      </c>
      <c r="N646" t="s">
        <v>116</v>
      </c>
      <c r="O646" t="s">
        <v>115</v>
      </c>
    </row>
    <row r="647" spans="1:15" x14ac:dyDescent="0.3">
      <c r="A647" t="s">
        <v>14</v>
      </c>
      <c r="B647">
        <v>19</v>
      </c>
      <c r="C647">
        <v>0</v>
      </c>
      <c r="D647">
        <v>0</v>
      </c>
      <c r="E647">
        <v>0</v>
      </c>
      <c r="F647" t="s">
        <v>30</v>
      </c>
      <c r="G647" t="s">
        <v>16</v>
      </c>
      <c r="H647" t="s">
        <v>18</v>
      </c>
      <c r="I647" t="s">
        <v>13</v>
      </c>
      <c r="J647">
        <v>0</v>
      </c>
      <c r="K647" t="s">
        <v>117</v>
      </c>
      <c r="L647" t="s">
        <v>109</v>
      </c>
      <c r="M647" t="s">
        <v>111</v>
      </c>
      <c r="N647" t="s">
        <v>112</v>
      </c>
      <c r="O647" t="s">
        <v>110</v>
      </c>
    </row>
    <row r="648" spans="1:15" x14ac:dyDescent="0.3">
      <c r="A648" t="s">
        <v>14</v>
      </c>
      <c r="B648">
        <v>46</v>
      </c>
      <c r="C648">
        <v>1</v>
      </c>
      <c r="D648">
        <v>1</v>
      </c>
      <c r="E648">
        <v>1</v>
      </c>
      <c r="F648" t="s">
        <v>33</v>
      </c>
      <c r="G648" t="s">
        <v>11</v>
      </c>
      <c r="H648" t="s">
        <v>12</v>
      </c>
      <c r="I648" t="s">
        <v>13</v>
      </c>
      <c r="J648">
        <v>1</v>
      </c>
      <c r="K648" t="s">
        <v>108</v>
      </c>
      <c r="L648" t="s">
        <v>95</v>
      </c>
      <c r="M648" t="s">
        <v>94</v>
      </c>
      <c r="N648" t="s">
        <v>116</v>
      </c>
      <c r="O648" t="s">
        <v>115</v>
      </c>
    </row>
    <row r="649" spans="1:15" x14ac:dyDescent="0.3">
      <c r="A649" t="s">
        <v>9</v>
      </c>
      <c r="B649">
        <v>61</v>
      </c>
      <c r="C649">
        <v>0</v>
      </c>
      <c r="D649">
        <v>0</v>
      </c>
      <c r="E649">
        <v>0</v>
      </c>
      <c r="F649" t="s">
        <v>20</v>
      </c>
      <c r="G649" t="s">
        <v>16</v>
      </c>
      <c r="H649" t="s">
        <v>23</v>
      </c>
      <c r="I649" t="s">
        <v>13</v>
      </c>
      <c r="J649">
        <v>0</v>
      </c>
      <c r="K649" t="s">
        <v>108</v>
      </c>
      <c r="L649" t="s">
        <v>109</v>
      </c>
      <c r="M649" t="s">
        <v>111</v>
      </c>
      <c r="N649" t="s">
        <v>112</v>
      </c>
      <c r="O649" t="s">
        <v>110</v>
      </c>
    </row>
    <row r="650" spans="1:15" x14ac:dyDescent="0.3">
      <c r="A650" t="s">
        <v>9</v>
      </c>
      <c r="B650">
        <v>32</v>
      </c>
      <c r="C650">
        <v>0</v>
      </c>
      <c r="D650">
        <v>0</v>
      </c>
      <c r="E650">
        <v>0</v>
      </c>
      <c r="F650" t="s">
        <v>17</v>
      </c>
      <c r="G650" t="s">
        <v>11</v>
      </c>
      <c r="H650" t="s">
        <v>12</v>
      </c>
      <c r="I650" t="s">
        <v>13</v>
      </c>
      <c r="J650">
        <v>0</v>
      </c>
      <c r="K650" t="s">
        <v>114</v>
      </c>
      <c r="L650" t="s">
        <v>109</v>
      </c>
      <c r="M650" t="s">
        <v>111</v>
      </c>
      <c r="N650" t="s">
        <v>112</v>
      </c>
      <c r="O650" t="s">
        <v>110</v>
      </c>
    </row>
    <row r="651" spans="1:15" x14ac:dyDescent="0.3">
      <c r="A651" t="s">
        <v>14</v>
      </c>
      <c r="B651">
        <v>10</v>
      </c>
      <c r="C651">
        <v>1</v>
      </c>
      <c r="D651">
        <v>1</v>
      </c>
      <c r="E651">
        <v>1</v>
      </c>
      <c r="F651" t="s">
        <v>33</v>
      </c>
      <c r="G651" t="s">
        <v>16</v>
      </c>
      <c r="H651" t="s">
        <v>18</v>
      </c>
      <c r="I651" t="s">
        <v>13</v>
      </c>
      <c r="J651">
        <v>1</v>
      </c>
      <c r="K651" t="s">
        <v>118</v>
      </c>
      <c r="L651" t="s">
        <v>95</v>
      </c>
      <c r="M651" t="s">
        <v>94</v>
      </c>
      <c r="N651" t="s">
        <v>116</v>
      </c>
      <c r="O651" t="s">
        <v>115</v>
      </c>
    </row>
    <row r="652" spans="1:15" x14ac:dyDescent="0.3">
      <c r="A652" t="s">
        <v>14</v>
      </c>
      <c r="B652">
        <v>27</v>
      </c>
      <c r="C652">
        <v>1</v>
      </c>
      <c r="D652">
        <v>1</v>
      </c>
      <c r="E652">
        <v>1</v>
      </c>
      <c r="F652" t="s">
        <v>22</v>
      </c>
      <c r="G652" t="s">
        <v>11</v>
      </c>
      <c r="H652" t="s">
        <v>18</v>
      </c>
      <c r="I652" t="s">
        <v>13</v>
      </c>
      <c r="J652">
        <v>1</v>
      </c>
      <c r="K652" t="s">
        <v>114</v>
      </c>
      <c r="L652" t="s">
        <v>95</v>
      </c>
      <c r="M652" t="s">
        <v>94</v>
      </c>
      <c r="N652" t="s">
        <v>116</v>
      </c>
      <c r="O652" t="s">
        <v>115</v>
      </c>
    </row>
    <row r="653" spans="1:15" x14ac:dyDescent="0.3">
      <c r="A653" t="s">
        <v>9</v>
      </c>
      <c r="B653">
        <v>56</v>
      </c>
      <c r="C653">
        <v>0</v>
      </c>
      <c r="D653">
        <v>0</v>
      </c>
      <c r="E653">
        <v>0</v>
      </c>
      <c r="F653" t="s">
        <v>26</v>
      </c>
      <c r="G653" t="s">
        <v>16</v>
      </c>
      <c r="H653" t="s">
        <v>12</v>
      </c>
      <c r="I653" t="s">
        <v>13</v>
      </c>
      <c r="J653">
        <v>0</v>
      </c>
      <c r="K653" t="s">
        <v>108</v>
      </c>
      <c r="L653" t="s">
        <v>109</v>
      </c>
      <c r="M653" t="s">
        <v>111</v>
      </c>
      <c r="N653" t="s">
        <v>112</v>
      </c>
      <c r="O653" t="s">
        <v>110</v>
      </c>
    </row>
    <row r="654" spans="1:15" x14ac:dyDescent="0.3">
      <c r="A654" t="s">
        <v>14</v>
      </c>
      <c r="B654">
        <v>26</v>
      </c>
      <c r="C654">
        <v>0</v>
      </c>
      <c r="D654">
        <v>0</v>
      </c>
      <c r="E654">
        <v>0</v>
      </c>
      <c r="F654" t="s">
        <v>41</v>
      </c>
      <c r="G654" t="s">
        <v>11</v>
      </c>
      <c r="H654" t="s">
        <v>12</v>
      </c>
      <c r="I654" t="s">
        <v>13</v>
      </c>
      <c r="J654">
        <v>0</v>
      </c>
      <c r="K654" t="s">
        <v>114</v>
      </c>
      <c r="L654" t="s">
        <v>109</v>
      </c>
      <c r="M654" t="s">
        <v>111</v>
      </c>
      <c r="N654" t="s">
        <v>112</v>
      </c>
      <c r="O654" t="s">
        <v>110</v>
      </c>
    </row>
    <row r="655" spans="1:15" x14ac:dyDescent="0.3">
      <c r="A655" t="s">
        <v>14</v>
      </c>
      <c r="B655">
        <v>15</v>
      </c>
      <c r="C655">
        <v>1</v>
      </c>
      <c r="D655">
        <v>1</v>
      </c>
      <c r="E655">
        <v>0</v>
      </c>
      <c r="F655" t="s">
        <v>20</v>
      </c>
      <c r="G655" t="s">
        <v>16</v>
      </c>
      <c r="H655" t="s">
        <v>18</v>
      </c>
      <c r="I655" t="s">
        <v>13</v>
      </c>
      <c r="J655">
        <v>1</v>
      </c>
      <c r="K655" t="s">
        <v>113</v>
      </c>
      <c r="L655" t="s">
        <v>95</v>
      </c>
      <c r="M655" t="s">
        <v>111</v>
      </c>
      <c r="N655" t="s">
        <v>116</v>
      </c>
      <c r="O655" t="s">
        <v>115</v>
      </c>
    </row>
    <row r="656" spans="1:15" x14ac:dyDescent="0.3">
      <c r="A656" t="s">
        <v>9</v>
      </c>
      <c r="B656">
        <v>10</v>
      </c>
      <c r="C656">
        <v>1</v>
      </c>
      <c r="D656">
        <v>1</v>
      </c>
      <c r="E656">
        <v>1</v>
      </c>
      <c r="F656" t="s">
        <v>20</v>
      </c>
      <c r="G656" t="s">
        <v>11</v>
      </c>
      <c r="H656" t="s">
        <v>18</v>
      </c>
      <c r="I656" t="s">
        <v>13</v>
      </c>
      <c r="J656">
        <v>1</v>
      </c>
      <c r="K656" t="s">
        <v>118</v>
      </c>
      <c r="L656" t="s">
        <v>95</v>
      </c>
      <c r="M656" t="s">
        <v>94</v>
      </c>
      <c r="N656" t="s">
        <v>116</v>
      </c>
      <c r="O656" t="s">
        <v>115</v>
      </c>
    </row>
    <row r="657" spans="1:15" x14ac:dyDescent="0.3">
      <c r="A657" t="s">
        <v>14</v>
      </c>
      <c r="B657">
        <v>24</v>
      </c>
      <c r="C657">
        <v>1</v>
      </c>
      <c r="D657">
        <v>1</v>
      </c>
      <c r="E657">
        <v>1</v>
      </c>
      <c r="F657" t="s">
        <v>33</v>
      </c>
      <c r="G657" t="s">
        <v>16</v>
      </c>
      <c r="H657" t="s">
        <v>23</v>
      </c>
      <c r="I657" t="s">
        <v>13</v>
      </c>
      <c r="J657">
        <v>1</v>
      </c>
      <c r="K657" t="s">
        <v>117</v>
      </c>
      <c r="L657" t="s">
        <v>95</v>
      </c>
      <c r="M657" t="s">
        <v>94</v>
      </c>
      <c r="N657" t="s">
        <v>116</v>
      </c>
      <c r="O657" t="s">
        <v>115</v>
      </c>
    </row>
    <row r="658" spans="1:15" x14ac:dyDescent="0.3">
      <c r="A658" t="s">
        <v>9</v>
      </c>
      <c r="B658">
        <v>51</v>
      </c>
      <c r="C658">
        <v>0</v>
      </c>
      <c r="D658">
        <v>0</v>
      </c>
      <c r="E658">
        <v>1</v>
      </c>
      <c r="F658" t="s">
        <v>45</v>
      </c>
      <c r="G658" t="s">
        <v>11</v>
      </c>
      <c r="H658" t="s">
        <v>23</v>
      </c>
      <c r="I658" t="s">
        <v>13</v>
      </c>
      <c r="J658">
        <v>0</v>
      </c>
      <c r="K658" t="s">
        <v>108</v>
      </c>
      <c r="L658" t="s">
        <v>109</v>
      </c>
      <c r="M658" t="s">
        <v>94</v>
      </c>
      <c r="N658" t="s">
        <v>112</v>
      </c>
      <c r="O658" t="s">
        <v>110</v>
      </c>
    </row>
    <row r="659" spans="1:15" x14ac:dyDescent="0.3">
      <c r="A659" t="s">
        <v>9</v>
      </c>
      <c r="B659">
        <v>41</v>
      </c>
      <c r="C659">
        <v>0</v>
      </c>
      <c r="D659">
        <v>0</v>
      </c>
      <c r="E659">
        <v>1</v>
      </c>
      <c r="F659" t="s">
        <v>17</v>
      </c>
      <c r="G659" t="s">
        <v>16</v>
      </c>
      <c r="H659" t="s">
        <v>18</v>
      </c>
      <c r="I659" t="s">
        <v>13</v>
      </c>
      <c r="J659">
        <v>0</v>
      </c>
      <c r="K659" t="s">
        <v>114</v>
      </c>
      <c r="L659" t="s">
        <v>109</v>
      </c>
      <c r="M659" t="s">
        <v>94</v>
      </c>
      <c r="N659" t="s">
        <v>112</v>
      </c>
      <c r="O659" t="s">
        <v>110</v>
      </c>
    </row>
    <row r="660" spans="1:15" x14ac:dyDescent="0.3">
      <c r="A660" t="s">
        <v>14</v>
      </c>
      <c r="B660">
        <v>65</v>
      </c>
      <c r="C660">
        <v>1</v>
      </c>
      <c r="D660">
        <v>1</v>
      </c>
      <c r="E660">
        <v>0</v>
      </c>
      <c r="F660" t="s">
        <v>45</v>
      </c>
      <c r="G660" t="s">
        <v>11</v>
      </c>
      <c r="H660" t="s">
        <v>12</v>
      </c>
      <c r="I660" t="s">
        <v>13</v>
      </c>
      <c r="J660">
        <v>1</v>
      </c>
      <c r="K660" t="s">
        <v>119</v>
      </c>
      <c r="L660" t="s">
        <v>95</v>
      </c>
      <c r="M660" t="s">
        <v>111</v>
      </c>
      <c r="N660" t="s">
        <v>116</v>
      </c>
      <c r="O660" t="s">
        <v>115</v>
      </c>
    </row>
    <row r="661" spans="1:15" x14ac:dyDescent="0.3">
      <c r="A661" t="s">
        <v>9</v>
      </c>
      <c r="B661">
        <v>51</v>
      </c>
      <c r="C661">
        <v>0</v>
      </c>
      <c r="D661">
        <v>0</v>
      </c>
      <c r="E661">
        <v>1</v>
      </c>
      <c r="F661" t="s">
        <v>21</v>
      </c>
      <c r="G661" t="s">
        <v>16</v>
      </c>
      <c r="H661" t="s">
        <v>12</v>
      </c>
      <c r="I661" t="s">
        <v>13</v>
      </c>
      <c r="J661">
        <v>0</v>
      </c>
      <c r="K661" t="s">
        <v>108</v>
      </c>
      <c r="L661" t="s">
        <v>109</v>
      </c>
      <c r="M661" t="s">
        <v>94</v>
      </c>
      <c r="N661" t="s">
        <v>112</v>
      </c>
      <c r="O661" t="s">
        <v>110</v>
      </c>
    </row>
    <row r="662" spans="1:15" x14ac:dyDescent="0.3">
      <c r="A662" t="s">
        <v>14</v>
      </c>
      <c r="B662">
        <v>18</v>
      </c>
      <c r="C662">
        <v>0</v>
      </c>
      <c r="D662">
        <v>0</v>
      </c>
      <c r="E662">
        <v>0</v>
      </c>
      <c r="F662" t="s">
        <v>22</v>
      </c>
      <c r="G662" t="s">
        <v>11</v>
      </c>
      <c r="H662" t="s">
        <v>12</v>
      </c>
      <c r="I662" t="s">
        <v>13</v>
      </c>
      <c r="J662">
        <v>0</v>
      </c>
      <c r="K662" t="s">
        <v>113</v>
      </c>
      <c r="L662" t="s">
        <v>109</v>
      </c>
      <c r="M662" t="s">
        <v>111</v>
      </c>
      <c r="N662" t="s">
        <v>112</v>
      </c>
      <c r="O662" t="s">
        <v>110</v>
      </c>
    </row>
    <row r="663" spans="1:15" x14ac:dyDescent="0.3">
      <c r="A663" t="s">
        <v>14</v>
      </c>
      <c r="B663">
        <v>31</v>
      </c>
      <c r="C663">
        <v>0</v>
      </c>
      <c r="D663">
        <v>0</v>
      </c>
      <c r="E663">
        <v>1</v>
      </c>
      <c r="F663" t="s">
        <v>41</v>
      </c>
      <c r="G663" t="s">
        <v>16</v>
      </c>
      <c r="H663" t="s">
        <v>12</v>
      </c>
      <c r="I663" t="s">
        <v>13</v>
      </c>
      <c r="J663">
        <v>0</v>
      </c>
      <c r="K663" t="s">
        <v>114</v>
      </c>
      <c r="L663" t="s">
        <v>109</v>
      </c>
      <c r="M663" t="s">
        <v>94</v>
      </c>
      <c r="N663" t="s">
        <v>112</v>
      </c>
      <c r="O663" t="s">
        <v>110</v>
      </c>
    </row>
    <row r="664" spans="1:15" x14ac:dyDescent="0.3">
      <c r="A664" t="s">
        <v>14</v>
      </c>
      <c r="B664">
        <v>30</v>
      </c>
      <c r="C664">
        <v>1</v>
      </c>
      <c r="D664">
        <v>1</v>
      </c>
      <c r="E664">
        <v>0</v>
      </c>
      <c r="F664" t="s">
        <v>47</v>
      </c>
      <c r="G664" t="s">
        <v>11</v>
      </c>
      <c r="H664" t="s">
        <v>12</v>
      </c>
      <c r="I664" t="s">
        <v>13</v>
      </c>
      <c r="J664">
        <v>1</v>
      </c>
      <c r="K664" t="s">
        <v>114</v>
      </c>
      <c r="L664" t="s">
        <v>95</v>
      </c>
      <c r="M664" t="s">
        <v>111</v>
      </c>
      <c r="N664" t="s">
        <v>116</v>
      </c>
      <c r="O664" t="s">
        <v>115</v>
      </c>
    </row>
    <row r="665" spans="1:15" x14ac:dyDescent="0.3">
      <c r="A665" t="s">
        <v>14</v>
      </c>
      <c r="B665">
        <v>14</v>
      </c>
      <c r="C665">
        <v>1</v>
      </c>
      <c r="D665">
        <v>1</v>
      </c>
      <c r="E665">
        <v>1</v>
      </c>
      <c r="F665" t="s">
        <v>43</v>
      </c>
      <c r="G665" t="s">
        <v>16</v>
      </c>
      <c r="H665" t="s">
        <v>23</v>
      </c>
      <c r="I665" t="s">
        <v>13</v>
      </c>
      <c r="J665">
        <v>1</v>
      </c>
      <c r="K665" t="s">
        <v>113</v>
      </c>
      <c r="L665" t="s">
        <v>95</v>
      </c>
      <c r="M665" t="s">
        <v>94</v>
      </c>
      <c r="N665" t="s">
        <v>116</v>
      </c>
      <c r="O665" t="s">
        <v>115</v>
      </c>
    </row>
    <row r="666" spans="1:15" x14ac:dyDescent="0.3">
      <c r="A666" t="s">
        <v>14</v>
      </c>
      <c r="B666">
        <v>17</v>
      </c>
      <c r="C666">
        <v>1</v>
      </c>
      <c r="D666">
        <v>1</v>
      </c>
      <c r="E666">
        <v>0</v>
      </c>
      <c r="F666" t="s">
        <v>22</v>
      </c>
      <c r="G666" t="s">
        <v>11</v>
      </c>
      <c r="H666" t="s">
        <v>18</v>
      </c>
      <c r="I666" t="s">
        <v>13</v>
      </c>
      <c r="J666">
        <v>1</v>
      </c>
      <c r="K666" t="s">
        <v>113</v>
      </c>
      <c r="L666" t="s">
        <v>95</v>
      </c>
      <c r="M666" t="s">
        <v>111</v>
      </c>
      <c r="N666" t="s">
        <v>116</v>
      </c>
      <c r="O666" t="s">
        <v>115</v>
      </c>
    </row>
    <row r="667" spans="1:15" x14ac:dyDescent="0.3">
      <c r="A667" t="s">
        <v>14</v>
      </c>
      <c r="B667">
        <v>63</v>
      </c>
      <c r="C667">
        <v>1</v>
      </c>
      <c r="D667">
        <v>1</v>
      </c>
      <c r="E667">
        <v>0</v>
      </c>
      <c r="F667" t="s">
        <v>46</v>
      </c>
      <c r="G667" t="s">
        <v>16</v>
      </c>
      <c r="H667" t="s">
        <v>23</v>
      </c>
      <c r="I667" t="s">
        <v>13</v>
      </c>
      <c r="J667">
        <v>1</v>
      </c>
      <c r="K667" t="s">
        <v>108</v>
      </c>
      <c r="L667" t="s">
        <v>95</v>
      </c>
      <c r="M667" t="s">
        <v>111</v>
      </c>
      <c r="N667" t="s">
        <v>116</v>
      </c>
      <c r="O667" t="s">
        <v>115</v>
      </c>
    </row>
    <row r="668" spans="1:15" x14ac:dyDescent="0.3">
      <c r="A668" t="s">
        <v>14</v>
      </c>
      <c r="B668">
        <v>49</v>
      </c>
      <c r="C668">
        <v>1</v>
      </c>
      <c r="D668">
        <v>1</v>
      </c>
      <c r="E668">
        <v>0</v>
      </c>
      <c r="F668" t="s">
        <v>15</v>
      </c>
      <c r="G668" t="s">
        <v>11</v>
      </c>
      <c r="H668" t="s">
        <v>12</v>
      </c>
      <c r="I668" t="s">
        <v>13</v>
      </c>
      <c r="J668">
        <v>1</v>
      </c>
      <c r="K668" t="s">
        <v>108</v>
      </c>
      <c r="L668" t="s">
        <v>95</v>
      </c>
      <c r="M668" t="s">
        <v>111</v>
      </c>
      <c r="N668" t="s">
        <v>116</v>
      </c>
      <c r="O668" t="s">
        <v>115</v>
      </c>
    </row>
    <row r="669" spans="1:15" x14ac:dyDescent="0.3">
      <c r="A669" t="s">
        <v>9</v>
      </c>
      <c r="B669">
        <v>55</v>
      </c>
      <c r="C669">
        <v>0</v>
      </c>
      <c r="D669">
        <v>0</v>
      </c>
      <c r="E669">
        <v>0</v>
      </c>
      <c r="F669" t="s">
        <v>48</v>
      </c>
      <c r="G669" t="s">
        <v>16</v>
      </c>
      <c r="H669" t="s">
        <v>12</v>
      </c>
      <c r="I669" t="s">
        <v>13</v>
      </c>
      <c r="J669">
        <v>0</v>
      </c>
      <c r="K669" t="s">
        <v>108</v>
      </c>
      <c r="L669" t="s">
        <v>109</v>
      </c>
      <c r="M669" t="s">
        <v>111</v>
      </c>
      <c r="N669" t="s">
        <v>112</v>
      </c>
      <c r="O669" t="s">
        <v>110</v>
      </c>
    </row>
    <row r="670" spans="1:15" x14ac:dyDescent="0.3">
      <c r="A670" t="s">
        <v>9</v>
      </c>
      <c r="B670">
        <v>17</v>
      </c>
      <c r="C670">
        <v>1</v>
      </c>
      <c r="D670">
        <v>1</v>
      </c>
      <c r="E670">
        <v>0</v>
      </c>
      <c r="F670" t="s">
        <v>38</v>
      </c>
      <c r="G670" t="s">
        <v>11</v>
      </c>
      <c r="H670" t="s">
        <v>18</v>
      </c>
      <c r="I670" t="s">
        <v>13</v>
      </c>
      <c r="J670">
        <v>1</v>
      </c>
      <c r="K670" t="s">
        <v>113</v>
      </c>
      <c r="L670" t="s">
        <v>95</v>
      </c>
      <c r="M670" t="s">
        <v>111</v>
      </c>
      <c r="N670" t="s">
        <v>116</v>
      </c>
      <c r="O670" t="s">
        <v>115</v>
      </c>
    </row>
    <row r="671" spans="1:15" x14ac:dyDescent="0.3">
      <c r="A671" t="s">
        <v>14</v>
      </c>
      <c r="B671">
        <v>17</v>
      </c>
      <c r="C671">
        <v>0</v>
      </c>
      <c r="D671">
        <v>0</v>
      </c>
      <c r="E671">
        <v>1</v>
      </c>
      <c r="F671" t="s">
        <v>22</v>
      </c>
      <c r="G671" t="s">
        <v>16</v>
      </c>
      <c r="H671" t="s">
        <v>23</v>
      </c>
      <c r="I671" t="s">
        <v>13</v>
      </c>
      <c r="J671">
        <v>0</v>
      </c>
      <c r="K671" t="s">
        <v>113</v>
      </c>
      <c r="L671" t="s">
        <v>109</v>
      </c>
      <c r="M671" t="s">
        <v>94</v>
      </c>
      <c r="N671" t="s">
        <v>112</v>
      </c>
      <c r="O671" t="s">
        <v>110</v>
      </c>
    </row>
    <row r="672" spans="1:15" x14ac:dyDescent="0.3">
      <c r="A672" t="s">
        <v>14</v>
      </c>
      <c r="B672">
        <v>55</v>
      </c>
      <c r="C672">
        <v>1</v>
      </c>
      <c r="D672">
        <v>1</v>
      </c>
      <c r="E672">
        <v>1</v>
      </c>
      <c r="F672" t="s">
        <v>33</v>
      </c>
      <c r="G672" t="s">
        <v>11</v>
      </c>
      <c r="H672" t="s">
        <v>12</v>
      </c>
      <c r="I672" t="s">
        <v>13</v>
      </c>
      <c r="J672">
        <v>1</v>
      </c>
      <c r="K672" t="s">
        <v>108</v>
      </c>
      <c r="L672" t="s">
        <v>95</v>
      </c>
      <c r="M672" t="s">
        <v>94</v>
      </c>
      <c r="N672" t="s">
        <v>116</v>
      </c>
      <c r="O672" t="s">
        <v>115</v>
      </c>
    </row>
    <row r="673" spans="1:15" x14ac:dyDescent="0.3">
      <c r="A673" t="s">
        <v>9</v>
      </c>
      <c r="B673">
        <v>57</v>
      </c>
      <c r="C673">
        <v>1</v>
      </c>
      <c r="D673">
        <v>1</v>
      </c>
      <c r="E673">
        <v>0</v>
      </c>
      <c r="F673" t="s">
        <v>44</v>
      </c>
      <c r="G673" t="s">
        <v>16</v>
      </c>
      <c r="H673" t="s">
        <v>18</v>
      </c>
      <c r="I673" t="s">
        <v>13</v>
      </c>
      <c r="J673">
        <v>1</v>
      </c>
      <c r="K673" t="s">
        <v>108</v>
      </c>
      <c r="L673" t="s">
        <v>95</v>
      </c>
      <c r="M673" t="s">
        <v>111</v>
      </c>
      <c r="N673" t="s">
        <v>116</v>
      </c>
      <c r="O673" t="s">
        <v>115</v>
      </c>
    </row>
    <row r="674" spans="1:15" x14ac:dyDescent="0.3">
      <c r="A674" t="s">
        <v>14</v>
      </c>
      <c r="B674">
        <v>45</v>
      </c>
      <c r="C674">
        <v>0</v>
      </c>
      <c r="D674">
        <v>0</v>
      </c>
      <c r="E674">
        <v>0</v>
      </c>
      <c r="F674" t="s">
        <v>26</v>
      </c>
      <c r="G674" t="s">
        <v>11</v>
      </c>
      <c r="H674" t="s">
        <v>23</v>
      </c>
      <c r="I674" t="s">
        <v>13</v>
      </c>
      <c r="J674">
        <v>0</v>
      </c>
      <c r="K674" t="s">
        <v>108</v>
      </c>
      <c r="L674" t="s">
        <v>109</v>
      </c>
      <c r="M674" t="s">
        <v>111</v>
      </c>
      <c r="N674" t="s">
        <v>112</v>
      </c>
      <c r="O674" t="s">
        <v>110</v>
      </c>
    </row>
    <row r="675" spans="1:15" x14ac:dyDescent="0.3">
      <c r="A675" t="s">
        <v>9</v>
      </c>
      <c r="B675">
        <v>37</v>
      </c>
      <c r="C675">
        <v>0</v>
      </c>
      <c r="D675">
        <v>0</v>
      </c>
      <c r="E675">
        <v>0</v>
      </c>
      <c r="F675" t="s">
        <v>27</v>
      </c>
      <c r="G675" t="s">
        <v>16</v>
      </c>
      <c r="H675" t="s">
        <v>12</v>
      </c>
      <c r="I675" t="s">
        <v>13</v>
      </c>
      <c r="J675">
        <v>0</v>
      </c>
      <c r="K675" t="s">
        <v>114</v>
      </c>
      <c r="L675" t="s">
        <v>109</v>
      </c>
      <c r="M675" t="s">
        <v>111</v>
      </c>
      <c r="N675" t="s">
        <v>112</v>
      </c>
      <c r="O675" t="s">
        <v>110</v>
      </c>
    </row>
    <row r="676" spans="1:15" x14ac:dyDescent="0.3">
      <c r="A676" t="s">
        <v>14</v>
      </c>
      <c r="B676">
        <v>47</v>
      </c>
      <c r="C676">
        <v>1</v>
      </c>
      <c r="D676">
        <v>1</v>
      </c>
      <c r="E676">
        <v>1</v>
      </c>
      <c r="F676" t="s">
        <v>33</v>
      </c>
      <c r="G676" t="s">
        <v>11</v>
      </c>
      <c r="H676" t="s">
        <v>18</v>
      </c>
      <c r="I676" t="s">
        <v>13</v>
      </c>
      <c r="J676">
        <v>1</v>
      </c>
      <c r="K676" t="s">
        <v>108</v>
      </c>
      <c r="L676" t="s">
        <v>95</v>
      </c>
      <c r="M676" t="s">
        <v>94</v>
      </c>
      <c r="N676" t="s">
        <v>116</v>
      </c>
      <c r="O676" t="s">
        <v>115</v>
      </c>
    </row>
    <row r="677" spans="1:15" x14ac:dyDescent="0.3">
      <c r="A677" t="s">
        <v>9</v>
      </c>
      <c r="B677">
        <v>49</v>
      </c>
      <c r="C677">
        <v>1</v>
      </c>
      <c r="D677">
        <v>1</v>
      </c>
      <c r="E677">
        <v>1</v>
      </c>
      <c r="F677" t="s">
        <v>29</v>
      </c>
      <c r="G677" t="s">
        <v>16</v>
      </c>
      <c r="H677" t="s">
        <v>23</v>
      </c>
      <c r="I677" t="s">
        <v>13</v>
      </c>
      <c r="J677">
        <v>1</v>
      </c>
      <c r="K677" t="s">
        <v>108</v>
      </c>
      <c r="L677" t="s">
        <v>95</v>
      </c>
      <c r="M677" t="s">
        <v>94</v>
      </c>
      <c r="N677" t="s">
        <v>116</v>
      </c>
      <c r="O677" t="s">
        <v>115</v>
      </c>
    </row>
    <row r="678" spans="1:15" x14ac:dyDescent="0.3">
      <c r="A678" t="s">
        <v>9</v>
      </c>
      <c r="B678">
        <v>32</v>
      </c>
      <c r="C678">
        <v>1</v>
      </c>
      <c r="D678">
        <v>1</v>
      </c>
      <c r="E678">
        <v>0</v>
      </c>
      <c r="F678" t="s">
        <v>30</v>
      </c>
      <c r="G678" t="s">
        <v>11</v>
      </c>
      <c r="H678" t="s">
        <v>23</v>
      </c>
      <c r="I678" t="s">
        <v>13</v>
      </c>
      <c r="J678">
        <v>1</v>
      </c>
      <c r="K678" t="s">
        <v>114</v>
      </c>
      <c r="L678" t="s">
        <v>95</v>
      </c>
      <c r="M678" t="s">
        <v>111</v>
      </c>
      <c r="N678" t="s">
        <v>116</v>
      </c>
      <c r="O678" t="s">
        <v>115</v>
      </c>
    </row>
    <row r="679" spans="1:15" x14ac:dyDescent="0.3">
      <c r="A679" t="s">
        <v>14</v>
      </c>
      <c r="B679">
        <v>33</v>
      </c>
      <c r="C679">
        <v>1</v>
      </c>
      <c r="D679">
        <v>1</v>
      </c>
      <c r="E679">
        <v>0</v>
      </c>
      <c r="F679" t="s">
        <v>31</v>
      </c>
      <c r="G679" t="s">
        <v>16</v>
      </c>
      <c r="H679" t="s">
        <v>12</v>
      </c>
      <c r="I679" t="s">
        <v>13</v>
      </c>
      <c r="J679">
        <v>1</v>
      </c>
      <c r="K679" t="s">
        <v>114</v>
      </c>
      <c r="L679" t="s">
        <v>95</v>
      </c>
      <c r="M679" t="s">
        <v>111</v>
      </c>
      <c r="N679" t="s">
        <v>116</v>
      </c>
      <c r="O679" t="s">
        <v>115</v>
      </c>
    </row>
    <row r="680" spans="1:15" x14ac:dyDescent="0.3">
      <c r="A680" t="s">
        <v>9</v>
      </c>
      <c r="B680">
        <v>25</v>
      </c>
      <c r="C680">
        <v>0</v>
      </c>
      <c r="D680">
        <v>0</v>
      </c>
      <c r="E680">
        <v>0</v>
      </c>
      <c r="F680" t="s">
        <v>33</v>
      </c>
      <c r="G680" t="s">
        <v>11</v>
      </c>
      <c r="H680" t="s">
        <v>18</v>
      </c>
      <c r="I680" t="s">
        <v>13</v>
      </c>
      <c r="J680">
        <v>0</v>
      </c>
      <c r="K680" t="s">
        <v>114</v>
      </c>
      <c r="L680" t="s">
        <v>109</v>
      </c>
      <c r="M680" t="s">
        <v>111</v>
      </c>
      <c r="N680" t="s">
        <v>112</v>
      </c>
      <c r="O680" t="s">
        <v>110</v>
      </c>
    </row>
    <row r="681" spans="1:15" x14ac:dyDescent="0.3">
      <c r="A681" t="s">
        <v>14</v>
      </c>
      <c r="B681">
        <v>24</v>
      </c>
      <c r="C681">
        <v>0</v>
      </c>
      <c r="D681">
        <v>0</v>
      </c>
      <c r="E681">
        <v>0</v>
      </c>
      <c r="F681" t="s">
        <v>45</v>
      </c>
      <c r="G681" t="s">
        <v>16</v>
      </c>
      <c r="H681" t="s">
        <v>12</v>
      </c>
      <c r="I681" t="s">
        <v>13</v>
      </c>
      <c r="J681">
        <v>0</v>
      </c>
      <c r="K681" t="s">
        <v>117</v>
      </c>
      <c r="L681" t="s">
        <v>109</v>
      </c>
      <c r="M681" t="s">
        <v>111</v>
      </c>
      <c r="N681" t="s">
        <v>112</v>
      </c>
      <c r="O681" t="s">
        <v>110</v>
      </c>
    </row>
    <row r="682" spans="1:15" x14ac:dyDescent="0.3">
      <c r="A682" t="s">
        <v>14</v>
      </c>
      <c r="B682">
        <v>22</v>
      </c>
      <c r="C682">
        <v>0</v>
      </c>
      <c r="D682">
        <v>0</v>
      </c>
      <c r="E682">
        <v>0</v>
      </c>
      <c r="F682" t="s">
        <v>49</v>
      </c>
      <c r="G682" t="s">
        <v>11</v>
      </c>
      <c r="H682" t="s">
        <v>12</v>
      </c>
      <c r="I682" t="s">
        <v>13</v>
      </c>
      <c r="J682">
        <v>0</v>
      </c>
      <c r="K682" t="s">
        <v>117</v>
      </c>
      <c r="L682" t="s">
        <v>109</v>
      </c>
      <c r="M682" t="s">
        <v>111</v>
      </c>
      <c r="N682" t="s">
        <v>112</v>
      </c>
      <c r="O682" t="s">
        <v>110</v>
      </c>
    </row>
    <row r="683" spans="1:15" x14ac:dyDescent="0.3">
      <c r="A683" t="s">
        <v>9</v>
      </c>
      <c r="B683">
        <v>52</v>
      </c>
      <c r="C683">
        <v>1</v>
      </c>
      <c r="D683">
        <v>1</v>
      </c>
      <c r="E683">
        <v>1</v>
      </c>
      <c r="F683" t="s">
        <v>19</v>
      </c>
      <c r="G683" t="s">
        <v>16</v>
      </c>
      <c r="H683" t="s">
        <v>12</v>
      </c>
      <c r="I683" t="s">
        <v>13</v>
      </c>
      <c r="J683">
        <v>1</v>
      </c>
      <c r="K683" t="s">
        <v>108</v>
      </c>
      <c r="L683" t="s">
        <v>95</v>
      </c>
      <c r="M683" t="s">
        <v>94</v>
      </c>
      <c r="N683" t="s">
        <v>116</v>
      </c>
      <c r="O683" t="s">
        <v>115</v>
      </c>
    </row>
    <row r="684" spans="1:15" x14ac:dyDescent="0.3">
      <c r="A684" t="s">
        <v>9</v>
      </c>
      <c r="B684">
        <v>16</v>
      </c>
      <c r="C684">
        <v>1</v>
      </c>
      <c r="D684">
        <v>1</v>
      </c>
      <c r="E684">
        <v>0</v>
      </c>
      <c r="F684" t="s">
        <v>25</v>
      </c>
      <c r="G684" t="s">
        <v>11</v>
      </c>
      <c r="H684" t="s">
        <v>23</v>
      </c>
      <c r="I684" t="s">
        <v>13</v>
      </c>
      <c r="J684">
        <v>1</v>
      </c>
      <c r="K684" t="s">
        <v>113</v>
      </c>
      <c r="L684" t="s">
        <v>95</v>
      </c>
      <c r="M684" t="s">
        <v>111</v>
      </c>
      <c r="N684" t="s">
        <v>116</v>
      </c>
      <c r="O684" t="s">
        <v>115</v>
      </c>
    </row>
    <row r="685" spans="1:15" x14ac:dyDescent="0.3">
      <c r="A685" t="s">
        <v>9</v>
      </c>
      <c r="B685">
        <v>19</v>
      </c>
      <c r="C685">
        <v>0</v>
      </c>
      <c r="D685">
        <v>0</v>
      </c>
      <c r="E685">
        <v>0</v>
      </c>
      <c r="F685" t="s">
        <v>21</v>
      </c>
      <c r="G685" t="s">
        <v>16</v>
      </c>
      <c r="H685" t="s">
        <v>12</v>
      </c>
      <c r="I685" t="s">
        <v>13</v>
      </c>
      <c r="J685">
        <v>0</v>
      </c>
      <c r="K685" t="s">
        <v>117</v>
      </c>
      <c r="L685" t="s">
        <v>109</v>
      </c>
      <c r="M685" t="s">
        <v>111</v>
      </c>
      <c r="N685" t="s">
        <v>112</v>
      </c>
      <c r="O685" t="s">
        <v>110</v>
      </c>
    </row>
    <row r="686" spans="1:15" x14ac:dyDescent="0.3">
      <c r="A686" t="s">
        <v>9</v>
      </c>
      <c r="B686">
        <v>31</v>
      </c>
      <c r="C686">
        <v>0</v>
      </c>
      <c r="D686">
        <v>0</v>
      </c>
      <c r="E686">
        <v>1</v>
      </c>
      <c r="F686" t="s">
        <v>22</v>
      </c>
      <c r="G686" t="s">
        <v>11</v>
      </c>
      <c r="H686" t="s">
        <v>18</v>
      </c>
      <c r="I686" t="s">
        <v>13</v>
      </c>
      <c r="J686">
        <v>0</v>
      </c>
      <c r="K686" t="s">
        <v>114</v>
      </c>
      <c r="L686" t="s">
        <v>109</v>
      </c>
      <c r="M686" t="s">
        <v>94</v>
      </c>
      <c r="N686" t="s">
        <v>112</v>
      </c>
      <c r="O686" t="s">
        <v>110</v>
      </c>
    </row>
    <row r="687" spans="1:15" x14ac:dyDescent="0.3">
      <c r="A687" t="s">
        <v>14</v>
      </c>
      <c r="B687">
        <v>46</v>
      </c>
      <c r="C687">
        <v>0</v>
      </c>
      <c r="D687">
        <v>0</v>
      </c>
      <c r="E687">
        <v>1</v>
      </c>
      <c r="F687" t="s">
        <v>46</v>
      </c>
      <c r="G687" t="s">
        <v>16</v>
      </c>
      <c r="H687" t="s">
        <v>18</v>
      </c>
      <c r="I687" t="s">
        <v>13</v>
      </c>
      <c r="J687">
        <v>0</v>
      </c>
      <c r="K687" t="s">
        <v>108</v>
      </c>
      <c r="L687" t="s">
        <v>109</v>
      </c>
      <c r="M687" t="s">
        <v>94</v>
      </c>
      <c r="N687" t="s">
        <v>112</v>
      </c>
      <c r="O687" t="s">
        <v>110</v>
      </c>
    </row>
    <row r="688" spans="1:15" x14ac:dyDescent="0.3">
      <c r="A688" t="s">
        <v>14</v>
      </c>
      <c r="B688">
        <v>61</v>
      </c>
      <c r="C688">
        <v>1</v>
      </c>
      <c r="D688">
        <v>1</v>
      </c>
      <c r="E688">
        <v>0</v>
      </c>
      <c r="F688" t="s">
        <v>35</v>
      </c>
      <c r="G688" t="s">
        <v>11</v>
      </c>
      <c r="H688" t="s">
        <v>23</v>
      </c>
      <c r="I688" t="s">
        <v>13</v>
      </c>
      <c r="J688">
        <v>1</v>
      </c>
      <c r="K688" t="s">
        <v>108</v>
      </c>
      <c r="L688" t="s">
        <v>95</v>
      </c>
      <c r="M688" t="s">
        <v>111</v>
      </c>
      <c r="N688" t="s">
        <v>116</v>
      </c>
      <c r="O688" t="s">
        <v>115</v>
      </c>
    </row>
    <row r="689" spans="1:15" x14ac:dyDescent="0.3">
      <c r="A689" t="s">
        <v>9</v>
      </c>
      <c r="B689">
        <v>35</v>
      </c>
      <c r="C689">
        <v>0</v>
      </c>
      <c r="D689">
        <v>0</v>
      </c>
      <c r="E689">
        <v>0</v>
      </c>
      <c r="F689" t="s">
        <v>35</v>
      </c>
      <c r="G689" t="s">
        <v>16</v>
      </c>
      <c r="H689" t="s">
        <v>23</v>
      </c>
      <c r="I689" t="s">
        <v>13</v>
      </c>
      <c r="J689">
        <v>0</v>
      </c>
      <c r="K689" t="s">
        <v>114</v>
      </c>
      <c r="L689" t="s">
        <v>109</v>
      </c>
      <c r="M689" t="s">
        <v>111</v>
      </c>
      <c r="N689" t="s">
        <v>112</v>
      </c>
      <c r="O689" t="s">
        <v>110</v>
      </c>
    </row>
    <row r="690" spans="1:15" x14ac:dyDescent="0.3">
      <c r="A690" t="s">
        <v>9</v>
      </c>
      <c r="B690">
        <v>44</v>
      </c>
      <c r="C690">
        <v>1</v>
      </c>
      <c r="D690">
        <v>1</v>
      </c>
      <c r="E690">
        <v>1</v>
      </c>
      <c r="F690" t="s">
        <v>25</v>
      </c>
      <c r="G690" t="s">
        <v>11</v>
      </c>
      <c r="H690" t="s">
        <v>18</v>
      </c>
      <c r="I690" t="s">
        <v>13</v>
      </c>
      <c r="J690">
        <v>1</v>
      </c>
      <c r="K690" t="s">
        <v>114</v>
      </c>
      <c r="L690" t="s">
        <v>95</v>
      </c>
      <c r="M690" t="s">
        <v>94</v>
      </c>
      <c r="N690" t="s">
        <v>116</v>
      </c>
      <c r="O690" t="s">
        <v>115</v>
      </c>
    </row>
    <row r="691" spans="1:15" x14ac:dyDescent="0.3">
      <c r="A691" t="s">
        <v>9</v>
      </c>
      <c r="B691">
        <v>12</v>
      </c>
      <c r="C691">
        <v>0</v>
      </c>
      <c r="D691">
        <v>0</v>
      </c>
      <c r="E691">
        <v>1</v>
      </c>
      <c r="F691" t="s">
        <v>37</v>
      </c>
      <c r="G691" t="s">
        <v>16</v>
      </c>
      <c r="H691" t="s">
        <v>23</v>
      </c>
      <c r="I691" t="s">
        <v>13</v>
      </c>
      <c r="J691">
        <v>0</v>
      </c>
      <c r="K691" t="s">
        <v>118</v>
      </c>
      <c r="L691" t="s">
        <v>109</v>
      </c>
      <c r="M691" t="s">
        <v>94</v>
      </c>
      <c r="N691" t="s">
        <v>112</v>
      </c>
      <c r="O691" t="s">
        <v>110</v>
      </c>
    </row>
    <row r="692" spans="1:15" x14ac:dyDescent="0.3">
      <c r="A692" t="s">
        <v>14</v>
      </c>
      <c r="B692">
        <v>51</v>
      </c>
      <c r="C692">
        <v>1</v>
      </c>
      <c r="D692">
        <v>1</v>
      </c>
      <c r="E692">
        <v>0</v>
      </c>
      <c r="F692" t="s">
        <v>26</v>
      </c>
      <c r="G692" t="s">
        <v>11</v>
      </c>
      <c r="H692" t="s">
        <v>18</v>
      </c>
      <c r="I692" t="s">
        <v>13</v>
      </c>
      <c r="J692">
        <v>1</v>
      </c>
      <c r="K692" t="s">
        <v>108</v>
      </c>
      <c r="L692" t="s">
        <v>95</v>
      </c>
      <c r="M692" t="s">
        <v>111</v>
      </c>
      <c r="N692" t="s">
        <v>116</v>
      </c>
      <c r="O692" t="s">
        <v>115</v>
      </c>
    </row>
    <row r="693" spans="1:15" x14ac:dyDescent="0.3">
      <c r="A693" t="s">
        <v>9</v>
      </c>
      <c r="B693">
        <v>33</v>
      </c>
      <c r="C693">
        <v>1</v>
      </c>
      <c r="D693">
        <v>1</v>
      </c>
      <c r="E693">
        <v>1</v>
      </c>
      <c r="F693" t="s">
        <v>27</v>
      </c>
      <c r="G693" t="s">
        <v>16</v>
      </c>
      <c r="H693" t="s">
        <v>18</v>
      </c>
      <c r="I693" t="s">
        <v>13</v>
      </c>
      <c r="J693">
        <v>1</v>
      </c>
      <c r="K693" t="s">
        <v>114</v>
      </c>
      <c r="L693" t="s">
        <v>95</v>
      </c>
      <c r="M693" t="s">
        <v>94</v>
      </c>
      <c r="N693" t="s">
        <v>116</v>
      </c>
      <c r="O693" t="s">
        <v>115</v>
      </c>
    </row>
    <row r="694" spans="1:15" x14ac:dyDescent="0.3">
      <c r="A694" t="s">
        <v>9</v>
      </c>
      <c r="B694">
        <v>53</v>
      </c>
      <c r="C694">
        <v>1</v>
      </c>
      <c r="D694">
        <v>1</v>
      </c>
      <c r="E694">
        <v>1</v>
      </c>
      <c r="F694" t="s">
        <v>32</v>
      </c>
      <c r="G694" t="s">
        <v>11</v>
      </c>
      <c r="H694" t="s">
        <v>12</v>
      </c>
      <c r="I694" t="s">
        <v>13</v>
      </c>
      <c r="J694">
        <v>1</v>
      </c>
      <c r="K694" t="s">
        <v>108</v>
      </c>
      <c r="L694" t="s">
        <v>95</v>
      </c>
      <c r="M694" t="s">
        <v>94</v>
      </c>
      <c r="N694" t="s">
        <v>116</v>
      </c>
      <c r="O694" t="s">
        <v>115</v>
      </c>
    </row>
    <row r="695" spans="1:15" x14ac:dyDescent="0.3">
      <c r="A695" t="s">
        <v>14</v>
      </c>
      <c r="B695">
        <v>22</v>
      </c>
      <c r="C695">
        <v>0</v>
      </c>
      <c r="D695">
        <v>0</v>
      </c>
      <c r="E695">
        <v>0</v>
      </c>
      <c r="F695" t="s">
        <v>40</v>
      </c>
      <c r="G695" t="s">
        <v>16</v>
      </c>
      <c r="H695" t="s">
        <v>23</v>
      </c>
      <c r="I695" t="s">
        <v>13</v>
      </c>
      <c r="J695">
        <v>0</v>
      </c>
      <c r="K695" t="s">
        <v>117</v>
      </c>
      <c r="L695" t="s">
        <v>109</v>
      </c>
      <c r="M695" t="s">
        <v>111</v>
      </c>
      <c r="N695" t="s">
        <v>112</v>
      </c>
      <c r="O695" t="s">
        <v>110</v>
      </c>
    </row>
    <row r="696" spans="1:15" x14ac:dyDescent="0.3">
      <c r="A696" t="s">
        <v>14</v>
      </c>
      <c r="B696">
        <v>32</v>
      </c>
      <c r="C696">
        <v>0</v>
      </c>
      <c r="D696">
        <v>0</v>
      </c>
      <c r="E696">
        <v>0</v>
      </c>
      <c r="F696" t="s">
        <v>34</v>
      </c>
      <c r="G696" t="s">
        <v>11</v>
      </c>
      <c r="H696" t="s">
        <v>18</v>
      </c>
      <c r="I696" t="s">
        <v>13</v>
      </c>
      <c r="J696">
        <v>0</v>
      </c>
      <c r="K696" t="s">
        <v>114</v>
      </c>
      <c r="L696" t="s">
        <v>109</v>
      </c>
      <c r="M696" t="s">
        <v>111</v>
      </c>
      <c r="N696" t="s">
        <v>112</v>
      </c>
      <c r="O696" t="s">
        <v>110</v>
      </c>
    </row>
    <row r="697" spans="1:15" x14ac:dyDescent="0.3">
      <c r="A697" t="s">
        <v>14</v>
      </c>
      <c r="B697">
        <v>36</v>
      </c>
      <c r="C697">
        <v>0</v>
      </c>
      <c r="D697">
        <v>0</v>
      </c>
      <c r="E697">
        <v>1</v>
      </c>
      <c r="F697" t="s">
        <v>36</v>
      </c>
      <c r="G697" t="s">
        <v>16</v>
      </c>
      <c r="H697" t="s">
        <v>23</v>
      </c>
      <c r="I697" t="s">
        <v>13</v>
      </c>
      <c r="J697">
        <v>0</v>
      </c>
      <c r="K697" t="s">
        <v>114</v>
      </c>
      <c r="L697" t="s">
        <v>109</v>
      </c>
      <c r="M697" t="s">
        <v>94</v>
      </c>
      <c r="N697" t="s">
        <v>112</v>
      </c>
      <c r="O697" t="s">
        <v>110</v>
      </c>
    </row>
    <row r="698" spans="1:15" x14ac:dyDescent="0.3">
      <c r="A698" t="s">
        <v>9</v>
      </c>
      <c r="B698">
        <v>14</v>
      </c>
      <c r="C698">
        <v>0</v>
      </c>
      <c r="D698">
        <v>0</v>
      </c>
      <c r="E698">
        <v>0</v>
      </c>
      <c r="F698" t="s">
        <v>22</v>
      </c>
      <c r="G698" t="s">
        <v>11</v>
      </c>
      <c r="H698" t="s">
        <v>23</v>
      </c>
      <c r="I698" t="s">
        <v>13</v>
      </c>
      <c r="J698">
        <v>0</v>
      </c>
      <c r="K698" t="s">
        <v>113</v>
      </c>
      <c r="L698" t="s">
        <v>109</v>
      </c>
      <c r="M698" t="s">
        <v>111</v>
      </c>
      <c r="N698" t="s">
        <v>112</v>
      </c>
      <c r="O698" t="s">
        <v>110</v>
      </c>
    </row>
    <row r="699" spans="1:15" x14ac:dyDescent="0.3">
      <c r="A699" t="s">
        <v>14</v>
      </c>
      <c r="B699">
        <v>18</v>
      </c>
      <c r="C699">
        <v>1</v>
      </c>
      <c r="D699">
        <v>1</v>
      </c>
      <c r="E699">
        <v>0</v>
      </c>
      <c r="F699" t="s">
        <v>38</v>
      </c>
      <c r="G699" t="s">
        <v>16</v>
      </c>
      <c r="H699" t="s">
        <v>18</v>
      </c>
      <c r="I699" t="s">
        <v>13</v>
      </c>
      <c r="J699">
        <v>1</v>
      </c>
      <c r="K699" t="s">
        <v>113</v>
      </c>
      <c r="L699" t="s">
        <v>95</v>
      </c>
      <c r="M699" t="s">
        <v>111</v>
      </c>
      <c r="N699" t="s">
        <v>116</v>
      </c>
      <c r="O699" t="s">
        <v>115</v>
      </c>
    </row>
    <row r="700" spans="1:15" x14ac:dyDescent="0.3">
      <c r="A700" t="s">
        <v>14</v>
      </c>
      <c r="B700">
        <v>52</v>
      </c>
      <c r="C700">
        <v>1</v>
      </c>
      <c r="D700">
        <v>1</v>
      </c>
      <c r="E700">
        <v>1</v>
      </c>
      <c r="F700" t="s">
        <v>46</v>
      </c>
      <c r="G700" t="s">
        <v>11</v>
      </c>
      <c r="H700" t="s">
        <v>12</v>
      </c>
      <c r="I700" t="s">
        <v>13</v>
      </c>
      <c r="J700">
        <v>1</v>
      </c>
      <c r="K700" t="s">
        <v>108</v>
      </c>
      <c r="L700" t="s">
        <v>95</v>
      </c>
      <c r="M700" t="s">
        <v>94</v>
      </c>
      <c r="N700" t="s">
        <v>116</v>
      </c>
      <c r="O700" t="s">
        <v>115</v>
      </c>
    </row>
    <row r="701" spans="1:15" x14ac:dyDescent="0.3">
      <c r="A701" t="s">
        <v>9</v>
      </c>
      <c r="B701">
        <v>62</v>
      </c>
      <c r="C701">
        <v>0</v>
      </c>
      <c r="D701">
        <v>0</v>
      </c>
      <c r="E701">
        <v>1</v>
      </c>
      <c r="F701" t="s">
        <v>30</v>
      </c>
      <c r="G701" t="s">
        <v>16</v>
      </c>
      <c r="H701" t="s">
        <v>12</v>
      </c>
      <c r="I701" t="s">
        <v>13</v>
      </c>
      <c r="J701">
        <v>0</v>
      </c>
      <c r="K701" t="s">
        <v>108</v>
      </c>
      <c r="L701" t="s">
        <v>109</v>
      </c>
      <c r="M701" t="s">
        <v>94</v>
      </c>
      <c r="N701" t="s">
        <v>112</v>
      </c>
      <c r="O701" t="s">
        <v>110</v>
      </c>
    </row>
    <row r="702" spans="1:15" x14ac:dyDescent="0.3">
      <c r="A702" t="s">
        <v>9</v>
      </c>
      <c r="B702">
        <v>41</v>
      </c>
      <c r="C702">
        <v>0</v>
      </c>
      <c r="D702">
        <v>0</v>
      </c>
      <c r="E702">
        <v>1</v>
      </c>
      <c r="F702" t="s">
        <v>46</v>
      </c>
      <c r="G702" t="s">
        <v>11</v>
      </c>
      <c r="H702" t="s">
        <v>18</v>
      </c>
      <c r="I702" t="s">
        <v>13</v>
      </c>
      <c r="J702">
        <v>0</v>
      </c>
      <c r="K702" t="s">
        <v>114</v>
      </c>
      <c r="L702" t="s">
        <v>109</v>
      </c>
      <c r="M702" t="s">
        <v>94</v>
      </c>
      <c r="N702" t="s">
        <v>112</v>
      </c>
      <c r="O702" t="s">
        <v>110</v>
      </c>
    </row>
    <row r="703" spans="1:15" x14ac:dyDescent="0.3">
      <c r="A703" t="s">
        <v>9</v>
      </c>
      <c r="B703">
        <v>25</v>
      </c>
      <c r="C703">
        <v>0</v>
      </c>
      <c r="D703">
        <v>0</v>
      </c>
      <c r="E703">
        <v>1</v>
      </c>
      <c r="F703" t="s">
        <v>25</v>
      </c>
      <c r="G703" t="s">
        <v>16</v>
      </c>
      <c r="H703" t="s">
        <v>18</v>
      </c>
      <c r="I703" t="s">
        <v>13</v>
      </c>
      <c r="J703">
        <v>0</v>
      </c>
      <c r="K703" t="s">
        <v>114</v>
      </c>
      <c r="L703" t="s">
        <v>109</v>
      </c>
      <c r="M703" t="s">
        <v>94</v>
      </c>
      <c r="N703" t="s">
        <v>112</v>
      </c>
      <c r="O703" t="s">
        <v>110</v>
      </c>
    </row>
    <row r="704" spans="1:15" x14ac:dyDescent="0.3">
      <c r="A704" t="s">
        <v>14</v>
      </c>
      <c r="B704">
        <v>31</v>
      </c>
      <c r="C704">
        <v>1</v>
      </c>
      <c r="D704">
        <v>1</v>
      </c>
      <c r="E704">
        <v>0</v>
      </c>
      <c r="F704" t="s">
        <v>43</v>
      </c>
      <c r="G704" t="s">
        <v>11</v>
      </c>
      <c r="H704" t="s">
        <v>18</v>
      </c>
      <c r="I704" t="s">
        <v>13</v>
      </c>
      <c r="J704">
        <v>1</v>
      </c>
      <c r="K704" t="s">
        <v>114</v>
      </c>
      <c r="L704" t="s">
        <v>95</v>
      </c>
      <c r="M704" t="s">
        <v>111</v>
      </c>
      <c r="N704" t="s">
        <v>116</v>
      </c>
      <c r="O704" t="s">
        <v>115</v>
      </c>
    </row>
    <row r="705" spans="1:15" x14ac:dyDescent="0.3">
      <c r="A705" t="s">
        <v>9</v>
      </c>
      <c r="B705">
        <v>49</v>
      </c>
      <c r="C705">
        <v>0</v>
      </c>
      <c r="D705">
        <v>0</v>
      </c>
      <c r="E705">
        <v>0</v>
      </c>
      <c r="F705" t="s">
        <v>36</v>
      </c>
      <c r="G705" t="s">
        <v>16</v>
      </c>
      <c r="H705" t="s">
        <v>12</v>
      </c>
      <c r="I705" t="s">
        <v>13</v>
      </c>
      <c r="J705">
        <v>0</v>
      </c>
      <c r="K705" t="s">
        <v>108</v>
      </c>
      <c r="L705" t="s">
        <v>109</v>
      </c>
      <c r="M705" t="s">
        <v>111</v>
      </c>
      <c r="N705" t="s">
        <v>112</v>
      </c>
      <c r="O705" t="s">
        <v>110</v>
      </c>
    </row>
    <row r="706" spans="1:15" x14ac:dyDescent="0.3">
      <c r="A706" t="s">
        <v>9</v>
      </c>
      <c r="B706">
        <v>39</v>
      </c>
      <c r="C706">
        <v>1</v>
      </c>
      <c r="D706">
        <v>1</v>
      </c>
      <c r="E706">
        <v>1</v>
      </c>
      <c r="F706" t="s">
        <v>37</v>
      </c>
      <c r="G706" t="s">
        <v>11</v>
      </c>
      <c r="H706" t="s">
        <v>18</v>
      </c>
      <c r="I706" t="s">
        <v>13</v>
      </c>
      <c r="J706">
        <v>1</v>
      </c>
      <c r="K706" t="s">
        <v>114</v>
      </c>
      <c r="L706" t="s">
        <v>95</v>
      </c>
      <c r="M706" t="s">
        <v>94</v>
      </c>
      <c r="N706" t="s">
        <v>116</v>
      </c>
      <c r="O706" t="s">
        <v>115</v>
      </c>
    </row>
    <row r="707" spans="1:15" x14ac:dyDescent="0.3">
      <c r="A707" t="s">
        <v>9</v>
      </c>
      <c r="B707">
        <v>26</v>
      </c>
      <c r="C707">
        <v>0</v>
      </c>
      <c r="D707">
        <v>0</v>
      </c>
      <c r="E707">
        <v>0</v>
      </c>
      <c r="F707" t="s">
        <v>24</v>
      </c>
      <c r="G707" t="s">
        <v>16</v>
      </c>
      <c r="H707" t="s">
        <v>18</v>
      </c>
      <c r="I707" t="s">
        <v>13</v>
      </c>
      <c r="J707">
        <v>0</v>
      </c>
      <c r="K707" t="s">
        <v>114</v>
      </c>
      <c r="L707" t="s">
        <v>109</v>
      </c>
      <c r="M707" t="s">
        <v>111</v>
      </c>
      <c r="N707" t="s">
        <v>112</v>
      </c>
      <c r="O707" t="s">
        <v>110</v>
      </c>
    </row>
    <row r="708" spans="1:15" x14ac:dyDescent="0.3">
      <c r="A708" t="s">
        <v>14</v>
      </c>
      <c r="B708">
        <v>24</v>
      </c>
      <c r="C708">
        <v>0</v>
      </c>
      <c r="D708">
        <v>0</v>
      </c>
      <c r="E708">
        <v>0</v>
      </c>
      <c r="F708" t="s">
        <v>39</v>
      </c>
      <c r="G708" t="s">
        <v>11</v>
      </c>
      <c r="H708" t="s">
        <v>23</v>
      </c>
      <c r="I708" t="s">
        <v>13</v>
      </c>
      <c r="J708">
        <v>0</v>
      </c>
      <c r="K708" t="s">
        <v>117</v>
      </c>
      <c r="L708" t="s">
        <v>109</v>
      </c>
      <c r="M708" t="s">
        <v>111</v>
      </c>
      <c r="N708" t="s">
        <v>112</v>
      </c>
      <c r="O708" t="s">
        <v>110</v>
      </c>
    </row>
    <row r="709" spans="1:15" x14ac:dyDescent="0.3">
      <c r="A709" t="s">
        <v>14</v>
      </c>
      <c r="B709">
        <v>30</v>
      </c>
      <c r="C709">
        <v>0</v>
      </c>
      <c r="D709">
        <v>0</v>
      </c>
      <c r="E709">
        <v>0</v>
      </c>
      <c r="F709" t="s">
        <v>31</v>
      </c>
      <c r="G709" t="s">
        <v>16</v>
      </c>
      <c r="H709" t="s">
        <v>23</v>
      </c>
      <c r="I709" t="s">
        <v>13</v>
      </c>
      <c r="J709">
        <v>0</v>
      </c>
      <c r="K709" t="s">
        <v>114</v>
      </c>
      <c r="L709" t="s">
        <v>109</v>
      </c>
      <c r="M709" t="s">
        <v>111</v>
      </c>
      <c r="N709" t="s">
        <v>112</v>
      </c>
      <c r="O709" t="s">
        <v>110</v>
      </c>
    </row>
    <row r="710" spans="1:15" x14ac:dyDescent="0.3">
      <c r="A710" t="s">
        <v>14</v>
      </c>
      <c r="B710">
        <v>20</v>
      </c>
      <c r="C710">
        <v>1</v>
      </c>
      <c r="D710">
        <v>1</v>
      </c>
      <c r="E710">
        <v>1</v>
      </c>
      <c r="F710" t="s">
        <v>26</v>
      </c>
      <c r="G710" t="s">
        <v>11</v>
      </c>
      <c r="H710" t="s">
        <v>12</v>
      </c>
      <c r="I710" t="s">
        <v>13</v>
      </c>
      <c r="J710">
        <v>1</v>
      </c>
      <c r="K710" t="s">
        <v>117</v>
      </c>
      <c r="L710" t="s">
        <v>95</v>
      </c>
      <c r="M710" t="s">
        <v>94</v>
      </c>
      <c r="N710" t="s">
        <v>116</v>
      </c>
      <c r="O710" t="s">
        <v>115</v>
      </c>
    </row>
    <row r="711" spans="1:15" x14ac:dyDescent="0.3">
      <c r="A711" t="s">
        <v>9</v>
      </c>
      <c r="B711">
        <v>50</v>
      </c>
      <c r="C711">
        <v>1</v>
      </c>
      <c r="D711">
        <v>1</v>
      </c>
      <c r="E711">
        <v>1</v>
      </c>
      <c r="F711" t="s">
        <v>41</v>
      </c>
      <c r="G711" t="s">
        <v>16</v>
      </c>
      <c r="H711" t="s">
        <v>23</v>
      </c>
      <c r="I711" t="s">
        <v>13</v>
      </c>
      <c r="J711">
        <v>1</v>
      </c>
      <c r="K711" t="s">
        <v>108</v>
      </c>
      <c r="L711" t="s">
        <v>95</v>
      </c>
      <c r="M711" t="s">
        <v>94</v>
      </c>
      <c r="N711" t="s">
        <v>116</v>
      </c>
      <c r="O711" t="s">
        <v>115</v>
      </c>
    </row>
    <row r="712" spans="1:15" x14ac:dyDescent="0.3">
      <c r="A712" t="s">
        <v>9</v>
      </c>
      <c r="B712">
        <v>13</v>
      </c>
      <c r="C712">
        <v>1</v>
      </c>
      <c r="D712">
        <v>1</v>
      </c>
      <c r="E712">
        <v>0</v>
      </c>
      <c r="F712" t="s">
        <v>30</v>
      </c>
      <c r="G712" t="s">
        <v>11</v>
      </c>
      <c r="H712" t="s">
        <v>18</v>
      </c>
      <c r="I712" t="s">
        <v>13</v>
      </c>
      <c r="J712">
        <v>1</v>
      </c>
      <c r="K712" t="s">
        <v>118</v>
      </c>
      <c r="L712" t="s">
        <v>95</v>
      </c>
      <c r="M712" t="s">
        <v>111</v>
      </c>
      <c r="N712" t="s">
        <v>116</v>
      </c>
      <c r="O712" t="s">
        <v>115</v>
      </c>
    </row>
    <row r="713" spans="1:15" x14ac:dyDescent="0.3">
      <c r="A713" t="s">
        <v>14</v>
      </c>
      <c r="B713">
        <v>44</v>
      </c>
      <c r="C713">
        <v>1</v>
      </c>
      <c r="D713">
        <v>1</v>
      </c>
      <c r="E713">
        <v>0</v>
      </c>
      <c r="F713" t="s">
        <v>31</v>
      </c>
      <c r="G713" t="s">
        <v>16</v>
      </c>
      <c r="H713" t="s">
        <v>12</v>
      </c>
      <c r="I713" t="s">
        <v>13</v>
      </c>
      <c r="J713">
        <v>1</v>
      </c>
      <c r="K713" t="s">
        <v>114</v>
      </c>
      <c r="L713" t="s">
        <v>95</v>
      </c>
      <c r="M713" t="s">
        <v>111</v>
      </c>
      <c r="N713" t="s">
        <v>116</v>
      </c>
      <c r="O713" t="s">
        <v>115</v>
      </c>
    </row>
    <row r="714" spans="1:15" x14ac:dyDescent="0.3">
      <c r="A714" t="s">
        <v>14</v>
      </c>
      <c r="B714">
        <v>19</v>
      </c>
      <c r="C714">
        <v>1</v>
      </c>
      <c r="D714">
        <v>1</v>
      </c>
      <c r="E714">
        <v>1</v>
      </c>
      <c r="F714" t="s">
        <v>26</v>
      </c>
      <c r="G714" t="s">
        <v>11</v>
      </c>
      <c r="H714" t="s">
        <v>18</v>
      </c>
      <c r="I714" t="s">
        <v>13</v>
      </c>
      <c r="J714">
        <v>1</v>
      </c>
      <c r="K714" t="s">
        <v>117</v>
      </c>
      <c r="L714" t="s">
        <v>95</v>
      </c>
      <c r="M714" t="s">
        <v>94</v>
      </c>
      <c r="N714" t="s">
        <v>116</v>
      </c>
      <c r="O714" t="s">
        <v>115</v>
      </c>
    </row>
    <row r="715" spans="1:15" x14ac:dyDescent="0.3">
      <c r="A715" t="s">
        <v>9</v>
      </c>
      <c r="B715">
        <v>53</v>
      </c>
      <c r="C715">
        <v>1</v>
      </c>
      <c r="D715">
        <v>1</v>
      </c>
      <c r="E715">
        <v>1</v>
      </c>
      <c r="F715" t="s">
        <v>35</v>
      </c>
      <c r="G715" t="s">
        <v>16</v>
      </c>
      <c r="H715" t="s">
        <v>23</v>
      </c>
      <c r="I715" t="s">
        <v>13</v>
      </c>
      <c r="J715">
        <v>1</v>
      </c>
      <c r="K715" t="s">
        <v>108</v>
      </c>
      <c r="L715" t="s">
        <v>95</v>
      </c>
      <c r="M715" t="s">
        <v>94</v>
      </c>
      <c r="N715" t="s">
        <v>116</v>
      </c>
      <c r="O715" t="s">
        <v>115</v>
      </c>
    </row>
    <row r="716" spans="1:15" x14ac:dyDescent="0.3">
      <c r="A716" t="s">
        <v>9</v>
      </c>
      <c r="B716">
        <v>12</v>
      </c>
      <c r="C716">
        <v>0</v>
      </c>
      <c r="D716">
        <v>0</v>
      </c>
      <c r="E716">
        <v>0</v>
      </c>
      <c r="F716" t="s">
        <v>48</v>
      </c>
      <c r="G716" t="s">
        <v>11</v>
      </c>
      <c r="H716" t="s">
        <v>12</v>
      </c>
      <c r="I716" t="s">
        <v>13</v>
      </c>
      <c r="J716">
        <v>0</v>
      </c>
      <c r="K716" t="s">
        <v>118</v>
      </c>
      <c r="L716" t="s">
        <v>109</v>
      </c>
      <c r="M716" t="s">
        <v>111</v>
      </c>
      <c r="N716" t="s">
        <v>112</v>
      </c>
      <c r="O716" t="s">
        <v>110</v>
      </c>
    </row>
    <row r="717" spans="1:15" x14ac:dyDescent="0.3">
      <c r="A717" t="s">
        <v>9</v>
      </c>
      <c r="B717">
        <v>14</v>
      </c>
      <c r="C717">
        <v>0</v>
      </c>
      <c r="D717">
        <v>0</v>
      </c>
      <c r="E717">
        <v>0</v>
      </c>
      <c r="F717" t="s">
        <v>45</v>
      </c>
      <c r="G717" t="s">
        <v>16</v>
      </c>
      <c r="H717" t="s">
        <v>23</v>
      </c>
      <c r="I717" t="s">
        <v>13</v>
      </c>
      <c r="J717">
        <v>0</v>
      </c>
      <c r="K717" t="s">
        <v>113</v>
      </c>
      <c r="L717" t="s">
        <v>109</v>
      </c>
      <c r="M717" t="s">
        <v>111</v>
      </c>
      <c r="N717" t="s">
        <v>112</v>
      </c>
      <c r="O717" t="s">
        <v>110</v>
      </c>
    </row>
    <row r="718" spans="1:15" x14ac:dyDescent="0.3">
      <c r="A718" t="s">
        <v>14</v>
      </c>
      <c r="B718">
        <v>30</v>
      </c>
      <c r="C718">
        <v>1</v>
      </c>
      <c r="D718">
        <v>1</v>
      </c>
      <c r="E718">
        <v>1</v>
      </c>
      <c r="F718" t="s">
        <v>28</v>
      </c>
      <c r="G718" t="s">
        <v>11</v>
      </c>
      <c r="H718" t="s">
        <v>12</v>
      </c>
      <c r="I718" t="s">
        <v>13</v>
      </c>
      <c r="J718">
        <v>1</v>
      </c>
      <c r="K718" t="s">
        <v>114</v>
      </c>
      <c r="L718" t="s">
        <v>95</v>
      </c>
      <c r="M718" t="s">
        <v>94</v>
      </c>
      <c r="N718" t="s">
        <v>116</v>
      </c>
      <c r="O718" t="s">
        <v>115</v>
      </c>
    </row>
    <row r="719" spans="1:15" x14ac:dyDescent="0.3">
      <c r="A719" t="s">
        <v>9</v>
      </c>
      <c r="B719">
        <v>48</v>
      </c>
      <c r="C719">
        <v>0</v>
      </c>
      <c r="D719">
        <v>0</v>
      </c>
      <c r="E719">
        <v>1</v>
      </c>
      <c r="F719" t="s">
        <v>41</v>
      </c>
      <c r="G719" t="s">
        <v>16</v>
      </c>
      <c r="H719" t="s">
        <v>23</v>
      </c>
      <c r="I719" t="s">
        <v>13</v>
      </c>
      <c r="J719">
        <v>0</v>
      </c>
      <c r="K719" t="s">
        <v>108</v>
      </c>
      <c r="L719" t="s">
        <v>109</v>
      </c>
      <c r="M719" t="s">
        <v>94</v>
      </c>
      <c r="N719" t="s">
        <v>112</v>
      </c>
      <c r="O719" t="s">
        <v>110</v>
      </c>
    </row>
    <row r="720" spans="1:15" x14ac:dyDescent="0.3">
      <c r="A720" t="s">
        <v>14</v>
      </c>
      <c r="B720">
        <v>31</v>
      </c>
      <c r="C720">
        <v>0</v>
      </c>
      <c r="D720">
        <v>0</v>
      </c>
      <c r="E720">
        <v>0</v>
      </c>
      <c r="F720" t="s">
        <v>41</v>
      </c>
      <c r="G720" t="s">
        <v>11</v>
      </c>
      <c r="H720" t="s">
        <v>12</v>
      </c>
      <c r="I720" t="s">
        <v>13</v>
      </c>
      <c r="J720">
        <v>0</v>
      </c>
      <c r="K720" t="s">
        <v>114</v>
      </c>
      <c r="L720" t="s">
        <v>109</v>
      </c>
      <c r="M720" t="s">
        <v>111</v>
      </c>
      <c r="N720" t="s">
        <v>112</v>
      </c>
      <c r="O720" t="s">
        <v>110</v>
      </c>
    </row>
    <row r="721" spans="1:15" x14ac:dyDescent="0.3">
      <c r="A721" t="s">
        <v>14</v>
      </c>
      <c r="B721">
        <v>16</v>
      </c>
      <c r="C721">
        <v>1</v>
      </c>
      <c r="D721">
        <v>1</v>
      </c>
      <c r="E721">
        <v>0</v>
      </c>
      <c r="F721" t="s">
        <v>43</v>
      </c>
      <c r="G721" t="s">
        <v>16</v>
      </c>
      <c r="H721" t="s">
        <v>12</v>
      </c>
      <c r="I721" t="s">
        <v>13</v>
      </c>
      <c r="J721">
        <v>1</v>
      </c>
      <c r="K721" t="s">
        <v>113</v>
      </c>
      <c r="L721" t="s">
        <v>95</v>
      </c>
      <c r="M721" t="s">
        <v>111</v>
      </c>
      <c r="N721" t="s">
        <v>116</v>
      </c>
      <c r="O721" t="s">
        <v>115</v>
      </c>
    </row>
    <row r="722" spans="1:15" x14ac:dyDescent="0.3">
      <c r="A722" t="s">
        <v>14</v>
      </c>
      <c r="B722">
        <v>38</v>
      </c>
      <c r="C722">
        <v>1</v>
      </c>
      <c r="D722">
        <v>1</v>
      </c>
      <c r="E722">
        <v>1</v>
      </c>
      <c r="F722" t="s">
        <v>21</v>
      </c>
      <c r="G722" t="s">
        <v>11</v>
      </c>
      <c r="H722" t="s">
        <v>23</v>
      </c>
      <c r="I722" t="s">
        <v>13</v>
      </c>
      <c r="J722">
        <v>1</v>
      </c>
      <c r="K722" t="s">
        <v>114</v>
      </c>
      <c r="L722" t="s">
        <v>95</v>
      </c>
      <c r="M722" t="s">
        <v>94</v>
      </c>
      <c r="N722" t="s">
        <v>116</v>
      </c>
      <c r="O722" t="s">
        <v>115</v>
      </c>
    </row>
    <row r="723" spans="1:15" x14ac:dyDescent="0.3">
      <c r="A723" t="s">
        <v>9</v>
      </c>
      <c r="B723">
        <v>24</v>
      </c>
      <c r="C723">
        <v>1</v>
      </c>
      <c r="D723">
        <v>1</v>
      </c>
      <c r="E723">
        <v>1</v>
      </c>
      <c r="F723" t="s">
        <v>40</v>
      </c>
      <c r="G723" t="s">
        <v>16</v>
      </c>
      <c r="H723" t="s">
        <v>18</v>
      </c>
      <c r="I723" t="s">
        <v>13</v>
      </c>
      <c r="J723">
        <v>1</v>
      </c>
      <c r="K723" t="s">
        <v>117</v>
      </c>
      <c r="L723" t="s">
        <v>95</v>
      </c>
      <c r="M723" t="s">
        <v>94</v>
      </c>
      <c r="N723" t="s">
        <v>116</v>
      </c>
      <c r="O723" t="s">
        <v>115</v>
      </c>
    </row>
    <row r="724" spans="1:15" x14ac:dyDescent="0.3">
      <c r="A724" t="s">
        <v>9</v>
      </c>
      <c r="B724">
        <v>28</v>
      </c>
      <c r="C724">
        <v>0</v>
      </c>
      <c r="D724">
        <v>0</v>
      </c>
      <c r="E724">
        <v>1</v>
      </c>
      <c r="F724" t="s">
        <v>25</v>
      </c>
      <c r="G724" t="s">
        <v>11</v>
      </c>
      <c r="H724" t="s">
        <v>23</v>
      </c>
      <c r="I724" t="s">
        <v>13</v>
      </c>
      <c r="J724">
        <v>0</v>
      </c>
      <c r="K724" t="s">
        <v>114</v>
      </c>
      <c r="L724" t="s">
        <v>109</v>
      </c>
      <c r="M724" t="s">
        <v>94</v>
      </c>
      <c r="N724" t="s">
        <v>112</v>
      </c>
      <c r="O724" t="s">
        <v>110</v>
      </c>
    </row>
    <row r="725" spans="1:15" x14ac:dyDescent="0.3">
      <c r="A725" t="s">
        <v>9</v>
      </c>
      <c r="B725">
        <v>52</v>
      </c>
      <c r="C725">
        <v>1</v>
      </c>
      <c r="D725">
        <v>1</v>
      </c>
      <c r="E725">
        <v>0</v>
      </c>
      <c r="F725" t="s">
        <v>49</v>
      </c>
      <c r="G725" t="s">
        <v>16</v>
      </c>
      <c r="H725" t="s">
        <v>23</v>
      </c>
      <c r="I725" t="s">
        <v>13</v>
      </c>
      <c r="J725">
        <v>1</v>
      </c>
      <c r="K725" t="s">
        <v>108</v>
      </c>
      <c r="L725" t="s">
        <v>95</v>
      </c>
      <c r="M725" t="s">
        <v>111</v>
      </c>
      <c r="N725" t="s">
        <v>116</v>
      </c>
      <c r="O725" t="s">
        <v>115</v>
      </c>
    </row>
    <row r="726" spans="1:15" x14ac:dyDescent="0.3">
      <c r="A726" t="s">
        <v>14</v>
      </c>
      <c r="B726">
        <v>8</v>
      </c>
      <c r="C726">
        <v>1</v>
      </c>
      <c r="D726">
        <v>1</v>
      </c>
      <c r="E726">
        <v>0</v>
      </c>
      <c r="F726" t="s">
        <v>31</v>
      </c>
      <c r="G726" t="s">
        <v>11</v>
      </c>
      <c r="H726" t="s">
        <v>12</v>
      </c>
      <c r="I726" t="s">
        <v>13</v>
      </c>
      <c r="J726">
        <v>1</v>
      </c>
      <c r="K726" t="s">
        <v>118</v>
      </c>
      <c r="L726" t="s">
        <v>95</v>
      </c>
      <c r="M726" t="s">
        <v>111</v>
      </c>
      <c r="N726" t="s">
        <v>116</v>
      </c>
      <c r="O726" t="s">
        <v>115</v>
      </c>
    </row>
    <row r="727" spans="1:15" x14ac:dyDescent="0.3">
      <c r="A727" t="s">
        <v>9</v>
      </c>
      <c r="B727">
        <v>54</v>
      </c>
      <c r="C727">
        <v>0</v>
      </c>
      <c r="D727">
        <v>0</v>
      </c>
      <c r="E727">
        <v>0</v>
      </c>
      <c r="F727" t="s">
        <v>10</v>
      </c>
      <c r="G727" t="s">
        <v>16</v>
      </c>
      <c r="H727" t="s">
        <v>12</v>
      </c>
      <c r="I727" t="s">
        <v>13</v>
      </c>
      <c r="J727">
        <v>0</v>
      </c>
      <c r="K727" t="s">
        <v>108</v>
      </c>
      <c r="L727" t="s">
        <v>109</v>
      </c>
      <c r="M727" t="s">
        <v>111</v>
      </c>
      <c r="N727" t="s">
        <v>112</v>
      </c>
      <c r="O727" t="s">
        <v>110</v>
      </c>
    </row>
    <row r="728" spans="1:15" x14ac:dyDescent="0.3">
      <c r="A728" t="s">
        <v>9</v>
      </c>
      <c r="B728">
        <v>9</v>
      </c>
      <c r="C728">
        <v>1</v>
      </c>
      <c r="D728">
        <v>1</v>
      </c>
      <c r="E728">
        <v>1</v>
      </c>
      <c r="F728" t="s">
        <v>30</v>
      </c>
      <c r="G728" t="s">
        <v>11</v>
      </c>
      <c r="H728" t="s">
        <v>12</v>
      </c>
      <c r="I728" t="s">
        <v>13</v>
      </c>
      <c r="J728">
        <v>1</v>
      </c>
      <c r="K728" t="s">
        <v>118</v>
      </c>
      <c r="L728" t="s">
        <v>95</v>
      </c>
      <c r="M728" t="s">
        <v>94</v>
      </c>
      <c r="N728" t="s">
        <v>116</v>
      </c>
      <c r="O728" t="s">
        <v>115</v>
      </c>
    </row>
    <row r="729" spans="1:15" x14ac:dyDescent="0.3">
      <c r="A729" t="s">
        <v>9</v>
      </c>
      <c r="B729">
        <v>14</v>
      </c>
      <c r="C729">
        <v>1</v>
      </c>
      <c r="D729">
        <v>1</v>
      </c>
      <c r="E729">
        <v>0</v>
      </c>
      <c r="F729" t="s">
        <v>32</v>
      </c>
      <c r="G729" t="s">
        <v>16</v>
      </c>
      <c r="H729" t="s">
        <v>18</v>
      </c>
      <c r="I729" t="s">
        <v>13</v>
      </c>
      <c r="J729">
        <v>1</v>
      </c>
      <c r="K729" t="s">
        <v>113</v>
      </c>
      <c r="L729" t="s">
        <v>95</v>
      </c>
      <c r="M729" t="s">
        <v>111</v>
      </c>
      <c r="N729" t="s">
        <v>116</v>
      </c>
      <c r="O729" t="s">
        <v>115</v>
      </c>
    </row>
    <row r="730" spans="1:15" x14ac:dyDescent="0.3">
      <c r="A730" t="s">
        <v>9</v>
      </c>
      <c r="B730">
        <v>12</v>
      </c>
      <c r="C730">
        <v>1</v>
      </c>
      <c r="D730">
        <v>1</v>
      </c>
      <c r="E730">
        <v>0</v>
      </c>
      <c r="F730" t="s">
        <v>15</v>
      </c>
      <c r="G730" t="s">
        <v>11</v>
      </c>
      <c r="H730" t="s">
        <v>18</v>
      </c>
      <c r="I730" t="s">
        <v>13</v>
      </c>
      <c r="J730">
        <v>1</v>
      </c>
      <c r="K730" t="s">
        <v>118</v>
      </c>
      <c r="L730" t="s">
        <v>95</v>
      </c>
      <c r="M730" t="s">
        <v>111</v>
      </c>
      <c r="N730" t="s">
        <v>116</v>
      </c>
      <c r="O730" t="s">
        <v>115</v>
      </c>
    </row>
    <row r="731" spans="1:15" x14ac:dyDescent="0.3">
      <c r="A731" t="s">
        <v>9</v>
      </c>
      <c r="B731">
        <v>49</v>
      </c>
      <c r="C731">
        <v>0</v>
      </c>
      <c r="D731">
        <v>0</v>
      </c>
      <c r="E731">
        <v>1</v>
      </c>
      <c r="F731" t="s">
        <v>47</v>
      </c>
      <c r="G731" t="s">
        <v>16</v>
      </c>
      <c r="H731" t="s">
        <v>18</v>
      </c>
      <c r="I731" t="s">
        <v>13</v>
      </c>
      <c r="J731">
        <v>0</v>
      </c>
      <c r="K731" t="s">
        <v>108</v>
      </c>
      <c r="L731" t="s">
        <v>109</v>
      </c>
      <c r="M731" t="s">
        <v>94</v>
      </c>
      <c r="N731" t="s">
        <v>112</v>
      </c>
      <c r="O731" t="s">
        <v>110</v>
      </c>
    </row>
    <row r="732" spans="1:15" x14ac:dyDescent="0.3">
      <c r="A732" t="s">
        <v>14</v>
      </c>
      <c r="B732">
        <v>46</v>
      </c>
      <c r="C732">
        <v>0</v>
      </c>
      <c r="D732">
        <v>0</v>
      </c>
      <c r="E732">
        <v>0</v>
      </c>
      <c r="F732" t="s">
        <v>32</v>
      </c>
      <c r="G732" t="s">
        <v>11</v>
      </c>
      <c r="H732" t="s">
        <v>18</v>
      </c>
      <c r="I732" t="s">
        <v>13</v>
      </c>
      <c r="J732">
        <v>0</v>
      </c>
      <c r="K732" t="s">
        <v>108</v>
      </c>
      <c r="L732" t="s">
        <v>109</v>
      </c>
      <c r="M732" t="s">
        <v>111</v>
      </c>
      <c r="N732" t="s">
        <v>112</v>
      </c>
      <c r="O732" t="s">
        <v>110</v>
      </c>
    </row>
    <row r="733" spans="1:15" x14ac:dyDescent="0.3">
      <c r="A733" t="s">
        <v>14</v>
      </c>
      <c r="B733">
        <v>35</v>
      </c>
      <c r="C733">
        <v>0</v>
      </c>
      <c r="D733">
        <v>0</v>
      </c>
      <c r="E733">
        <v>1</v>
      </c>
      <c r="F733" t="s">
        <v>43</v>
      </c>
      <c r="G733" t="s">
        <v>16</v>
      </c>
      <c r="H733" t="s">
        <v>12</v>
      </c>
      <c r="I733" t="s">
        <v>13</v>
      </c>
      <c r="J733">
        <v>0</v>
      </c>
      <c r="K733" t="s">
        <v>114</v>
      </c>
      <c r="L733" t="s">
        <v>109</v>
      </c>
      <c r="M733" t="s">
        <v>94</v>
      </c>
      <c r="N733" t="s">
        <v>112</v>
      </c>
      <c r="O733" t="s">
        <v>110</v>
      </c>
    </row>
    <row r="734" spans="1:15" x14ac:dyDescent="0.3">
      <c r="A734" t="s">
        <v>9</v>
      </c>
      <c r="B734">
        <v>45</v>
      </c>
      <c r="C734">
        <v>1</v>
      </c>
      <c r="D734">
        <v>1</v>
      </c>
      <c r="E734">
        <v>0</v>
      </c>
      <c r="F734" t="s">
        <v>22</v>
      </c>
      <c r="G734" t="s">
        <v>11</v>
      </c>
      <c r="H734" t="s">
        <v>12</v>
      </c>
      <c r="I734" t="s">
        <v>13</v>
      </c>
      <c r="J734">
        <v>1</v>
      </c>
      <c r="K734" t="s">
        <v>108</v>
      </c>
      <c r="L734" t="s">
        <v>95</v>
      </c>
      <c r="M734" t="s">
        <v>111</v>
      </c>
      <c r="N734" t="s">
        <v>116</v>
      </c>
      <c r="O734" t="s">
        <v>115</v>
      </c>
    </row>
    <row r="735" spans="1:15" x14ac:dyDescent="0.3">
      <c r="A735" t="s">
        <v>14</v>
      </c>
      <c r="B735">
        <v>48</v>
      </c>
      <c r="C735">
        <v>0</v>
      </c>
      <c r="D735">
        <v>0</v>
      </c>
      <c r="E735">
        <v>0</v>
      </c>
      <c r="F735" t="s">
        <v>51</v>
      </c>
      <c r="G735" t="s">
        <v>16</v>
      </c>
      <c r="H735" t="s">
        <v>18</v>
      </c>
      <c r="I735" t="s">
        <v>13</v>
      </c>
      <c r="J735">
        <v>0</v>
      </c>
      <c r="K735" t="s">
        <v>108</v>
      </c>
      <c r="L735" t="s">
        <v>109</v>
      </c>
      <c r="M735" t="s">
        <v>111</v>
      </c>
      <c r="N735" t="s">
        <v>112</v>
      </c>
      <c r="O735" t="s">
        <v>110</v>
      </c>
    </row>
    <row r="736" spans="1:15" x14ac:dyDescent="0.3">
      <c r="A736" t="s">
        <v>14</v>
      </c>
      <c r="B736">
        <v>50</v>
      </c>
      <c r="C736">
        <v>0</v>
      </c>
      <c r="D736">
        <v>0</v>
      </c>
      <c r="E736">
        <v>0</v>
      </c>
      <c r="F736" t="s">
        <v>37</v>
      </c>
      <c r="G736" t="s">
        <v>11</v>
      </c>
      <c r="H736" t="s">
        <v>18</v>
      </c>
      <c r="I736" t="s">
        <v>13</v>
      </c>
      <c r="J736">
        <v>0</v>
      </c>
      <c r="K736" t="s">
        <v>108</v>
      </c>
      <c r="L736" t="s">
        <v>109</v>
      </c>
      <c r="M736" t="s">
        <v>111</v>
      </c>
      <c r="N736" t="s">
        <v>112</v>
      </c>
      <c r="O736" t="s">
        <v>110</v>
      </c>
    </row>
    <row r="737" spans="1:15" x14ac:dyDescent="0.3">
      <c r="A737" t="s">
        <v>14</v>
      </c>
      <c r="B737">
        <v>37</v>
      </c>
      <c r="C737">
        <v>0</v>
      </c>
      <c r="D737">
        <v>0</v>
      </c>
      <c r="E737">
        <v>0</v>
      </c>
      <c r="F737" t="s">
        <v>24</v>
      </c>
      <c r="G737" t="s">
        <v>16</v>
      </c>
      <c r="H737" t="s">
        <v>12</v>
      </c>
      <c r="I737" t="s">
        <v>13</v>
      </c>
      <c r="J737">
        <v>0</v>
      </c>
      <c r="K737" t="s">
        <v>114</v>
      </c>
      <c r="L737" t="s">
        <v>109</v>
      </c>
      <c r="M737" t="s">
        <v>111</v>
      </c>
      <c r="N737" t="s">
        <v>112</v>
      </c>
      <c r="O737" t="s">
        <v>110</v>
      </c>
    </row>
    <row r="738" spans="1:15" x14ac:dyDescent="0.3">
      <c r="A738" t="s">
        <v>9</v>
      </c>
      <c r="B738">
        <v>39</v>
      </c>
      <c r="C738">
        <v>0</v>
      </c>
      <c r="D738">
        <v>0</v>
      </c>
      <c r="E738">
        <v>1</v>
      </c>
      <c r="F738" t="s">
        <v>39</v>
      </c>
      <c r="G738" t="s">
        <v>11</v>
      </c>
      <c r="H738" t="s">
        <v>12</v>
      </c>
      <c r="I738" t="s">
        <v>13</v>
      </c>
      <c r="J738">
        <v>0</v>
      </c>
      <c r="K738" t="s">
        <v>114</v>
      </c>
      <c r="L738" t="s">
        <v>109</v>
      </c>
      <c r="M738" t="s">
        <v>94</v>
      </c>
      <c r="N738" t="s">
        <v>112</v>
      </c>
      <c r="O738" t="s">
        <v>110</v>
      </c>
    </row>
    <row r="739" spans="1:15" x14ac:dyDescent="0.3">
      <c r="A739" t="s">
        <v>14</v>
      </c>
      <c r="B739">
        <v>56</v>
      </c>
      <c r="C739">
        <v>1</v>
      </c>
      <c r="D739">
        <v>1</v>
      </c>
      <c r="E739">
        <v>0</v>
      </c>
      <c r="F739" t="s">
        <v>30</v>
      </c>
      <c r="G739" t="s">
        <v>16</v>
      </c>
      <c r="H739" t="s">
        <v>12</v>
      </c>
      <c r="I739" t="s">
        <v>13</v>
      </c>
      <c r="J739">
        <v>1</v>
      </c>
      <c r="K739" t="s">
        <v>108</v>
      </c>
      <c r="L739" t="s">
        <v>95</v>
      </c>
      <c r="M739" t="s">
        <v>111</v>
      </c>
      <c r="N739" t="s">
        <v>116</v>
      </c>
      <c r="O739" t="s">
        <v>115</v>
      </c>
    </row>
    <row r="740" spans="1:15" x14ac:dyDescent="0.3">
      <c r="A740" t="s">
        <v>9</v>
      </c>
      <c r="B740">
        <v>11</v>
      </c>
      <c r="C740">
        <v>0</v>
      </c>
      <c r="D740">
        <v>0</v>
      </c>
      <c r="E740">
        <v>1</v>
      </c>
      <c r="F740" t="s">
        <v>15</v>
      </c>
      <c r="G740" t="s">
        <v>11</v>
      </c>
      <c r="H740" t="s">
        <v>23</v>
      </c>
      <c r="I740" t="s">
        <v>13</v>
      </c>
      <c r="J740">
        <v>0</v>
      </c>
      <c r="K740" t="s">
        <v>118</v>
      </c>
      <c r="L740" t="s">
        <v>109</v>
      </c>
      <c r="M740" t="s">
        <v>94</v>
      </c>
      <c r="N740" t="s">
        <v>112</v>
      </c>
      <c r="O740" t="s">
        <v>110</v>
      </c>
    </row>
    <row r="741" spans="1:15" x14ac:dyDescent="0.3">
      <c r="A741" t="s">
        <v>14</v>
      </c>
      <c r="B741">
        <v>46</v>
      </c>
      <c r="C741">
        <v>1</v>
      </c>
      <c r="D741">
        <v>1</v>
      </c>
      <c r="E741">
        <v>0</v>
      </c>
      <c r="F741" t="s">
        <v>47</v>
      </c>
      <c r="G741" t="s">
        <v>16</v>
      </c>
      <c r="H741" t="s">
        <v>12</v>
      </c>
      <c r="I741" t="s">
        <v>13</v>
      </c>
      <c r="J741">
        <v>1</v>
      </c>
      <c r="K741" t="s">
        <v>108</v>
      </c>
      <c r="L741" t="s">
        <v>95</v>
      </c>
      <c r="M741" t="s">
        <v>111</v>
      </c>
      <c r="N741" t="s">
        <v>116</v>
      </c>
      <c r="O741" t="s">
        <v>115</v>
      </c>
    </row>
    <row r="742" spans="1:15" x14ac:dyDescent="0.3">
      <c r="A742" t="s">
        <v>9</v>
      </c>
      <c r="B742">
        <v>32</v>
      </c>
      <c r="C742">
        <v>0</v>
      </c>
      <c r="D742">
        <v>0</v>
      </c>
      <c r="E742">
        <v>1</v>
      </c>
      <c r="F742" t="s">
        <v>28</v>
      </c>
      <c r="G742" t="s">
        <v>11</v>
      </c>
      <c r="H742" t="s">
        <v>23</v>
      </c>
      <c r="I742" t="s">
        <v>13</v>
      </c>
      <c r="J742">
        <v>0</v>
      </c>
      <c r="K742" t="s">
        <v>114</v>
      </c>
      <c r="L742" t="s">
        <v>109</v>
      </c>
      <c r="M742" t="s">
        <v>94</v>
      </c>
      <c r="N742" t="s">
        <v>112</v>
      </c>
      <c r="O742" t="s">
        <v>110</v>
      </c>
    </row>
    <row r="743" spans="1:15" x14ac:dyDescent="0.3">
      <c r="A743" t="s">
        <v>14</v>
      </c>
      <c r="B743">
        <v>65</v>
      </c>
      <c r="C743">
        <v>0</v>
      </c>
      <c r="D743">
        <v>0</v>
      </c>
      <c r="E743">
        <v>0</v>
      </c>
      <c r="F743" t="s">
        <v>52</v>
      </c>
      <c r="G743" t="s">
        <v>16</v>
      </c>
      <c r="H743" t="s">
        <v>23</v>
      </c>
      <c r="I743" t="s">
        <v>13</v>
      </c>
      <c r="J743">
        <v>0</v>
      </c>
      <c r="K743" t="s">
        <v>119</v>
      </c>
      <c r="L743" t="s">
        <v>109</v>
      </c>
      <c r="M743" t="s">
        <v>111</v>
      </c>
      <c r="N743" t="s">
        <v>112</v>
      </c>
      <c r="O743" t="s">
        <v>110</v>
      </c>
    </row>
    <row r="744" spans="1:15" x14ac:dyDescent="0.3">
      <c r="A744" t="s">
        <v>14</v>
      </c>
      <c r="B744">
        <v>55</v>
      </c>
      <c r="C744">
        <v>1</v>
      </c>
      <c r="D744">
        <v>1</v>
      </c>
      <c r="E744">
        <v>1</v>
      </c>
      <c r="F744" t="s">
        <v>38</v>
      </c>
      <c r="G744" t="s">
        <v>11</v>
      </c>
      <c r="H744" t="s">
        <v>18</v>
      </c>
      <c r="I744" t="s">
        <v>13</v>
      </c>
      <c r="J744">
        <v>1</v>
      </c>
      <c r="K744" t="s">
        <v>108</v>
      </c>
      <c r="L744" t="s">
        <v>95</v>
      </c>
      <c r="M744" t="s">
        <v>94</v>
      </c>
      <c r="N744" t="s">
        <v>116</v>
      </c>
      <c r="O744" t="s">
        <v>115</v>
      </c>
    </row>
    <row r="745" spans="1:15" x14ac:dyDescent="0.3">
      <c r="A745" t="s">
        <v>14</v>
      </c>
      <c r="B745">
        <v>34</v>
      </c>
      <c r="C745">
        <v>0</v>
      </c>
      <c r="D745">
        <v>0</v>
      </c>
      <c r="E745">
        <v>1</v>
      </c>
      <c r="F745" t="s">
        <v>41</v>
      </c>
      <c r="G745" t="s">
        <v>16</v>
      </c>
      <c r="H745" t="s">
        <v>18</v>
      </c>
      <c r="I745" t="s">
        <v>13</v>
      </c>
      <c r="J745">
        <v>0</v>
      </c>
      <c r="K745" t="s">
        <v>114</v>
      </c>
      <c r="L745" t="s">
        <v>109</v>
      </c>
      <c r="M745" t="s">
        <v>94</v>
      </c>
      <c r="N745" t="s">
        <v>112</v>
      </c>
      <c r="O745" t="s">
        <v>110</v>
      </c>
    </row>
    <row r="746" spans="1:15" x14ac:dyDescent="0.3">
      <c r="A746" t="s">
        <v>14</v>
      </c>
      <c r="B746">
        <v>21</v>
      </c>
      <c r="C746">
        <v>0</v>
      </c>
      <c r="D746">
        <v>0</v>
      </c>
      <c r="E746">
        <v>0</v>
      </c>
      <c r="F746" t="s">
        <v>40</v>
      </c>
      <c r="G746" t="s">
        <v>11</v>
      </c>
      <c r="H746" t="s">
        <v>23</v>
      </c>
      <c r="I746" t="s">
        <v>13</v>
      </c>
      <c r="J746">
        <v>0</v>
      </c>
      <c r="K746" t="s">
        <v>117</v>
      </c>
      <c r="L746" t="s">
        <v>109</v>
      </c>
      <c r="M746" t="s">
        <v>111</v>
      </c>
      <c r="N746" t="s">
        <v>112</v>
      </c>
      <c r="O746" t="s">
        <v>110</v>
      </c>
    </row>
    <row r="747" spans="1:15" x14ac:dyDescent="0.3">
      <c r="A747" t="s">
        <v>9</v>
      </c>
      <c r="B747">
        <v>11</v>
      </c>
      <c r="C747">
        <v>0</v>
      </c>
      <c r="D747">
        <v>0</v>
      </c>
      <c r="E747">
        <v>0</v>
      </c>
      <c r="F747" t="s">
        <v>22</v>
      </c>
      <c r="G747" t="s">
        <v>16</v>
      </c>
      <c r="H747" t="s">
        <v>18</v>
      </c>
      <c r="I747" t="s">
        <v>13</v>
      </c>
      <c r="J747">
        <v>0</v>
      </c>
      <c r="K747" t="s">
        <v>118</v>
      </c>
      <c r="L747" t="s">
        <v>109</v>
      </c>
      <c r="M747" t="s">
        <v>111</v>
      </c>
      <c r="N747" t="s">
        <v>112</v>
      </c>
      <c r="O747" t="s">
        <v>110</v>
      </c>
    </row>
    <row r="748" spans="1:15" x14ac:dyDescent="0.3">
      <c r="A748" t="s">
        <v>14</v>
      </c>
      <c r="B748">
        <v>46</v>
      </c>
      <c r="C748">
        <v>0</v>
      </c>
      <c r="D748">
        <v>0</v>
      </c>
      <c r="E748">
        <v>0</v>
      </c>
      <c r="F748" t="s">
        <v>27</v>
      </c>
      <c r="G748" t="s">
        <v>11</v>
      </c>
      <c r="H748" t="s">
        <v>12</v>
      </c>
      <c r="I748" t="s">
        <v>13</v>
      </c>
      <c r="J748">
        <v>0</v>
      </c>
      <c r="K748" t="s">
        <v>108</v>
      </c>
      <c r="L748" t="s">
        <v>109</v>
      </c>
      <c r="M748" t="s">
        <v>111</v>
      </c>
      <c r="N748" t="s">
        <v>112</v>
      </c>
      <c r="O748" t="s">
        <v>110</v>
      </c>
    </row>
    <row r="749" spans="1:15" x14ac:dyDescent="0.3">
      <c r="A749" t="s">
        <v>14</v>
      </c>
      <c r="B749">
        <v>21</v>
      </c>
      <c r="C749">
        <v>1</v>
      </c>
      <c r="D749">
        <v>1</v>
      </c>
      <c r="E749">
        <v>0</v>
      </c>
      <c r="F749" t="s">
        <v>35</v>
      </c>
      <c r="G749" t="s">
        <v>16</v>
      </c>
      <c r="H749" t="s">
        <v>18</v>
      </c>
      <c r="I749" t="s">
        <v>13</v>
      </c>
      <c r="J749">
        <v>1</v>
      </c>
      <c r="K749" t="s">
        <v>117</v>
      </c>
      <c r="L749" t="s">
        <v>95</v>
      </c>
      <c r="M749" t="s">
        <v>111</v>
      </c>
      <c r="N749" t="s">
        <v>116</v>
      </c>
      <c r="O749" t="s">
        <v>115</v>
      </c>
    </row>
    <row r="750" spans="1:15" x14ac:dyDescent="0.3">
      <c r="A750" t="s">
        <v>9</v>
      </c>
      <c r="B750">
        <v>61</v>
      </c>
      <c r="C750">
        <v>0</v>
      </c>
      <c r="D750">
        <v>0</v>
      </c>
      <c r="E750">
        <v>0</v>
      </c>
      <c r="F750" t="s">
        <v>21</v>
      </c>
      <c r="G750" t="s">
        <v>11</v>
      </c>
      <c r="H750" t="s">
        <v>23</v>
      </c>
      <c r="I750" t="s">
        <v>13</v>
      </c>
      <c r="J750">
        <v>0</v>
      </c>
      <c r="K750" t="s">
        <v>108</v>
      </c>
      <c r="L750" t="s">
        <v>109</v>
      </c>
      <c r="M750" t="s">
        <v>111</v>
      </c>
      <c r="N750" t="s">
        <v>112</v>
      </c>
      <c r="O750" t="s">
        <v>110</v>
      </c>
    </row>
    <row r="751" spans="1:15" x14ac:dyDescent="0.3">
      <c r="A751" t="s">
        <v>14</v>
      </c>
      <c r="B751">
        <v>35</v>
      </c>
      <c r="C751">
        <v>1</v>
      </c>
      <c r="D751">
        <v>1</v>
      </c>
      <c r="E751">
        <v>1</v>
      </c>
      <c r="F751" t="s">
        <v>33</v>
      </c>
      <c r="G751" t="s">
        <v>16</v>
      </c>
      <c r="H751" t="s">
        <v>12</v>
      </c>
      <c r="I751" t="s">
        <v>13</v>
      </c>
      <c r="J751">
        <v>1</v>
      </c>
      <c r="K751" t="s">
        <v>114</v>
      </c>
      <c r="L751" t="s">
        <v>95</v>
      </c>
      <c r="M751" t="s">
        <v>94</v>
      </c>
      <c r="N751" t="s">
        <v>116</v>
      </c>
      <c r="O751" t="s">
        <v>115</v>
      </c>
    </row>
    <row r="752" spans="1:15" x14ac:dyDescent="0.3">
      <c r="A752" t="s">
        <v>9</v>
      </c>
      <c r="B752">
        <v>46</v>
      </c>
      <c r="C752">
        <v>1</v>
      </c>
      <c r="D752">
        <v>1</v>
      </c>
      <c r="E752">
        <v>1</v>
      </c>
      <c r="F752" t="s">
        <v>48</v>
      </c>
      <c r="G752" t="s">
        <v>11</v>
      </c>
      <c r="H752" t="s">
        <v>23</v>
      </c>
      <c r="I752" t="s">
        <v>13</v>
      </c>
      <c r="J752">
        <v>1</v>
      </c>
      <c r="K752" t="s">
        <v>108</v>
      </c>
      <c r="L752" t="s">
        <v>95</v>
      </c>
      <c r="M752" t="s">
        <v>94</v>
      </c>
      <c r="N752" t="s">
        <v>116</v>
      </c>
      <c r="O752" t="s">
        <v>115</v>
      </c>
    </row>
    <row r="753" spans="1:15" x14ac:dyDescent="0.3">
      <c r="A753" t="s">
        <v>9</v>
      </c>
      <c r="B753">
        <v>11</v>
      </c>
      <c r="C753">
        <v>0</v>
      </c>
      <c r="D753">
        <v>0</v>
      </c>
      <c r="E753">
        <v>0</v>
      </c>
      <c r="F753" t="s">
        <v>35</v>
      </c>
      <c r="G753" t="s">
        <v>16</v>
      </c>
      <c r="H753" t="s">
        <v>18</v>
      </c>
      <c r="I753" t="s">
        <v>13</v>
      </c>
      <c r="J753">
        <v>0</v>
      </c>
      <c r="K753" t="s">
        <v>118</v>
      </c>
      <c r="L753" t="s">
        <v>109</v>
      </c>
      <c r="M753" t="s">
        <v>111</v>
      </c>
      <c r="N753" t="s">
        <v>112</v>
      </c>
      <c r="O753" t="s">
        <v>110</v>
      </c>
    </row>
    <row r="754" spans="1:15" x14ac:dyDescent="0.3">
      <c r="A754" t="s">
        <v>14</v>
      </c>
      <c r="B754">
        <v>49</v>
      </c>
      <c r="C754">
        <v>1</v>
      </c>
      <c r="D754">
        <v>1</v>
      </c>
      <c r="E754">
        <v>0</v>
      </c>
      <c r="F754" t="s">
        <v>25</v>
      </c>
      <c r="G754" t="s">
        <v>11</v>
      </c>
      <c r="H754" t="s">
        <v>12</v>
      </c>
      <c r="I754" t="s">
        <v>13</v>
      </c>
      <c r="J754">
        <v>1</v>
      </c>
      <c r="K754" t="s">
        <v>108</v>
      </c>
      <c r="L754" t="s">
        <v>95</v>
      </c>
      <c r="M754" t="s">
        <v>111</v>
      </c>
      <c r="N754" t="s">
        <v>116</v>
      </c>
      <c r="O754" t="s">
        <v>115</v>
      </c>
    </row>
    <row r="755" spans="1:15" x14ac:dyDescent="0.3">
      <c r="A755" t="s">
        <v>9</v>
      </c>
      <c r="B755">
        <v>43</v>
      </c>
      <c r="C755">
        <v>1</v>
      </c>
      <c r="D755">
        <v>1</v>
      </c>
      <c r="E755">
        <v>1</v>
      </c>
      <c r="F755" t="s">
        <v>21</v>
      </c>
      <c r="G755" t="s">
        <v>16</v>
      </c>
      <c r="H755" t="s">
        <v>18</v>
      </c>
      <c r="I755" t="s">
        <v>13</v>
      </c>
      <c r="J755">
        <v>1</v>
      </c>
      <c r="K755" t="s">
        <v>114</v>
      </c>
      <c r="L755" t="s">
        <v>95</v>
      </c>
      <c r="M755" t="s">
        <v>94</v>
      </c>
      <c r="N755" t="s">
        <v>116</v>
      </c>
      <c r="O755" t="s">
        <v>115</v>
      </c>
    </row>
    <row r="756" spans="1:15" x14ac:dyDescent="0.3">
      <c r="A756" t="s">
        <v>9</v>
      </c>
      <c r="B756">
        <v>49</v>
      </c>
      <c r="C756">
        <v>1</v>
      </c>
      <c r="D756">
        <v>1</v>
      </c>
      <c r="E756">
        <v>0</v>
      </c>
      <c r="F756" t="s">
        <v>45</v>
      </c>
      <c r="G756" t="s">
        <v>11</v>
      </c>
      <c r="H756" t="s">
        <v>23</v>
      </c>
      <c r="I756" t="s">
        <v>13</v>
      </c>
      <c r="J756">
        <v>1</v>
      </c>
      <c r="K756" t="s">
        <v>108</v>
      </c>
      <c r="L756" t="s">
        <v>95</v>
      </c>
      <c r="M756" t="s">
        <v>111</v>
      </c>
      <c r="N756" t="s">
        <v>116</v>
      </c>
      <c r="O756" t="s">
        <v>115</v>
      </c>
    </row>
    <row r="757" spans="1:15" x14ac:dyDescent="0.3">
      <c r="A757" t="s">
        <v>14</v>
      </c>
      <c r="B757">
        <v>46</v>
      </c>
      <c r="C757">
        <v>1</v>
      </c>
      <c r="D757">
        <v>1</v>
      </c>
      <c r="E757">
        <v>0</v>
      </c>
      <c r="F757" t="s">
        <v>43</v>
      </c>
      <c r="G757" t="s">
        <v>16</v>
      </c>
      <c r="H757" t="s">
        <v>23</v>
      </c>
      <c r="I757" t="s">
        <v>13</v>
      </c>
      <c r="J757">
        <v>1</v>
      </c>
      <c r="K757" t="s">
        <v>108</v>
      </c>
      <c r="L757" t="s">
        <v>95</v>
      </c>
      <c r="M757" t="s">
        <v>111</v>
      </c>
      <c r="N757" t="s">
        <v>116</v>
      </c>
      <c r="O757" t="s">
        <v>115</v>
      </c>
    </row>
    <row r="758" spans="1:15" x14ac:dyDescent="0.3">
      <c r="A758" t="s">
        <v>9</v>
      </c>
      <c r="B758">
        <v>50</v>
      </c>
      <c r="C758">
        <v>0</v>
      </c>
      <c r="D758">
        <v>0</v>
      </c>
      <c r="E758">
        <v>1</v>
      </c>
      <c r="F758" t="s">
        <v>10</v>
      </c>
      <c r="G758" t="s">
        <v>11</v>
      </c>
      <c r="H758" t="s">
        <v>12</v>
      </c>
      <c r="I758" t="s">
        <v>13</v>
      </c>
      <c r="J758">
        <v>0</v>
      </c>
      <c r="K758" t="s">
        <v>108</v>
      </c>
      <c r="L758" t="s">
        <v>109</v>
      </c>
      <c r="M758" t="s">
        <v>94</v>
      </c>
      <c r="N758" t="s">
        <v>112</v>
      </c>
      <c r="O758" t="s">
        <v>110</v>
      </c>
    </row>
    <row r="759" spans="1:15" x14ac:dyDescent="0.3">
      <c r="A759" t="s">
        <v>14</v>
      </c>
      <c r="B759">
        <v>20</v>
      </c>
      <c r="C759">
        <v>0</v>
      </c>
      <c r="D759">
        <v>0</v>
      </c>
      <c r="E759">
        <v>0</v>
      </c>
      <c r="F759" t="s">
        <v>26</v>
      </c>
      <c r="G759" t="s">
        <v>16</v>
      </c>
      <c r="H759" t="s">
        <v>12</v>
      </c>
      <c r="I759" t="s">
        <v>13</v>
      </c>
      <c r="J759">
        <v>0</v>
      </c>
      <c r="K759" t="s">
        <v>117</v>
      </c>
      <c r="L759" t="s">
        <v>109</v>
      </c>
      <c r="M759" t="s">
        <v>111</v>
      </c>
      <c r="N759" t="s">
        <v>112</v>
      </c>
      <c r="O759" t="s">
        <v>110</v>
      </c>
    </row>
    <row r="760" spans="1:15" x14ac:dyDescent="0.3">
      <c r="A760" t="s">
        <v>14</v>
      </c>
      <c r="B760">
        <v>58</v>
      </c>
      <c r="C760">
        <v>1</v>
      </c>
      <c r="D760">
        <v>1</v>
      </c>
      <c r="E760">
        <v>1</v>
      </c>
      <c r="F760" t="s">
        <v>25</v>
      </c>
      <c r="G760" t="s">
        <v>11</v>
      </c>
      <c r="H760" t="s">
        <v>23</v>
      </c>
      <c r="I760" t="s">
        <v>13</v>
      </c>
      <c r="J760">
        <v>1</v>
      </c>
      <c r="K760" t="s">
        <v>108</v>
      </c>
      <c r="L760" t="s">
        <v>95</v>
      </c>
      <c r="M760" t="s">
        <v>94</v>
      </c>
      <c r="N760" t="s">
        <v>116</v>
      </c>
      <c r="O760" t="s">
        <v>115</v>
      </c>
    </row>
    <row r="761" spans="1:15" x14ac:dyDescent="0.3">
      <c r="A761" t="s">
        <v>9</v>
      </c>
      <c r="B761">
        <v>46</v>
      </c>
      <c r="C761">
        <v>0</v>
      </c>
      <c r="D761">
        <v>0</v>
      </c>
      <c r="E761">
        <v>0</v>
      </c>
      <c r="F761" t="s">
        <v>45</v>
      </c>
      <c r="G761" t="s">
        <v>16</v>
      </c>
      <c r="H761" t="s">
        <v>23</v>
      </c>
      <c r="I761" t="s">
        <v>13</v>
      </c>
      <c r="J761">
        <v>0</v>
      </c>
      <c r="K761" t="s">
        <v>108</v>
      </c>
      <c r="L761" t="s">
        <v>109</v>
      </c>
      <c r="M761" t="s">
        <v>111</v>
      </c>
      <c r="N761" t="s">
        <v>112</v>
      </c>
      <c r="O761" t="s">
        <v>110</v>
      </c>
    </row>
    <row r="762" spans="1:15" x14ac:dyDescent="0.3">
      <c r="A762" t="s">
        <v>14</v>
      </c>
      <c r="B762">
        <v>24</v>
      </c>
      <c r="C762">
        <v>0</v>
      </c>
      <c r="D762">
        <v>0</v>
      </c>
      <c r="E762">
        <v>1</v>
      </c>
      <c r="F762" t="s">
        <v>26</v>
      </c>
      <c r="G762" t="s">
        <v>11</v>
      </c>
      <c r="H762" t="s">
        <v>12</v>
      </c>
      <c r="I762" t="s">
        <v>13</v>
      </c>
      <c r="J762">
        <v>0</v>
      </c>
      <c r="K762" t="s">
        <v>117</v>
      </c>
      <c r="L762" t="s">
        <v>109</v>
      </c>
      <c r="M762" t="s">
        <v>94</v>
      </c>
      <c r="N762" t="s">
        <v>112</v>
      </c>
      <c r="O762" t="s">
        <v>110</v>
      </c>
    </row>
    <row r="763" spans="1:15" x14ac:dyDescent="0.3">
      <c r="A763" t="s">
        <v>14</v>
      </c>
      <c r="B763">
        <v>29</v>
      </c>
      <c r="C763">
        <v>0</v>
      </c>
      <c r="D763">
        <v>0</v>
      </c>
      <c r="E763">
        <v>0</v>
      </c>
      <c r="F763" t="s">
        <v>41</v>
      </c>
      <c r="G763" t="s">
        <v>16</v>
      </c>
      <c r="H763" t="s">
        <v>18</v>
      </c>
      <c r="I763" t="s">
        <v>13</v>
      </c>
      <c r="J763">
        <v>0</v>
      </c>
      <c r="K763" t="s">
        <v>114</v>
      </c>
      <c r="L763" t="s">
        <v>109</v>
      </c>
      <c r="M763" t="s">
        <v>111</v>
      </c>
      <c r="N763" t="s">
        <v>112</v>
      </c>
      <c r="O763" t="s">
        <v>110</v>
      </c>
    </row>
    <row r="764" spans="1:15" x14ac:dyDescent="0.3">
      <c r="A764" t="s">
        <v>14</v>
      </c>
      <c r="B764">
        <v>46</v>
      </c>
      <c r="C764">
        <v>0</v>
      </c>
      <c r="D764">
        <v>0</v>
      </c>
      <c r="E764">
        <v>1</v>
      </c>
      <c r="F764" t="s">
        <v>49</v>
      </c>
      <c r="G764" t="s">
        <v>11</v>
      </c>
      <c r="H764" t="s">
        <v>23</v>
      </c>
      <c r="I764" t="s">
        <v>13</v>
      </c>
      <c r="J764">
        <v>0</v>
      </c>
      <c r="K764" t="s">
        <v>108</v>
      </c>
      <c r="L764" t="s">
        <v>109</v>
      </c>
      <c r="M764" t="s">
        <v>94</v>
      </c>
      <c r="N764" t="s">
        <v>112</v>
      </c>
      <c r="O764" t="s">
        <v>110</v>
      </c>
    </row>
    <row r="765" spans="1:15" x14ac:dyDescent="0.3">
      <c r="A765" t="s">
        <v>14</v>
      </c>
      <c r="B765">
        <v>42</v>
      </c>
      <c r="C765">
        <v>1</v>
      </c>
      <c r="D765">
        <v>1</v>
      </c>
      <c r="E765">
        <v>1</v>
      </c>
      <c r="F765" t="s">
        <v>50</v>
      </c>
      <c r="G765" t="s">
        <v>16</v>
      </c>
      <c r="H765" t="s">
        <v>12</v>
      </c>
      <c r="I765" t="s">
        <v>13</v>
      </c>
      <c r="J765">
        <v>1</v>
      </c>
      <c r="K765" t="s">
        <v>114</v>
      </c>
      <c r="L765" t="s">
        <v>95</v>
      </c>
      <c r="M765" t="s">
        <v>94</v>
      </c>
      <c r="N765" t="s">
        <v>116</v>
      </c>
      <c r="O765" t="s">
        <v>115</v>
      </c>
    </row>
    <row r="766" spans="1:15" x14ac:dyDescent="0.3">
      <c r="A766" t="s">
        <v>9</v>
      </c>
      <c r="B766">
        <v>56</v>
      </c>
      <c r="C766">
        <v>0</v>
      </c>
      <c r="D766">
        <v>0</v>
      </c>
      <c r="E766">
        <v>0</v>
      </c>
      <c r="F766" t="s">
        <v>41</v>
      </c>
      <c r="G766" t="s">
        <v>11</v>
      </c>
      <c r="H766" t="s">
        <v>18</v>
      </c>
      <c r="I766" t="s">
        <v>13</v>
      </c>
      <c r="J766">
        <v>0</v>
      </c>
      <c r="K766" t="s">
        <v>108</v>
      </c>
      <c r="L766" t="s">
        <v>109</v>
      </c>
      <c r="M766" t="s">
        <v>111</v>
      </c>
      <c r="N766" t="s">
        <v>112</v>
      </c>
      <c r="O766" t="s">
        <v>110</v>
      </c>
    </row>
    <row r="767" spans="1:15" x14ac:dyDescent="0.3">
      <c r="A767" t="s">
        <v>14</v>
      </c>
      <c r="B767">
        <v>8</v>
      </c>
      <c r="C767">
        <v>0</v>
      </c>
      <c r="D767">
        <v>0</v>
      </c>
      <c r="E767">
        <v>0</v>
      </c>
      <c r="F767" t="s">
        <v>17</v>
      </c>
      <c r="G767" t="s">
        <v>16</v>
      </c>
      <c r="H767" t="s">
        <v>23</v>
      </c>
      <c r="I767" t="s">
        <v>13</v>
      </c>
      <c r="J767">
        <v>0</v>
      </c>
      <c r="K767" t="s">
        <v>118</v>
      </c>
      <c r="L767" t="s">
        <v>109</v>
      </c>
      <c r="M767" t="s">
        <v>111</v>
      </c>
      <c r="N767" t="s">
        <v>112</v>
      </c>
      <c r="O767" t="s">
        <v>110</v>
      </c>
    </row>
    <row r="768" spans="1:15" x14ac:dyDescent="0.3">
      <c r="A768" t="s">
        <v>14</v>
      </c>
      <c r="B768">
        <v>13</v>
      </c>
      <c r="C768">
        <v>0</v>
      </c>
      <c r="D768">
        <v>0</v>
      </c>
      <c r="E768">
        <v>0</v>
      </c>
      <c r="F768" t="s">
        <v>40</v>
      </c>
      <c r="G768" t="s">
        <v>11</v>
      </c>
      <c r="H768" t="s">
        <v>12</v>
      </c>
      <c r="I768" t="s">
        <v>13</v>
      </c>
      <c r="J768">
        <v>0</v>
      </c>
      <c r="K768" t="s">
        <v>118</v>
      </c>
      <c r="L768" t="s">
        <v>109</v>
      </c>
      <c r="M768" t="s">
        <v>111</v>
      </c>
      <c r="N768" t="s">
        <v>112</v>
      </c>
      <c r="O768" t="s">
        <v>110</v>
      </c>
    </row>
    <row r="769" spans="1:15" x14ac:dyDescent="0.3">
      <c r="A769" t="s">
        <v>14</v>
      </c>
      <c r="B769">
        <v>10</v>
      </c>
      <c r="C769">
        <v>1</v>
      </c>
      <c r="D769">
        <v>1</v>
      </c>
      <c r="E769">
        <v>0</v>
      </c>
      <c r="F769" t="s">
        <v>28</v>
      </c>
      <c r="G769" t="s">
        <v>16</v>
      </c>
      <c r="H769" t="s">
        <v>23</v>
      </c>
      <c r="I769" t="s">
        <v>13</v>
      </c>
      <c r="J769">
        <v>1</v>
      </c>
      <c r="K769" t="s">
        <v>118</v>
      </c>
      <c r="L769" t="s">
        <v>95</v>
      </c>
      <c r="M769" t="s">
        <v>111</v>
      </c>
      <c r="N769" t="s">
        <v>116</v>
      </c>
      <c r="O769" t="s">
        <v>115</v>
      </c>
    </row>
    <row r="770" spans="1:15" x14ac:dyDescent="0.3">
      <c r="A770" t="s">
        <v>14</v>
      </c>
      <c r="B770">
        <v>34</v>
      </c>
      <c r="C770">
        <v>0</v>
      </c>
      <c r="D770">
        <v>0</v>
      </c>
      <c r="E770">
        <v>1</v>
      </c>
      <c r="F770" t="s">
        <v>51</v>
      </c>
      <c r="G770" t="s">
        <v>11</v>
      </c>
      <c r="H770" t="s">
        <v>18</v>
      </c>
      <c r="I770" t="s">
        <v>13</v>
      </c>
      <c r="J770">
        <v>0</v>
      </c>
      <c r="K770" t="s">
        <v>114</v>
      </c>
      <c r="L770" t="s">
        <v>109</v>
      </c>
      <c r="M770" t="s">
        <v>94</v>
      </c>
      <c r="N770" t="s">
        <v>112</v>
      </c>
      <c r="O770" t="s">
        <v>110</v>
      </c>
    </row>
    <row r="771" spans="1:15" x14ac:dyDescent="0.3">
      <c r="A771" t="s">
        <v>9</v>
      </c>
      <c r="B771">
        <v>33</v>
      </c>
      <c r="C771">
        <v>1</v>
      </c>
      <c r="D771">
        <v>1</v>
      </c>
      <c r="E771">
        <v>1</v>
      </c>
      <c r="F771" t="s">
        <v>43</v>
      </c>
      <c r="G771" t="s">
        <v>16</v>
      </c>
      <c r="H771" t="s">
        <v>23</v>
      </c>
      <c r="I771" t="s">
        <v>13</v>
      </c>
      <c r="J771">
        <v>1</v>
      </c>
      <c r="K771" t="s">
        <v>114</v>
      </c>
      <c r="L771" t="s">
        <v>95</v>
      </c>
      <c r="M771" t="s">
        <v>94</v>
      </c>
      <c r="N771" t="s">
        <v>116</v>
      </c>
      <c r="O771" t="s">
        <v>115</v>
      </c>
    </row>
    <row r="772" spans="1:15" x14ac:dyDescent="0.3">
      <c r="A772" t="s">
        <v>14</v>
      </c>
      <c r="B772">
        <v>43</v>
      </c>
      <c r="C772">
        <v>1</v>
      </c>
      <c r="D772">
        <v>1</v>
      </c>
      <c r="E772">
        <v>0</v>
      </c>
      <c r="F772" t="s">
        <v>36</v>
      </c>
      <c r="G772" t="s">
        <v>11</v>
      </c>
      <c r="H772" t="s">
        <v>18</v>
      </c>
      <c r="I772" t="s">
        <v>13</v>
      </c>
      <c r="J772">
        <v>1</v>
      </c>
      <c r="K772" t="s">
        <v>114</v>
      </c>
      <c r="L772" t="s">
        <v>95</v>
      </c>
      <c r="M772" t="s">
        <v>111</v>
      </c>
      <c r="N772" t="s">
        <v>116</v>
      </c>
      <c r="O772" t="s">
        <v>115</v>
      </c>
    </row>
    <row r="773" spans="1:15" x14ac:dyDescent="0.3">
      <c r="A773" t="s">
        <v>9</v>
      </c>
      <c r="B773">
        <v>36</v>
      </c>
      <c r="C773">
        <v>1</v>
      </c>
      <c r="D773">
        <v>1</v>
      </c>
      <c r="E773">
        <v>0</v>
      </c>
      <c r="F773" t="s">
        <v>38</v>
      </c>
      <c r="G773" t="s">
        <v>16</v>
      </c>
      <c r="H773" t="s">
        <v>18</v>
      </c>
      <c r="I773" t="s">
        <v>13</v>
      </c>
      <c r="J773">
        <v>1</v>
      </c>
      <c r="K773" t="s">
        <v>114</v>
      </c>
      <c r="L773" t="s">
        <v>95</v>
      </c>
      <c r="M773" t="s">
        <v>111</v>
      </c>
      <c r="N773" t="s">
        <v>116</v>
      </c>
      <c r="O773" t="s">
        <v>115</v>
      </c>
    </row>
    <row r="774" spans="1:15" x14ac:dyDescent="0.3">
      <c r="A774" t="s">
        <v>9</v>
      </c>
      <c r="B774">
        <v>50</v>
      </c>
      <c r="C774">
        <v>1</v>
      </c>
      <c r="D774">
        <v>1</v>
      </c>
      <c r="E774">
        <v>0</v>
      </c>
      <c r="F774" t="s">
        <v>26</v>
      </c>
      <c r="G774" t="s">
        <v>11</v>
      </c>
      <c r="H774" t="s">
        <v>18</v>
      </c>
      <c r="I774" t="s">
        <v>13</v>
      </c>
      <c r="J774">
        <v>1</v>
      </c>
      <c r="K774" t="s">
        <v>108</v>
      </c>
      <c r="L774" t="s">
        <v>95</v>
      </c>
      <c r="M774" t="s">
        <v>111</v>
      </c>
      <c r="N774" t="s">
        <v>116</v>
      </c>
      <c r="O774" t="s">
        <v>115</v>
      </c>
    </row>
    <row r="775" spans="1:15" x14ac:dyDescent="0.3">
      <c r="A775" t="s">
        <v>14</v>
      </c>
      <c r="B775">
        <v>14</v>
      </c>
      <c r="C775">
        <v>1</v>
      </c>
      <c r="D775">
        <v>1</v>
      </c>
      <c r="E775">
        <v>0</v>
      </c>
      <c r="F775" t="s">
        <v>39</v>
      </c>
      <c r="G775" t="s">
        <v>16</v>
      </c>
      <c r="H775" t="s">
        <v>12</v>
      </c>
      <c r="I775" t="s">
        <v>13</v>
      </c>
      <c r="J775">
        <v>1</v>
      </c>
      <c r="K775" t="s">
        <v>113</v>
      </c>
      <c r="L775" t="s">
        <v>95</v>
      </c>
      <c r="M775" t="s">
        <v>111</v>
      </c>
      <c r="N775" t="s">
        <v>116</v>
      </c>
      <c r="O775" t="s">
        <v>115</v>
      </c>
    </row>
    <row r="776" spans="1:15" x14ac:dyDescent="0.3">
      <c r="A776" t="s">
        <v>14</v>
      </c>
      <c r="B776">
        <v>10</v>
      </c>
      <c r="C776">
        <v>0</v>
      </c>
      <c r="D776">
        <v>0</v>
      </c>
      <c r="E776">
        <v>1</v>
      </c>
      <c r="F776" t="s">
        <v>36</v>
      </c>
      <c r="G776" t="s">
        <v>11</v>
      </c>
      <c r="H776" t="s">
        <v>18</v>
      </c>
      <c r="I776" t="s">
        <v>13</v>
      </c>
      <c r="J776">
        <v>0</v>
      </c>
      <c r="K776" t="s">
        <v>118</v>
      </c>
      <c r="L776" t="s">
        <v>109</v>
      </c>
      <c r="M776" t="s">
        <v>94</v>
      </c>
      <c r="N776" t="s">
        <v>112</v>
      </c>
      <c r="O776" t="s">
        <v>110</v>
      </c>
    </row>
    <row r="777" spans="1:15" x14ac:dyDescent="0.3">
      <c r="A777" t="s">
        <v>14</v>
      </c>
      <c r="B777">
        <v>50</v>
      </c>
      <c r="C777">
        <v>1</v>
      </c>
      <c r="D777">
        <v>1</v>
      </c>
      <c r="E777">
        <v>0</v>
      </c>
      <c r="F777" t="s">
        <v>35</v>
      </c>
      <c r="G777" t="s">
        <v>16</v>
      </c>
      <c r="H777" t="s">
        <v>18</v>
      </c>
      <c r="I777" t="s">
        <v>13</v>
      </c>
      <c r="J777">
        <v>1</v>
      </c>
      <c r="K777" t="s">
        <v>108</v>
      </c>
      <c r="L777" t="s">
        <v>95</v>
      </c>
      <c r="M777" t="s">
        <v>111</v>
      </c>
      <c r="N777" t="s">
        <v>116</v>
      </c>
      <c r="O777" t="s">
        <v>115</v>
      </c>
    </row>
    <row r="778" spans="1:15" x14ac:dyDescent="0.3">
      <c r="A778" t="s">
        <v>14</v>
      </c>
      <c r="B778">
        <v>62</v>
      </c>
      <c r="C778">
        <v>1</v>
      </c>
      <c r="D778">
        <v>1</v>
      </c>
      <c r="E778">
        <v>0</v>
      </c>
      <c r="F778" t="s">
        <v>28</v>
      </c>
      <c r="G778" t="s">
        <v>11</v>
      </c>
      <c r="H778" t="s">
        <v>18</v>
      </c>
      <c r="I778" t="s">
        <v>13</v>
      </c>
      <c r="J778">
        <v>1</v>
      </c>
      <c r="K778" t="s">
        <v>108</v>
      </c>
      <c r="L778" t="s">
        <v>95</v>
      </c>
      <c r="M778" t="s">
        <v>111</v>
      </c>
      <c r="N778" t="s">
        <v>116</v>
      </c>
      <c r="O778" t="s">
        <v>115</v>
      </c>
    </row>
    <row r="779" spans="1:15" x14ac:dyDescent="0.3">
      <c r="A779" t="s">
        <v>9</v>
      </c>
      <c r="B779">
        <v>11</v>
      </c>
      <c r="C779">
        <v>0</v>
      </c>
      <c r="D779">
        <v>0</v>
      </c>
      <c r="E779">
        <v>0</v>
      </c>
      <c r="F779" t="s">
        <v>38</v>
      </c>
      <c r="G779" t="s">
        <v>16</v>
      </c>
      <c r="H779" t="s">
        <v>12</v>
      </c>
      <c r="I779" t="s">
        <v>13</v>
      </c>
      <c r="J779">
        <v>0</v>
      </c>
      <c r="K779" t="s">
        <v>118</v>
      </c>
      <c r="L779" t="s">
        <v>109</v>
      </c>
      <c r="M779" t="s">
        <v>111</v>
      </c>
      <c r="N779" t="s">
        <v>112</v>
      </c>
      <c r="O779" t="s">
        <v>110</v>
      </c>
    </row>
    <row r="780" spans="1:15" x14ac:dyDescent="0.3">
      <c r="A780" t="s">
        <v>14</v>
      </c>
      <c r="B780">
        <v>40</v>
      </c>
      <c r="C780">
        <v>1</v>
      </c>
      <c r="D780">
        <v>1</v>
      </c>
      <c r="E780">
        <v>1</v>
      </c>
      <c r="F780" t="s">
        <v>47</v>
      </c>
      <c r="G780" t="s">
        <v>11</v>
      </c>
      <c r="H780" t="s">
        <v>12</v>
      </c>
      <c r="I780" t="s">
        <v>13</v>
      </c>
      <c r="J780">
        <v>1</v>
      </c>
      <c r="K780" t="s">
        <v>114</v>
      </c>
      <c r="L780" t="s">
        <v>95</v>
      </c>
      <c r="M780" t="s">
        <v>94</v>
      </c>
      <c r="N780" t="s">
        <v>116</v>
      </c>
      <c r="O780" t="s">
        <v>115</v>
      </c>
    </row>
    <row r="781" spans="1:15" x14ac:dyDescent="0.3">
      <c r="A781" t="s">
        <v>14</v>
      </c>
      <c r="B781">
        <v>50</v>
      </c>
      <c r="C781">
        <v>1</v>
      </c>
      <c r="D781">
        <v>1</v>
      </c>
      <c r="E781">
        <v>1</v>
      </c>
      <c r="F781" t="s">
        <v>15</v>
      </c>
      <c r="G781" t="s">
        <v>16</v>
      </c>
      <c r="H781" t="s">
        <v>12</v>
      </c>
      <c r="I781" t="s">
        <v>13</v>
      </c>
      <c r="J781">
        <v>1</v>
      </c>
      <c r="K781" t="s">
        <v>108</v>
      </c>
      <c r="L781" t="s">
        <v>95</v>
      </c>
      <c r="M781" t="s">
        <v>94</v>
      </c>
      <c r="N781" t="s">
        <v>116</v>
      </c>
      <c r="O781" t="s">
        <v>115</v>
      </c>
    </row>
    <row r="782" spans="1:15" x14ac:dyDescent="0.3">
      <c r="A782" t="s">
        <v>14</v>
      </c>
      <c r="B782">
        <v>17</v>
      </c>
      <c r="C782">
        <v>0</v>
      </c>
      <c r="D782">
        <v>0</v>
      </c>
      <c r="E782">
        <v>0</v>
      </c>
      <c r="F782" t="s">
        <v>37</v>
      </c>
      <c r="G782" t="s">
        <v>11</v>
      </c>
      <c r="H782" t="s">
        <v>18</v>
      </c>
      <c r="I782" t="s">
        <v>13</v>
      </c>
      <c r="J782">
        <v>0</v>
      </c>
      <c r="K782" t="s">
        <v>113</v>
      </c>
      <c r="L782" t="s">
        <v>109</v>
      </c>
      <c r="M782" t="s">
        <v>111</v>
      </c>
      <c r="N782" t="s">
        <v>112</v>
      </c>
      <c r="O782" t="s">
        <v>110</v>
      </c>
    </row>
    <row r="783" spans="1:15" x14ac:dyDescent="0.3">
      <c r="A783" t="s">
        <v>9</v>
      </c>
      <c r="B783">
        <v>31</v>
      </c>
      <c r="C783">
        <v>1</v>
      </c>
      <c r="D783">
        <v>1</v>
      </c>
      <c r="E783">
        <v>1</v>
      </c>
      <c r="F783" t="s">
        <v>50</v>
      </c>
      <c r="G783" t="s">
        <v>16</v>
      </c>
      <c r="H783" t="s">
        <v>12</v>
      </c>
      <c r="I783" t="s">
        <v>13</v>
      </c>
      <c r="J783">
        <v>1</v>
      </c>
      <c r="K783" t="s">
        <v>114</v>
      </c>
      <c r="L783" t="s">
        <v>95</v>
      </c>
      <c r="M783" t="s">
        <v>94</v>
      </c>
      <c r="N783" t="s">
        <v>116</v>
      </c>
      <c r="O783" t="s">
        <v>115</v>
      </c>
    </row>
    <row r="784" spans="1:15" x14ac:dyDescent="0.3">
      <c r="A784" t="s">
        <v>9</v>
      </c>
      <c r="B784">
        <v>53</v>
      </c>
      <c r="C784">
        <v>1</v>
      </c>
      <c r="D784">
        <v>1</v>
      </c>
      <c r="E784">
        <v>1</v>
      </c>
      <c r="F784" t="s">
        <v>19</v>
      </c>
      <c r="G784" t="s">
        <v>11</v>
      </c>
      <c r="H784" t="s">
        <v>12</v>
      </c>
      <c r="I784" t="s">
        <v>13</v>
      </c>
      <c r="J784">
        <v>1</v>
      </c>
      <c r="K784" t="s">
        <v>108</v>
      </c>
      <c r="L784" t="s">
        <v>95</v>
      </c>
      <c r="M784" t="s">
        <v>94</v>
      </c>
      <c r="N784" t="s">
        <v>116</v>
      </c>
      <c r="O784" t="s">
        <v>115</v>
      </c>
    </row>
    <row r="785" spans="1:15" x14ac:dyDescent="0.3">
      <c r="A785" t="s">
        <v>14</v>
      </c>
      <c r="B785">
        <v>29</v>
      </c>
      <c r="C785">
        <v>0</v>
      </c>
      <c r="D785">
        <v>0</v>
      </c>
      <c r="E785">
        <v>1</v>
      </c>
      <c r="F785" t="s">
        <v>41</v>
      </c>
      <c r="G785" t="s">
        <v>16</v>
      </c>
      <c r="H785" t="s">
        <v>18</v>
      </c>
      <c r="I785" t="s">
        <v>13</v>
      </c>
      <c r="J785">
        <v>0</v>
      </c>
      <c r="K785" t="s">
        <v>114</v>
      </c>
      <c r="L785" t="s">
        <v>109</v>
      </c>
      <c r="M785" t="s">
        <v>94</v>
      </c>
      <c r="N785" t="s">
        <v>112</v>
      </c>
      <c r="O785" t="s">
        <v>110</v>
      </c>
    </row>
    <row r="786" spans="1:15" x14ac:dyDescent="0.3">
      <c r="A786" t="s">
        <v>9</v>
      </c>
      <c r="B786">
        <v>32</v>
      </c>
      <c r="C786">
        <v>1</v>
      </c>
      <c r="D786">
        <v>1</v>
      </c>
      <c r="E786">
        <v>1</v>
      </c>
      <c r="F786" t="s">
        <v>27</v>
      </c>
      <c r="G786" t="s">
        <v>11</v>
      </c>
      <c r="H786" t="s">
        <v>23</v>
      </c>
      <c r="I786" t="s">
        <v>13</v>
      </c>
      <c r="J786">
        <v>1</v>
      </c>
      <c r="K786" t="s">
        <v>114</v>
      </c>
      <c r="L786" t="s">
        <v>95</v>
      </c>
      <c r="M786" t="s">
        <v>94</v>
      </c>
      <c r="N786" t="s">
        <v>116</v>
      </c>
      <c r="O786" t="s">
        <v>115</v>
      </c>
    </row>
    <row r="787" spans="1:15" x14ac:dyDescent="0.3">
      <c r="A787" t="s">
        <v>9</v>
      </c>
      <c r="B787">
        <v>45</v>
      </c>
      <c r="C787">
        <v>0</v>
      </c>
      <c r="D787">
        <v>0</v>
      </c>
      <c r="E787">
        <v>0</v>
      </c>
      <c r="F787" t="s">
        <v>52</v>
      </c>
      <c r="G787" t="s">
        <v>16</v>
      </c>
      <c r="H787" t="s">
        <v>18</v>
      </c>
      <c r="I787" t="s">
        <v>13</v>
      </c>
      <c r="J787">
        <v>0</v>
      </c>
      <c r="K787" t="s">
        <v>108</v>
      </c>
      <c r="L787" t="s">
        <v>109</v>
      </c>
      <c r="M787" t="s">
        <v>111</v>
      </c>
      <c r="N787" t="s">
        <v>112</v>
      </c>
      <c r="O787" t="s">
        <v>110</v>
      </c>
    </row>
    <row r="788" spans="1:15" x14ac:dyDescent="0.3">
      <c r="A788" t="s">
        <v>14</v>
      </c>
      <c r="B788">
        <v>63</v>
      </c>
      <c r="C788">
        <v>0</v>
      </c>
      <c r="D788">
        <v>0</v>
      </c>
      <c r="E788">
        <v>1</v>
      </c>
      <c r="F788" t="s">
        <v>31</v>
      </c>
      <c r="G788" t="s">
        <v>11</v>
      </c>
      <c r="H788" t="s">
        <v>23</v>
      </c>
      <c r="I788" t="s">
        <v>13</v>
      </c>
      <c r="J788">
        <v>0</v>
      </c>
      <c r="K788" t="s">
        <v>108</v>
      </c>
      <c r="L788" t="s">
        <v>109</v>
      </c>
      <c r="M788" t="s">
        <v>94</v>
      </c>
      <c r="N788" t="s">
        <v>112</v>
      </c>
      <c r="O788" t="s">
        <v>110</v>
      </c>
    </row>
    <row r="789" spans="1:15" x14ac:dyDescent="0.3">
      <c r="A789" t="s">
        <v>14</v>
      </c>
      <c r="B789">
        <v>22</v>
      </c>
      <c r="C789">
        <v>1</v>
      </c>
      <c r="D789">
        <v>1</v>
      </c>
      <c r="E789">
        <v>1</v>
      </c>
      <c r="F789" t="s">
        <v>46</v>
      </c>
      <c r="G789" t="s">
        <v>16</v>
      </c>
      <c r="H789" t="s">
        <v>18</v>
      </c>
      <c r="I789" t="s">
        <v>13</v>
      </c>
      <c r="J789">
        <v>1</v>
      </c>
      <c r="K789" t="s">
        <v>117</v>
      </c>
      <c r="L789" t="s">
        <v>95</v>
      </c>
      <c r="M789" t="s">
        <v>94</v>
      </c>
      <c r="N789" t="s">
        <v>116</v>
      </c>
      <c r="O789" t="s">
        <v>115</v>
      </c>
    </row>
    <row r="790" spans="1:15" x14ac:dyDescent="0.3">
      <c r="A790" t="s">
        <v>14</v>
      </c>
      <c r="B790">
        <v>46</v>
      </c>
      <c r="C790">
        <v>0</v>
      </c>
      <c r="D790">
        <v>0</v>
      </c>
      <c r="E790">
        <v>0</v>
      </c>
      <c r="F790" t="s">
        <v>17</v>
      </c>
      <c r="G790" t="s">
        <v>11</v>
      </c>
      <c r="H790" t="s">
        <v>23</v>
      </c>
      <c r="I790" t="s">
        <v>13</v>
      </c>
      <c r="J790">
        <v>0</v>
      </c>
      <c r="K790" t="s">
        <v>108</v>
      </c>
      <c r="L790" t="s">
        <v>109</v>
      </c>
      <c r="M790" t="s">
        <v>111</v>
      </c>
      <c r="N790" t="s">
        <v>112</v>
      </c>
      <c r="O790" t="s">
        <v>110</v>
      </c>
    </row>
    <row r="791" spans="1:15" x14ac:dyDescent="0.3">
      <c r="A791" t="s">
        <v>14</v>
      </c>
      <c r="B791">
        <v>31</v>
      </c>
      <c r="C791">
        <v>1</v>
      </c>
      <c r="D791">
        <v>1</v>
      </c>
      <c r="E791">
        <v>0</v>
      </c>
      <c r="F791" t="s">
        <v>29</v>
      </c>
      <c r="G791" t="s">
        <v>16</v>
      </c>
      <c r="H791" t="s">
        <v>18</v>
      </c>
      <c r="I791" t="s">
        <v>13</v>
      </c>
      <c r="J791">
        <v>1</v>
      </c>
      <c r="K791" t="s">
        <v>114</v>
      </c>
      <c r="L791" t="s">
        <v>95</v>
      </c>
      <c r="M791" t="s">
        <v>111</v>
      </c>
      <c r="N791" t="s">
        <v>116</v>
      </c>
      <c r="O791" t="s">
        <v>115</v>
      </c>
    </row>
    <row r="792" spans="1:15" x14ac:dyDescent="0.3">
      <c r="A792" t="s">
        <v>14</v>
      </c>
      <c r="B792">
        <v>42</v>
      </c>
      <c r="C792">
        <v>1</v>
      </c>
      <c r="D792">
        <v>1</v>
      </c>
      <c r="E792">
        <v>1</v>
      </c>
      <c r="F792" t="s">
        <v>51</v>
      </c>
      <c r="G792" t="s">
        <v>11</v>
      </c>
      <c r="H792" t="s">
        <v>23</v>
      </c>
      <c r="I792" t="s">
        <v>13</v>
      </c>
      <c r="J792">
        <v>1</v>
      </c>
      <c r="K792" t="s">
        <v>114</v>
      </c>
      <c r="L792" t="s">
        <v>95</v>
      </c>
      <c r="M792" t="s">
        <v>94</v>
      </c>
      <c r="N792" t="s">
        <v>116</v>
      </c>
      <c r="O792" t="s">
        <v>115</v>
      </c>
    </row>
    <row r="793" spans="1:15" x14ac:dyDescent="0.3">
      <c r="A793" t="s">
        <v>14</v>
      </c>
      <c r="B793">
        <v>54</v>
      </c>
      <c r="C793">
        <v>0</v>
      </c>
      <c r="D793">
        <v>0</v>
      </c>
      <c r="E793">
        <v>0</v>
      </c>
      <c r="F793" t="s">
        <v>34</v>
      </c>
      <c r="G793" t="s">
        <v>16</v>
      </c>
      <c r="H793" t="s">
        <v>18</v>
      </c>
      <c r="I793" t="s">
        <v>13</v>
      </c>
      <c r="J793">
        <v>0</v>
      </c>
      <c r="K793" t="s">
        <v>108</v>
      </c>
      <c r="L793" t="s">
        <v>109</v>
      </c>
      <c r="M793" t="s">
        <v>111</v>
      </c>
      <c r="N793" t="s">
        <v>112</v>
      </c>
      <c r="O793" t="s">
        <v>110</v>
      </c>
    </row>
    <row r="794" spans="1:15" x14ac:dyDescent="0.3">
      <c r="A794" t="s">
        <v>9</v>
      </c>
      <c r="B794">
        <v>27</v>
      </c>
      <c r="C794">
        <v>0</v>
      </c>
      <c r="D794">
        <v>0</v>
      </c>
      <c r="E794">
        <v>1</v>
      </c>
      <c r="F794" t="s">
        <v>36</v>
      </c>
      <c r="G794" t="s">
        <v>11</v>
      </c>
      <c r="H794" t="s">
        <v>18</v>
      </c>
      <c r="I794" t="s">
        <v>13</v>
      </c>
      <c r="J794">
        <v>0</v>
      </c>
      <c r="K794" t="s">
        <v>114</v>
      </c>
      <c r="L794" t="s">
        <v>109</v>
      </c>
      <c r="M794" t="s">
        <v>94</v>
      </c>
      <c r="N794" t="s">
        <v>112</v>
      </c>
      <c r="O794" t="s">
        <v>110</v>
      </c>
    </row>
    <row r="795" spans="1:15" x14ac:dyDescent="0.3">
      <c r="A795" t="s">
        <v>14</v>
      </c>
      <c r="B795">
        <v>57</v>
      </c>
      <c r="C795">
        <v>1</v>
      </c>
      <c r="D795">
        <v>1</v>
      </c>
      <c r="E795">
        <v>1</v>
      </c>
      <c r="F795" t="s">
        <v>22</v>
      </c>
      <c r="G795" t="s">
        <v>16</v>
      </c>
      <c r="H795" t="s">
        <v>18</v>
      </c>
      <c r="I795" t="s">
        <v>13</v>
      </c>
      <c r="J795">
        <v>1</v>
      </c>
      <c r="K795" t="s">
        <v>108</v>
      </c>
      <c r="L795" t="s">
        <v>95</v>
      </c>
      <c r="M795" t="s">
        <v>94</v>
      </c>
      <c r="N795" t="s">
        <v>116</v>
      </c>
      <c r="O795" t="s">
        <v>115</v>
      </c>
    </row>
    <row r="796" spans="1:15" x14ac:dyDescent="0.3">
      <c r="A796" t="s">
        <v>14</v>
      </c>
      <c r="B796">
        <v>46</v>
      </c>
      <c r="C796">
        <v>1</v>
      </c>
      <c r="D796">
        <v>1</v>
      </c>
      <c r="E796">
        <v>1</v>
      </c>
      <c r="F796" t="s">
        <v>32</v>
      </c>
      <c r="G796" t="s">
        <v>11</v>
      </c>
      <c r="H796" t="s">
        <v>23</v>
      </c>
      <c r="I796" t="s">
        <v>13</v>
      </c>
      <c r="J796">
        <v>1</v>
      </c>
      <c r="K796" t="s">
        <v>108</v>
      </c>
      <c r="L796" t="s">
        <v>95</v>
      </c>
      <c r="M796" t="s">
        <v>94</v>
      </c>
      <c r="N796" t="s">
        <v>116</v>
      </c>
      <c r="O796" t="s">
        <v>115</v>
      </c>
    </row>
    <row r="797" spans="1:15" x14ac:dyDescent="0.3">
      <c r="A797" t="s">
        <v>14</v>
      </c>
      <c r="B797">
        <v>29</v>
      </c>
      <c r="C797">
        <v>0</v>
      </c>
      <c r="D797">
        <v>0</v>
      </c>
      <c r="E797">
        <v>1</v>
      </c>
      <c r="F797" t="s">
        <v>50</v>
      </c>
      <c r="G797" t="s">
        <v>16</v>
      </c>
      <c r="H797" t="s">
        <v>12</v>
      </c>
      <c r="I797" t="s">
        <v>13</v>
      </c>
      <c r="J797">
        <v>0</v>
      </c>
      <c r="K797" t="s">
        <v>114</v>
      </c>
      <c r="L797" t="s">
        <v>109</v>
      </c>
      <c r="M797" t="s">
        <v>94</v>
      </c>
      <c r="N797" t="s">
        <v>112</v>
      </c>
      <c r="O797" t="s">
        <v>110</v>
      </c>
    </row>
    <row r="798" spans="1:15" x14ac:dyDescent="0.3">
      <c r="A798" t="s">
        <v>14</v>
      </c>
      <c r="B798">
        <v>34</v>
      </c>
      <c r="C798">
        <v>1</v>
      </c>
      <c r="D798">
        <v>1</v>
      </c>
      <c r="E798">
        <v>0</v>
      </c>
      <c r="F798" t="s">
        <v>25</v>
      </c>
      <c r="G798" t="s">
        <v>11</v>
      </c>
      <c r="H798" t="s">
        <v>18</v>
      </c>
      <c r="I798" t="s">
        <v>13</v>
      </c>
      <c r="J798">
        <v>1</v>
      </c>
      <c r="K798" t="s">
        <v>114</v>
      </c>
      <c r="L798" t="s">
        <v>95</v>
      </c>
      <c r="M798" t="s">
        <v>111</v>
      </c>
      <c r="N798" t="s">
        <v>116</v>
      </c>
      <c r="O798" t="s">
        <v>115</v>
      </c>
    </row>
    <row r="799" spans="1:15" x14ac:dyDescent="0.3">
      <c r="A799" t="s">
        <v>9</v>
      </c>
      <c r="B799">
        <v>41</v>
      </c>
      <c r="C799">
        <v>1</v>
      </c>
      <c r="D799">
        <v>1</v>
      </c>
      <c r="E799">
        <v>1</v>
      </c>
      <c r="F799" t="s">
        <v>36</v>
      </c>
      <c r="G799" t="s">
        <v>16</v>
      </c>
      <c r="H799" t="s">
        <v>18</v>
      </c>
      <c r="I799" t="s">
        <v>13</v>
      </c>
      <c r="J799">
        <v>1</v>
      </c>
      <c r="K799" t="s">
        <v>114</v>
      </c>
      <c r="L799" t="s">
        <v>95</v>
      </c>
      <c r="M799" t="s">
        <v>94</v>
      </c>
      <c r="N799" t="s">
        <v>116</v>
      </c>
      <c r="O799" t="s">
        <v>115</v>
      </c>
    </row>
    <row r="800" spans="1:15" x14ac:dyDescent="0.3">
      <c r="A800" t="s">
        <v>9</v>
      </c>
      <c r="B800">
        <v>10</v>
      </c>
      <c r="C800">
        <v>0</v>
      </c>
      <c r="D800">
        <v>0</v>
      </c>
      <c r="E800">
        <v>1</v>
      </c>
      <c r="F800" t="s">
        <v>22</v>
      </c>
      <c r="G800" t="s">
        <v>11</v>
      </c>
      <c r="H800" t="s">
        <v>12</v>
      </c>
      <c r="I800" t="s">
        <v>13</v>
      </c>
      <c r="J800">
        <v>0</v>
      </c>
      <c r="K800" t="s">
        <v>118</v>
      </c>
      <c r="L800" t="s">
        <v>109</v>
      </c>
      <c r="M800" t="s">
        <v>94</v>
      </c>
      <c r="N800" t="s">
        <v>112</v>
      </c>
      <c r="O800" t="s">
        <v>110</v>
      </c>
    </row>
    <row r="801" spans="1:15" x14ac:dyDescent="0.3">
      <c r="A801" t="s">
        <v>9</v>
      </c>
      <c r="B801">
        <v>27</v>
      </c>
      <c r="C801">
        <v>1</v>
      </c>
      <c r="D801">
        <v>1</v>
      </c>
      <c r="E801">
        <v>0</v>
      </c>
      <c r="F801" t="s">
        <v>19</v>
      </c>
      <c r="G801" t="s">
        <v>16</v>
      </c>
      <c r="H801" t="s">
        <v>12</v>
      </c>
      <c r="I801" t="s">
        <v>13</v>
      </c>
      <c r="J801">
        <v>1</v>
      </c>
      <c r="K801" t="s">
        <v>114</v>
      </c>
      <c r="L801" t="s">
        <v>95</v>
      </c>
      <c r="M801" t="s">
        <v>111</v>
      </c>
      <c r="N801" t="s">
        <v>116</v>
      </c>
      <c r="O801" t="s">
        <v>115</v>
      </c>
    </row>
    <row r="802" spans="1:15" x14ac:dyDescent="0.3">
      <c r="A802" t="s">
        <v>9</v>
      </c>
      <c r="B802">
        <v>26</v>
      </c>
      <c r="C802">
        <v>1</v>
      </c>
      <c r="D802">
        <v>1</v>
      </c>
      <c r="E802">
        <v>1</v>
      </c>
      <c r="F802" t="s">
        <v>38</v>
      </c>
      <c r="G802" t="s">
        <v>11</v>
      </c>
      <c r="H802" t="s">
        <v>23</v>
      </c>
      <c r="I802" t="s">
        <v>13</v>
      </c>
      <c r="J802">
        <v>1</v>
      </c>
      <c r="K802" t="s">
        <v>114</v>
      </c>
      <c r="L802" t="s">
        <v>95</v>
      </c>
      <c r="M802" t="s">
        <v>94</v>
      </c>
      <c r="N802" t="s">
        <v>116</v>
      </c>
      <c r="O802" t="s">
        <v>115</v>
      </c>
    </row>
    <row r="803" spans="1:15" x14ac:dyDescent="0.3">
      <c r="A803" t="s">
        <v>9</v>
      </c>
      <c r="B803">
        <v>62</v>
      </c>
      <c r="C803">
        <v>1</v>
      </c>
      <c r="D803">
        <v>1</v>
      </c>
      <c r="E803">
        <v>1</v>
      </c>
      <c r="F803" t="s">
        <v>32</v>
      </c>
      <c r="G803" t="s">
        <v>16</v>
      </c>
      <c r="H803" t="s">
        <v>18</v>
      </c>
      <c r="I803" t="s">
        <v>13</v>
      </c>
      <c r="J803">
        <v>1</v>
      </c>
      <c r="K803" t="s">
        <v>108</v>
      </c>
      <c r="L803" t="s">
        <v>95</v>
      </c>
      <c r="M803" t="s">
        <v>94</v>
      </c>
      <c r="N803" t="s">
        <v>116</v>
      </c>
      <c r="O803" t="s">
        <v>115</v>
      </c>
    </row>
    <row r="804" spans="1:15" x14ac:dyDescent="0.3">
      <c r="A804" t="s">
        <v>14</v>
      </c>
      <c r="B804">
        <v>28</v>
      </c>
      <c r="C804">
        <v>1</v>
      </c>
      <c r="D804">
        <v>1</v>
      </c>
      <c r="E804">
        <v>1</v>
      </c>
      <c r="F804" t="s">
        <v>26</v>
      </c>
      <c r="G804" t="s">
        <v>11</v>
      </c>
      <c r="H804" t="s">
        <v>18</v>
      </c>
      <c r="I804" t="s">
        <v>13</v>
      </c>
      <c r="J804">
        <v>1</v>
      </c>
      <c r="K804" t="s">
        <v>114</v>
      </c>
      <c r="L804" t="s">
        <v>95</v>
      </c>
      <c r="M804" t="s">
        <v>94</v>
      </c>
      <c r="N804" t="s">
        <v>116</v>
      </c>
      <c r="O804" t="s">
        <v>115</v>
      </c>
    </row>
    <row r="805" spans="1:15" x14ac:dyDescent="0.3">
      <c r="A805" t="s">
        <v>14</v>
      </c>
      <c r="B805">
        <v>44</v>
      </c>
      <c r="C805">
        <v>1</v>
      </c>
      <c r="D805">
        <v>1</v>
      </c>
      <c r="E805">
        <v>0</v>
      </c>
      <c r="F805" t="s">
        <v>48</v>
      </c>
      <c r="G805" t="s">
        <v>16</v>
      </c>
      <c r="H805" t="s">
        <v>18</v>
      </c>
      <c r="I805" t="s">
        <v>13</v>
      </c>
      <c r="J805">
        <v>1</v>
      </c>
      <c r="K805" t="s">
        <v>114</v>
      </c>
      <c r="L805" t="s">
        <v>95</v>
      </c>
      <c r="M805" t="s">
        <v>111</v>
      </c>
      <c r="N805" t="s">
        <v>116</v>
      </c>
      <c r="O805" t="s">
        <v>115</v>
      </c>
    </row>
    <row r="806" spans="1:15" x14ac:dyDescent="0.3">
      <c r="A806" t="s">
        <v>14</v>
      </c>
      <c r="B806">
        <v>39</v>
      </c>
      <c r="C806">
        <v>1</v>
      </c>
      <c r="D806">
        <v>1</v>
      </c>
      <c r="E806">
        <v>1</v>
      </c>
      <c r="F806" t="s">
        <v>31</v>
      </c>
      <c r="G806" t="s">
        <v>11</v>
      </c>
      <c r="H806" t="s">
        <v>12</v>
      </c>
      <c r="I806" t="s">
        <v>13</v>
      </c>
      <c r="J806">
        <v>1</v>
      </c>
      <c r="K806" t="s">
        <v>114</v>
      </c>
      <c r="L806" t="s">
        <v>95</v>
      </c>
      <c r="M806" t="s">
        <v>94</v>
      </c>
      <c r="N806" t="s">
        <v>116</v>
      </c>
      <c r="O806" t="s">
        <v>115</v>
      </c>
    </row>
    <row r="807" spans="1:15" x14ac:dyDescent="0.3">
      <c r="A807" t="s">
        <v>9</v>
      </c>
      <c r="B807">
        <v>11</v>
      </c>
      <c r="C807">
        <v>0</v>
      </c>
      <c r="D807">
        <v>0</v>
      </c>
      <c r="E807">
        <v>1</v>
      </c>
      <c r="F807" t="s">
        <v>49</v>
      </c>
      <c r="G807" t="s">
        <v>16</v>
      </c>
      <c r="H807" t="s">
        <v>23</v>
      </c>
      <c r="I807" t="s">
        <v>13</v>
      </c>
      <c r="J807">
        <v>0</v>
      </c>
      <c r="K807" t="s">
        <v>118</v>
      </c>
      <c r="L807" t="s">
        <v>109</v>
      </c>
      <c r="M807" t="s">
        <v>94</v>
      </c>
      <c r="N807" t="s">
        <v>112</v>
      </c>
      <c r="O807" t="s">
        <v>110</v>
      </c>
    </row>
    <row r="808" spans="1:15" x14ac:dyDescent="0.3">
      <c r="A808" t="s">
        <v>9</v>
      </c>
      <c r="B808">
        <v>51</v>
      </c>
      <c r="C808">
        <v>0</v>
      </c>
      <c r="D808">
        <v>0</v>
      </c>
      <c r="E808">
        <v>1</v>
      </c>
      <c r="F808" t="s">
        <v>47</v>
      </c>
      <c r="G808" t="s">
        <v>11</v>
      </c>
      <c r="H808" t="s">
        <v>18</v>
      </c>
      <c r="I808" t="s">
        <v>13</v>
      </c>
      <c r="J808">
        <v>0</v>
      </c>
      <c r="K808" t="s">
        <v>108</v>
      </c>
      <c r="L808" t="s">
        <v>109</v>
      </c>
      <c r="M808" t="s">
        <v>94</v>
      </c>
      <c r="N808" t="s">
        <v>112</v>
      </c>
      <c r="O808" t="s">
        <v>110</v>
      </c>
    </row>
    <row r="809" spans="1:15" x14ac:dyDescent="0.3">
      <c r="A809" t="s">
        <v>9</v>
      </c>
      <c r="B809">
        <v>34</v>
      </c>
      <c r="C809">
        <v>1</v>
      </c>
      <c r="D809">
        <v>1</v>
      </c>
      <c r="E809">
        <v>0</v>
      </c>
      <c r="F809" t="s">
        <v>21</v>
      </c>
      <c r="G809" t="s">
        <v>16</v>
      </c>
      <c r="H809" t="s">
        <v>23</v>
      </c>
      <c r="I809" t="s">
        <v>13</v>
      </c>
      <c r="J809">
        <v>1</v>
      </c>
      <c r="K809" t="s">
        <v>114</v>
      </c>
      <c r="L809" t="s">
        <v>95</v>
      </c>
      <c r="M809" t="s">
        <v>111</v>
      </c>
      <c r="N809" t="s">
        <v>116</v>
      </c>
      <c r="O809" t="s">
        <v>115</v>
      </c>
    </row>
    <row r="810" spans="1:15" x14ac:dyDescent="0.3">
      <c r="A810" t="s">
        <v>9</v>
      </c>
      <c r="B810">
        <v>17</v>
      </c>
      <c r="C810">
        <v>0</v>
      </c>
      <c r="D810">
        <v>0</v>
      </c>
      <c r="E810">
        <v>0</v>
      </c>
      <c r="F810" t="s">
        <v>44</v>
      </c>
      <c r="G810" t="s">
        <v>11</v>
      </c>
      <c r="H810" t="s">
        <v>12</v>
      </c>
      <c r="I810" t="s">
        <v>13</v>
      </c>
      <c r="J810">
        <v>0</v>
      </c>
      <c r="K810" t="s">
        <v>113</v>
      </c>
      <c r="L810" t="s">
        <v>109</v>
      </c>
      <c r="M810" t="s">
        <v>111</v>
      </c>
      <c r="N810" t="s">
        <v>112</v>
      </c>
      <c r="O810" t="s">
        <v>110</v>
      </c>
    </row>
    <row r="811" spans="1:15" x14ac:dyDescent="0.3">
      <c r="A811" t="s">
        <v>9</v>
      </c>
      <c r="B811">
        <v>12</v>
      </c>
      <c r="C811">
        <v>1</v>
      </c>
      <c r="D811">
        <v>1</v>
      </c>
      <c r="E811">
        <v>0</v>
      </c>
      <c r="F811" t="s">
        <v>51</v>
      </c>
      <c r="G811" t="s">
        <v>16</v>
      </c>
      <c r="H811" t="s">
        <v>18</v>
      </c>
      <c r="I811" t="s">
        <v>13</v>
      </c>
      <c r="J811">
        <v>1</v>
      </c>
      <c r="K811" t="s">
        <v>118</v>
      </c>
      <c r="L811" t="s">
        <v>95</v>
      </c>
      <c r="M811" t="s">
        <v>111</v>
      </c>
      <c r="N811" t="s">
        <v>116</v>
      </c>
      <c r="O811" t="s">
        <v>115</v>
      </c>
    </row>
    <row r="812" spans="1:15" x14ac:dyDescent="0.3">
      <c r="A812" t="s">
        <v>14</v>
      </c>
      <c r="B812">
        <v>51</v>
      </c>
      <c r="C812">
        <v>0</v>
      </c>
      <c r="D812">
        <v>0</v>
      </c>
      <c r="E812">
        <v>1</v>
      </c>
      <c r="F812" t="s">
        <v>50</v>
      </c>
      <c r="G812" t="s">
        <v>11</v>
      </c>
      <c r="H812" t="s">
        <v>18</v>
      </c>
      <c r="I812" t="s">
        <v>13</v>
      </c>
      <c r="J812">
        <v>0</v>
      </c>
      <c r="K812" t="s">
        <v>108</v>
      </c>
      <c r="L812" t="s">
        <v>109</v>
      </c>
      <c r="M812" t="s">
        <v>94</v>
      </c>
      <c r="N812" t="s">
        <v>112</v>
      </c>
      <c r="O812" t="s">
        <v>110</v>
      </c>
    </row>
    <row r="813" spans="1:15" x14ac:dyDescent="0.3">
      <c r="A813" t="s">
        <v>9</v>
      </c>
      <c r="B813">
        <v>49</v>
      </c>
      <c r="C813">
        <v>0</v>
      </c>
      <c r="D813">
        <v>0</v>
      </c>
      <c r="E813">
        <v>1</v>
      </c>
      <c r="F813" t="s">
        <v>29</v>
      </c>
      <c r="G813" t="s">
        <v>16</v>
      </c>
      <c r="H813" t="s">
        <v>23</v>
      </c>
      <c r="I813" t="s">
        <v>13</v>
      </c>
      <c r="J813">
        <v>0</v>
      </c>
      <c r="K813" t="s">
        <v>108</v>
      </c>
      <c r="L813" t="s">
        <v>109</v>
      </c>
      <c r="M813" t="s">
        <v>94</v>
      </c>
      <c r="N813" t="s">
        <v>112</v>
      </c>
      <c r="O813" t="s">
        <v>110</v>
      </c>
    </row>
    <row r="814" spans="1:15" x14ac:dyDescent="0.3">
      <c r="A814" t="s">
        <v>14</v>
      </c>
      <c r="B814">
        <v>40</v>
      </c>
      <c r="C814">
        <v>1</v>
      </c>
      <c r="D814">
        <v>1</v>
      </c>
      <c r="E814">
        <v>0</v>
      </c>
      <c r="F814" t="s">
        <v>47</v>
      </c>
      <c r="G814" t="s">
        <v>11</v>
      </c>
      <c r="H814" t="s">
        <v>18</v>
      </c>
      <c r="I814" t="s">
        <v>13</v>
      </c>
      <c r="J814">
        <v>1</v>
      </c>
      <c r="K814" t="s">
        <v>114</v>
      </c>
      <c r="L814" t="s">
        <v>95</v>
      </c>
      <c r="M814" t="s">
        <v>111</v>
      </c>
      <c r="N814" t="s">
        <v>116</v>
      </c>
      <c r="O814" t="s">
        <v>115</v>
      </c>
    </row>
    <row r="815" spans="1:15" x14ac:dyDescent="0.3">
      <c r="A815" t="s">
        <v>14</v>
      </c>
      <c r="B815">
        <v>50</v>
      </c>
      <c r="C815">
        <v>0</v>
      </c>
      <c r="D815">
        <v>0</v>
      </c>
      <c r="E815">
        <v>1</v>
      </c>
      <c r="F815" t="s">
        <v>32</v>
      </c>
      <c r="G815" t="s">
        <v>16</v>
      </c>
      <c r="H815" t="s">
        <v>23</v>
      </c>
      <c r="I815" t="s">
        <v>13</v>
      </c>
      <c r="J815">
        <v>0</v>
      </c>
      <c r="K815" t="s">
        <v>108</v>
      </c>
      <c r="L815" t="s">
        <v>109</v>
      </c>
      <c r="M815" t="s">
        <v>94</v>
      </c>
      <c r="N815" t="s">
        <v>112</v>
      </c>
      <c r="O815" t="s">
        <v>110</v>
      </c>
    </row>
    <row r="816" spans="1:15" x14ac:dyDescent="0.3">
      <c r="A816" t="s">
        <v>9</v>
      </c>
      <c r="B816">
        <v>31</v>
      </c>
      <c r="C816">
        <v>1</v>
      </c>
      <c r="D816">
        <v>1</v>
      </c>
      <c r="E816">
        <v>1</v>
      </c>
      <c r="F816" t="s">
        <v>24</v>
      </c>
      <c r="G816" t="s">
        <v>11</v>
      </c>
      <c r="H816" t="s">
        <v>12</v>
      </c>
      <c r="I816" t="s">
        <v>13</v>
      </c>
      <c r="J816">
        <v>1</v>
      </c>
      <c r="K816" t="s">
        <v>114</v>
      </c>
      <c r="L816" t="s">
        <v>95</v>
      </c>
      <c r="M816" t="s">
        <v>94</v>
      </c>
      <c r="N816" t="s">
        <v>116</v>
      </c>
      <c r="O816" t="s">
        <v>115</v>
      </c>
    </row>
    <row r="817" spans="1:15" x14ac:dyDescent="0.3">
      <c r="A817" t="s">
        <v>14</v>
      </c>
      <c r="B817">
        <v>49</v>
      </c>
      <c r="C817">
        <v>1</v>
      </c>
      <c r="D817">
        <v>1</v>
      </c>
      <c r="E817">
        <v>1</v>
      </c>
      <c r="F817" t="s">
        <v>47</v>
      </c>
      <c r="G817" t="s">
        <v>16</v>
      </c>
      <c r="H817" t="s">
        <v>12</v>
      </c>
      <c r="I817" t="s">
        <v>13</v>
      </c>
      <c r="J817">
        <v>1</v>
      </c>
      <c r="K817" t="s">
        <v>108</v>
      </c>
      <c r="L817" t="s">
        <v>95</v>
      </c>
      <c r="M817" t="s">
        <v>94</v>
      </c>
      <c r="N817" t="s">
        <v>116</v>
      </c>
      <c r="O817" t="s">
        <v>115</v>
      </c>
    </row>
    <row r="818" spans="1:15" x14ac:dyDescent="0.3">
      <c r="A818" t="s">
        <v>14</v>
      </c>
      <c r="B818">
        <v>35</v>
      </c>
      <c r="C818">
        <v>1</v>
      </c>
      <c r="D818">
        <v>1</v>
      </c>
      <c r="E818">
        <v>0</v>
      </c>
      <c r="F818" t="s">
        <v>27</v>
      </c>
      <c r="G818" t="s">
        <v>11</v>
      </c>
      <c r="H818" t="s">
        <v>23</v>
      </c>
      <c r="I818" t="s">
        <v>13</v>
      </c>
      <c r="J818">
        <v>1</v>
      </c>
      <c r="K818" t="s">
        <v>114</v>
      </c>
      <c r="L818" t="s">
        <v>95</v>
      </c>
      <c r="M818" t="s">
        <v>111</v>
      </c>
      <c r="N818" t="s">
        <v>116</v>
      </c>
      <c r="O818" t="s">
        <v>115</v>
      </c>
    </row>
    <row r="819" spans="1:15" x14ac:dyDescent="0.3">
      <c r="A819" t="s">
        <v>9</v>
      </c>
      <c r="B819">
        <v>16</v>
      </c>
      <c r="C819">
        <v>1</v>
      </c>
      <c r="D819">
        <v>1</v>
      </c>
      <c r="E819">
        <v>0</v>
      </c>
      <c r="F819" t="s">
        <v>37</v>
      </c>
      <c r="G819" t="s">
        <v>16</v>
      </c>
      <c r="H819" t="s">
        <v>23</v>
      </c>
      <c r="I819" t="s">
        <v>13</v>
      </c>
      <c r="J819">
        <v>1</v>
      </c>
      <c r="K819" t="s">
        <v>113</v>
      </c>
      <c r="L819" t="s">
        <v>95</v>
      </c>
      <c r="M819" t="s">
        <v>111</v>
      </c>
      <c r="N819" t="s">
        <v>116</v>
      </c>
      <c r="O819" t="s">
        <v>115</v>
      </c>
    </row>
    <row r="820" spans="1:15" x14ac:dyDescent="0.3">
      <c r="A820" t="s">
        <v>9</v>
      </c>
      <c r="B820">
        <v>37</v>
      </c>
      <c r="C820">
        <v>0</v>
      </c>
      <c r="D820">
        <v>0</v>
      </c>
      <c r="E820">
        <v>0</v>
      </c>
      <c r="F820" t="s">
        <v>28</v>
      </c>
      <c r="G820" t="s">
        <v>11</v>
      </c>
      <c r="H820" t="s">
        <v>18</v>
      </c>
      <c r="I820" t="s">
        <v>13</v>
      </c>
      <c r="J820">
        <v>0</v>
      </c>
      <c r="K820" t="s">
        <v>114</v>
      </c>
      <c r="L820" t="s">
        <v>109</v>
      </c>
      <c r="M820" t="s">
        <v>111</v>
      </c>
      <c r="N820" t="s">
        <v>112</v>
      </c>
      <c r="O820" t="s">
        <v>110</v>
      </c>
    </row>
    <row r="821" spans="1:15" x14ac:dyDescent="0.3">
      <c r="A821" t="s">
        <v>9</v>
      </c>
      <c r="B821">
        <v>48</v>
      </c>
      <c r="C821">
        <v>0</v>
      </c>
      <c r="D821">
        <v>0</v>
      </c>
      <c r="E821">
        <v>0</v>
      </c>
      <c r="F821" t="s">
        <v>35</v>
      </c>
      <c r="G821" t="s">
        <v>16</v>
      </c>
      <c r="H821" t="s">
        <v>18</v>
      </c>
      <c r="I821" t="s">
        <v>13</v>
      </c>
      <c r="J821">
        <v>0</v>
      </c>
      <c r="K821" t="s">
        <v>108</v>
      </c>
      <c r="L821" t="s">
        <v>109</v>
      </c>
      <c r="M821" t="s">
        <v>111</v>
      </c>
      <c r="N821" t="s">
        <v>112</v>
      </c>
      <c r="O821" t="s">
        <v>110</v>
      </c>
    </row>
    <row r="822" spans="1:15" x14ac:dyDescent="0.3">
      <c r="A822" t="s">
        <v>14</v>
      </c>
      <c r="B822">
        <v>11</v>
      </c>
      <c r="C822">
        <v>0</v>
      </c>
      <c r="D822">
        <v>0</v>
      </c>
      <c r="E822">
        <v>0</v>
      </c>
      <c r="F822" t="s">
        <v>37</v>
      </c>
      <c r="G822" t="s">
        <v>11</v>
      </c>
      <c r="H822" t="s">
        <v>23</v>
      </c>
      <c r="I822" t="s">
        <v>13</v>
      </c>
      <c r="J822">
        <v>0</v>
      </c>
      <c r="K822" t="s">
        <v>118</v>
      </c>
      <c r="L822" t="s">
        <v>109</v>
      </c>
      <c r="M822" t="s">
        <v>111</v>
      </c>
      <c r="N822" t="s">
        <v>112</v>
      </c>
      <c r="O822" t="s">
        <v>110</v>
      </c>
    </row>
    <row r="823" spans="1:15" x14ac:dyDescent="0.3">
      <c r="A823" t="s">
        <v>14</v>
      </c>
      <c r="B823">
        <v>21</v>
      </c>
      <c r="C823">
        <v>1</v>
      </c>
      <c r="D823">
        <v>1</v>
      </c>
      <c r="E823">
        <v>1</v>
      </c>
      <c r="F823" t="s">
        <v>29</v>
      </c>
      <c r="G823" t="s">
        <v>16</v>
      </c>
      <c r="H823" t="s">
        <v>18</v>
      </c>
      <c r="I823" t="s">
        <v>13</v>
      </c>
      <c r="J823">
        <v>1</v>
      </c>
      <c r="K823" t="s">
        <v>117</v>
      </c>
      <c r="L823" t="s">
        <v>95</v>
      </c>
      <c r="M823" t="s">
        <v>94</v>
      </c>
      <c r="N823" t="s">
        <v>116</v>
      </c>
      <c r="O823" t="s">
        <v>115</v>
      </c>
    </row>
    <row r="824" spans="1:15" x14ac:dyDescent="0.3">
      <c r="A824" t="s">
        <v>14</v>
      </c>
      <c r="B824">
        <v>45</v>
      </c>
      <c r="C824">
        <v>1</v>
      </c>
      <c r="D824">
        <v>1</v>
      </c>
      <c r="E824">
        <v>0</v>
      </c>
      <c r="F824" t="s">
        <v>29</v>
      </c>
      <c r="G824" t="s">
        <v>11</v>
      </c>
      <c r="H824" t="s">
        <v>18</v>
      </c>
      <c r="I824" t="s">
        <v>13</v>
      </c>
      <c r="J824">
        <v>1</v>
      </c>
      <c r="K824" t="s">
        <v>108</v>
      </c>
      <c r="L824" t="s">
        <v>95</v>
      </c>
      <c r="M824" t="s">
        <v>111</v>
      </c>
      <c r="N824" t="s">
        <v>116</v>
      </c>
      <c r="O824" t="s">
        <v>115</v>
      </c>
    </row>
    <row r="825" spans="1:15" x14ac:dyDescent="0.3">
      <c r="A825" t="s">
        <v>14</v>
      </c>
      <c r="B825">
        <v>53</v>
      </c>
      <c r="C825">
        <v>0</v>
      </c>
      <c r="D825">
        <v>0</v>
      </c>
      <c r="E825">
        <v>1</v>
      </c>
      <c r="F825" t="s">
        <v>37</v>
      </c>
      <c r="G825" t="s">
        <v>16</v>
      </c>
      <c r="H825" t="s">
        <v>18</v>
      </c>
      <c r="I825" t="s">
        <v>13</v>
      </c>
      <c r="J825">
        <v>0</v>
      </c>
      <c r="K825" t="s">
        <v>108</v>
      </c>
      <c r="L825" t="s">
        <v>109</v>
      </c>
      <c r="M825" t="s">
        <v>94</v>
      </c>
      <c r="N825" t="s">
        <v>112</v>
      </c>
      <c r="O825" t="s">
        <v>110</v>
      </c>
    </row>
    <row r="826" spans="1:15" x14ac:dyDescent="0.3">
      <c r="A826" t="s">
        <v>9</v>
      </c>
      <c r="B826">
        <v>13</v>
      </c>
      <c r="C826">
        <v>1</v>
      </c>
      <c r="D826">
        <v>1</v>
      </c>
      <c r="E826">
        <v>1</v>
      </c>
      <c r="F826" t="s">
        <v>43</v>
      </c>
      <c r="G826" t="s">
        <v>11</v>
      </c>
      <c r="H826" t="s">
        <v>23</v>
      </c>
      <c r="I826" t="s">
        <v>13</v>
      </c>
      <c r="J826">
        <v>1</v>
      </c>
      <c r="K826" t="s">
        <v>118</v>
      </c>
      <c r="L826" t="s">
        <v>95</v>
      </c>
      <c r="M826" t="s">
        <v>94</v>
      </c>
      <c r="N826" t="s">
        <v>116</v>
      </c>
      <c r="O826" t="s">
        <v>115</v>
      </c>
    </row>
    <row r="827" spans="1:15" x14ac:dyDescent="0.3">
      <c r="A827" t="s">
        <v>9</v>
      </c>
      <c r="B827">
        <v>18</v>
      </c>
      <c r="C827">
        <v>0</v>
      </c>
      <c r="D827">
        <v>0</v>
      </c>
      <c r="E827">
        <v>1</v>
      </c>
      <c r="F827" t="s">
        <v>37</v>
      </c>
      <c r="G827" t="s">
        <v>16</v>
      </c>
      <c r="H827" t="s">
        <v>12</v>
      </c>
      <c r="I827" t="s">
        <v>13</v>
      </c>
      <c r="J827">
        <v>0</v>
      </c>
      <c r="K827" t="s">
        <v>113</v>
      </c>
      <c r="L827" t="s">
        <v>109</v>
      </c>
      <c r="M827" t="s">
        <v>94</v>
      </c>
      <c r="N827" t="s">
        <v>112</v>
      </c>
      <c r="O827" t="s">
        <v>110</v>
      </c>
    </row>
    <row r="828" spans="1:15" x14ac:dyDescent="0.3">
      <c r="A828" t="s">
        <v>14</v>
      </c>
      <c r="B828">
        <v>34</v>
      </c>
      <c r="C828">
        <v>1</v>
      </c>
      <c r="D828">
        <v>1</v>
      </c>
      <c r="E828">
        <v>1</v>
      </c>
      <c r="F828" t="s">
        <v>40</v>
      </c>
      <c r="G828" t="s">
        <v>11</v>
      </c>
      <c r="H828" t="s">
        <v>18</v>
      </c>
      <c r="I828" t="s">
        <v>13</v>
      </c>
      <c r="J828">
        <v>1</v>
      </c>
      <c r="K828" t="s">
        <v>114</v>
      </c>
      <c r="L828" t="s">
        <v>95</v>
      </c>
      <c r="M828" t="s">
        <v>94</v>
      </c>
      <c r="N828" t="s">
        <v>116</v>
      </c>
      <c r="O828" t="s">
        <v>115</v>
      </c>
    </row>
    <row r="829" spans="1:15" x14ac:dyDescent="0.3">
      <c r="A829" t="s">
        <v>14</v>
      </c>
      <c r="B829">
        <v>22</v>
      </c>
      <c r="C829">
        <v>0</v>
      </c>
      <c r="D829">
        <v>0</v>
      </c>
      <c r="E829">
        <v>0</v>
      </c>
      <c r="F829" t="s">
        <v>34</v>
      </c>
      <c r="G829" t="s">
        <v>16</v>
      </c>
      <c r="H829" t="s">
        <v>18</v>
      </c>
      <c r="I829" t="s">
        <v>13</v>
      </c>
      <c r="J829">
        <v>0</v>
      </c>
      <c r="K829" t="s">
        <v>117</v>
      </c>
      <c r="L829" t="s">
        <v>109</v>
      </c>
      <c r="M829" t="s">
        <v>111</v>
      </c>
      <c r="N829" t="s">
        <v>112</v>
      </c>
      <c r="O829" t="s">
        <v>110</v>
      </c>
    </row>
    <row r="830" spans="1:15" x14ac:dyDescent="0.3">
      <c r="A830" t="s">
        <v>14</v>
      </c>
      <c r="B830">
        <v>39</v>
      </c>
      <c r="C830">
        <v>1</v>
      </c>
      <c r="D830">
        <v>1</v>
      </c>
      <c r="E830">
        <v>1</v>
      </c>
      <c r="F830" t="s">
        <v>49</v>
      </c>
      <c r="G830" t="s">
        <v>11</v>
      </c>
      <c r="H830" t="s">
        <v>18</v>
      </c>
      <c r="I830" t="s">
        <v>13</v>
      </c>
      <c r="J830">
        <v>1</v>
      </c>
      <c r="K830" t="s">
        <v>114</v>
      </c>
      <c r="L830" t="s">
        <v>95</v>
      </c>
      <c r="M830" t="s">
        <v>94</v>
      </c>
      <c r="N830" t="s">
        <v>116</v>
      </c>
      <c r="O830" t="s">
        <v>115</v>
      </c>
    </row>
    <row r="831" spans="1:15" x14ac:dyDescent="0.3">
      <c r="A831" t="s">
        <v>14</v>
      </c>
      <c r="B831">
        <v>21</v>
      </c>
      <c r="C831">
        <v>0</v>
      </c>
      <c r="D831">
        <v>0</v>
      </c>
      <c r="E831">
        <v>0</v>
      </c>
      <c r="F831" t="s">
        <v>41</v>
      </c>
      <c r="G831" t="s">
        <v>16</v>
      </c>
      <c r="H831" t="s">
        <v>23</v>
      </c>
      <c r="I831" t="s">
        <v>13</v>
      </c>
      <c r="J831">
        <v>0</v>
      </c>
      <c r="K831" t="s">
        <v>117</v>
      </c>
      <c r="L831" t="s">
        <v>109</v>
      </c>
      <c r="M831" t="s">
        <v>111</v>
      </c>
      <c r="N831" t="s">
        <v>112</v>
      </c>
      <c r="O831" t="s">
        <v>110</v>
      </c>
    </row>
    <row r="832" spans="1:15" x14ac:dyDescent="0.3">
      <c r="A832" t="s">
        <v>14</v>
      </c>
      <c r="B832">
        <v>64</v>
      </c>
      <c r="C832">
        <v>0</v>
      </c>
      <c r="D832">
        <v>0</v>
      </c>
      <c r="E832">
        <v>0</v>
      </c>
      <c r="F832" t="s">
        <v>17</v>
      </c>
      <c r="G832" t="s">
        <v>11</v>
      </c>
      <c r="H832" t="s">
        <v>12</v>
      </c>
      <c r="I832" t="s">
        <v>13</v>
      </c>
      <c r="J832">
        <v>0</v>
      </c>
      <c r="K832" t="s">
        <v>108</v>
      </c>
      <c r="L832" t="s">
        <v>109</v>
      </c>
      <c r="M832" t="s">
        <v>111</v>
      </c>
      <c r="N832" t="s">
        <v>112</v>
      </c>
      <c r="O832" t="s">
        <v>110</v>
      </c>
    </row>
    <row r="833" spans="1:15" x14ac:dyDescent="0.3">
      <c r="A833" t="s">
        <v>9</v>
      </c>
      <c r="B833">
        <v>53</v>
      </c>
      <c r="C833">
        <v>0</v>
      </c>
      <c r="D833">
        <v>0</v>
      </c>
      <c r="E833">
        <v>0</v>
      </c>
      <c r="F833" t="s">
        <v>17</v>
      </c>
      <c r="G833" t="s">
        <v>16</v>
      </c>
      <c r="H833" t="s">
        <v>18</v>
      </c>
      <c r="I833" t="s">
        <v>13</v>
      </c>
      <c r="J833">
        <v>0</v>
      </c>
      <c r="K833" t="s">
        <v>108</v>
      </c>
      <c r="L833" t="s">
        <v>109</v>
      </c>
      <c r="M833" t="s">
        <v>111</v>
      </c>
      <c r="N833" t="s">
        <v>112</v>
      </c>
      <c r="O833" t="s">
        <v>110</v>
      </c>
    </row>
    <row r="834" spans="1:15" x14ac:dyDescent="0.3">
      <c r="A834" t="s">
        <v>9</v>
      </c>
      <c r="B834">
        <v>21</v>
      </c>
      <c r="C834">
        <v>1</v>
      </c>
      <c r="D834">
        <v>1</v>
      </c>
      <c r="E834">
        <v>1</v>
      </c>
      <c r="F834" t="s">
        <v>19</v>
      </c>
      <c r="G834" t="s">
        <v>11</v>
      </c>
      <c r="H834" t="s">
        <v>12</v>
      </c>
      <c r="I834" t="s">
        <v>13</v>
      </c>
      <c r="J834">
        <v>1</v>
      </c>
      <c r="K834" t="s">
        <v>117</v>
      </c>
      <c r="L834" t="s">
        <v>95</v>
      </c>
      <c r="M834" t="s">
        <v>94</v>
      </c>
      <c r="N834" t="s">
        <v>116</v>
      </c>
      <c r="O834" t="s">
        <v>115</v>
      </c>
    </row>
    <row r="835" spans="1:15" x14ac:dyDescent="0.3">
      <c r="A835" t="s">
        <v>9</v>
      </c>
      <c r="B835">
        <v>40</v>
      </c>
      <c r="C835">
        <v>1</v>
      </c>
      <c r="D835">
        <v>1</v>
      </c>
      <c r="E835">
        <v>1</v>
      </c>
      <c r="F835" t="s">
        <v>32</v>
      </c>
      <c r="G835" t="s">
        <v>16</v>
      </c>
      <c r="H835" t="s">
        <v>12</v>
      </c>
      <c r="I835" t="s">
        <v>13</v>
      </c>
      <c r="J835">
        <v>1</v>
      </c>
      <c r="K835" t="s">
        <v>114</v>
      </c>
      <c r="L835" t="s">
        <v>95</v>
      </c>
      <c r="M835" t="s">
        <v>94</v>
      </c>
      <c r="N835" t="s">
        <v>116</v>
      </c>
      <c r="O835" t="s">
        <v>115</v>
      </c>
    </row>
    <row r="836" spans="1:15" x14ac:dyDescent="0.3">
      <c r="A836" t="s">
        <v>14</v>
      </c>
      <c r="B836">
        <v>39</v>
      </c>
      <c r="C836">
        <v>1</v>
      </c>
      <c r="D836">
        <v>1</v>
      </c>
      <c r="E836">
        <v>1</v>
      </c>
      <c r="F836" t="s">
        <v>21</v>
      </c>
      <c r="G836" t="s">
        <v>11</v>
      </c>
      <c r="H836" t="s">
        <v>12</v>
      </c>
      <c r="I836" t="s">
        <v>13</v>
      </c>
      <c r="J836">
        <v>1</v>
      </c>
      <c r="K836" t="s">
        <v>114</v>
      </c>
      <c r="L836" t="s">
        <v>95</v>
      </c>
      <c r="M836" t="s">
        <v>94</v>
      </c>
      <c r="N836" t="s">
        <v>116</v>
      </c>
      <c r="O836" t="s">
        <v>115</v>
      </c>
    </row>
    <row r="837" spans="1:15" x14ac:dyDescent="0.3">
      <c r="A837" t="s">
        <v>9</v>
      </c>
      <c r="B837">
        <v>47</v>
      </c>
      <c r="C837">
        <v>1</v>
      </c>
      <c r="D837">
        <v>1</v>
      </c>
      <c r="E837">
        <v>1</v>
      </c>
      <c r="F837" t="s">
        <v>21</v>
      </c>
      <c r="G837" t="s">
        <v>16</v>
      </c>
      <c r="H837" t="s">
        <v>23</v>
      </c>
      <c r="I837" t="s">
        <v>13</v>
      </c>
      <c r="J837">
        <v>1</v>
      </c>
      <c r="K837" t="s">
        <v>108</v>
      </c>
      <c r="L837" t="s">
        <v>95</v>
      </c>
      <c r="M837" t="s">
        <v>94</v>
      </c>
      <c r="N837" t="s">
        <v>116</v>
      </c>
      <c r="O837" t="s">
        <v>115</v>
      </c>
    </row>
    <row r="838" spans="1:15" x14ac:dyDescent="0.3">
      <c r="A838" t="s">
        <v>14</v>
      </c>
      <c r="B838">
        <v>52</v>
      </c>
      <c r="C838">
        <v>0</v>
      </c>
      <c r="D838">
        <v>0</v>
      </c>
      <c r="E838">
        <v>1</v>
      </c>
      <c r="F838" t="s">
        <v>27</v>
      </c>
      <c r="G838" t="s">
        <v>11</v>
      </c>
      <c r="H838" t="s">
        <v>18</v>
      </c>
      <c r="I838" t="s">
        <v>13</v>
      </c>
      <c r="J838">
        <v>0</v>
      </c>
      <c r="K838" t="s">
        <v>108</v>
      </c>
      <c r="L838" t="s">
        <v>109</v>
      </c>
      <c r="M838" t="s">
        <v>94</v>
      </c>
      <c r="N838" t="s">
        <v>112</v>
      </c>
      <c r="O838" t="s">
        <v>110</v>
      </c>
    </row>
    <row r="839" spans="1:15" x14ac:dyDescent="0.3">
      <c r="A839" t="s">
        <v>9</v>
      </c>
      <c r="B839">
        <v>17</v>
      </c>
      <c r="C839">
        <v>1</v>
      </c>
      <c r="D839">
        <v>1</v>
      </c>
      <c r="E839">
        <v>1</v>
      </c>
      <c r="F839" t="s">
        <v>27</v>
      </c>
      <c r="G839" t="s">
        <v>16</v>
      </c>
      <c r="H839" t="s">
        <v>12</v>
      </c>
      <c r="I839" t="s">
        <v>13</v>
      </c>
      <c r="J839">
        <v>1</v>
      </c>
      <c r="K839" t="s">
        <v>113</v>
      </c>
      <c r="L839" t="s">
        <v>95</v>
      </c>
      <c r="M839" t="s">
        <v>94</v>
      </c>
      <c r="N839" t="s">
        <v>116</v>
      </c>
      <c r="O839" t="s">
        <v>115</v>
      </c>
    </row>
    <row r="840" spans="1:15" x14ac:dyDescent="0.3">
      <c r="A840" t="s">
        <v>14</v>
      </c>
      <c r="B840">
        <v>65</v>
      </c>
      <c r="C840">
        <v>0</v>
      </c>
      <c r="D840">
        <v>0</v>
      </c>
      <c r="E840">
        <v>0</v>
      </c>
      <c r="F840" t="s">
        <v>30</v>
      </c>
      <c r="G840" t="s">
        <v>11</v>
      </c>
      <c r="H840" t="s">
        <v>23</v>
      </c>
      <c r="I840" t="s">
        <v>13</v>
      </c>
      <c r="J840">
        <v>0</v>
      </c>
      <c r="K840" t="s">
        <v>119</v>
      </c>
      <c r="L840" t="s">
        <v>109</v>
      </c>
      <c r="M840" t="s">
        <v>111</v>
      </c>
      <c r="N840" t="s">
        <v>112</v>
      </c>
      <c r="O840" t="s">
        <v>110</v>
      </c>
    </row>
    <row r="841" spans="1:15" x14ac:dyDescent="0.3">
      <c r="A841" t="s">
        <v>14</v>
      </c>
      <c r="B841">
        <v>32</v>
      </c>
      <c r="C841">
        <v>0</v>
      </c>
      <c r="D841">
        <v>0</v>
      </c>
      <c r="E841">
        <v>1</v>
      </c>
      <c r="F841" t="s">
        <v>15</v>
      </c>
      <c r="G841" t="s">
        <v>16</v>
      </c>
      <c r="H841" t="s">
        <v>23</v>
      </c>
      <c r="I841" t="s">
        <v>13</v>
      </c>
      <c r="J841">
        <v>0</v>
      </c>
      <c r="K841" t="s">
        <v>114</v>
      </c>
      <c r="L841" t="s">
        <v>109</v>
      </c>
      <c r="M841" t="s">
        <v>94</v>
      </c>
      <c r="N841" t="s">
        <v>112</v>
      </c>
      <c r="O841" t="s">
        <v>110</v>
      </c>
    </row>
    <row r="842" spans="1:15" x14ac:dyDescent="0.3">
      <c r="A842" t="s">
        <v>14</v>
      </c>
      <c r="B842">
        <v>8</v>
      </c>
      <c r="C842">
        <v>1</v>
      </c>
      <c r="D842">
        <v>1</v>
      </c>
      <c r="E842">
        <v>0</v>
      </c>
      <c r="F842" t="s">
        <v>43</v>
      </c>
      <c r="G842" t="s">
        <v>11</v>
      </c>
      <c r="H842" t="s">
        <v>12</v>
      </c>
      <c r="I842" t="s">
        <v>13</v>
      </c>
      <c r="J842">
        <v>1</v>
      </c>
      <c r="K842" t="s">
        <v>118</v>
      </c>
      <c r="L842" t="s">
        <v>95</v>
      </c>
      <c r="M842" t="s">
        <v>111</v>
      </c>
      <c r="N842" t="s">
        <v>116</v>
      </c>
      <c r="O842" t="s">
        <v>115</v>
      </c>
    </row>
    <row r="843" spans="1:15" x14ac:dyDescent="0.3">
      <c r="A843" t="s">
        <v>9</v>
      </c>
      <c r="B843">
        <v>55</v>
      </c>
      <c r="C843">
        <v>0</v>
      </c>
      <c r="D843">
        <v>0</v>
      </c>
      <c r="E843">
        <v>1</v>
      </c>
      <c r="F843" t="s">
        <v>34</v>
      </c>
      <c r="G843" t="s">
        <v>16</v>
      </c>
      <c r="H843" t="s">
        <v>12</v>
      </c>
      <c r="I843" t="s">
        <v>13</v>
      </c>
      <c r="J843">
        <v>0</v>
      </c>
      <c r="K843" t="s">
        <v>108</v>
      </c>
      <c r="L843" t="s">
        <v>109</v>
      </c>
      <c r="M843" t="s">
        <v>94</v>
      </c>
      <c r="N843" t="s">
        <v>112</v>
      </c>
      <c r="O843" t="s">
        <v>110</v>
      </c>
    </row>
    <row r="844" spans="1:15" x14ac:dyDescent="0.3">
      <c r="A844" t="s">
        <v>14</v>
      </c>
      <c r="B844">
        <v>47</v>
      </c>
      <c r="C844">
        <v>0</v>
      </c>
      <c r="D844">
        <v>0</v>
      </c>
      <c r="E844">
        <v>0</v>
      </c>
      <c r="F844" t="s">
        <v>50</v>
      </c>
      <c r="G844" t="s">
        <v>11</v>
      </c>
      <c r="H844" t="s">
        <v>18</v>
      </c>
      <c r="I844" t="s">
        <v>13</v>
      </c>
      <c r="J844">
        <v>0</v>
      </c>
      <c r="K844" t="s">
        <v>108</v>
      </c>
      <c r="L844" t="s">
        <v>109</v>
      </c>
      <c r="M844" t="s">
        <v>111</v>
      </c>
      <c r="N844" t="s">
        <v>112</v>
      </c>
      <c r="O844" t="s">
        <v>110</v>
      </c>
    </row>
    <row r="845" spans="1:15" x14ac:dyDescent="0.3">
      <c r="A845" t="s">
        <v>14</v>
      </c>
      <c r="B845">
        <v>47</v>
      </c>
      <c r="C845">
        <v>0</v>
      </c>
      <c r="D845">
        <v>0</v>
      </c>
      <c r="E845">
        <v>0</v>
      </c>
      <c r="F845" t="s">
        <v>31</v>
      </c>
      <c r="G845" t="s">
        <v>16</v>
      </c>
      <c r="H845" t="s">
        <v>18</v>
      </c>
      <c r="I845" t="s">
        <v>13</v>
      </c>
      <c r="J845">
        <v>0</v>
      </c>
      <c r="K845" t="s">
        <v>108</v>
      </c>
      <c r="L845" t="s">
        <v>109</v>
      </c>
      <c r="M845" t="s">
        <v>111</v>
      </c>
      <c r="N845" t="s">
        <v>112</v>
      </c>
      <c r="O845" t="s">
        <v>110</v>
      </c>
    </row>
    <row r="846" spans="1:15" x14ac:dyDescent="0.3">
      <c r="A846" t="s">
        <v>14</v>
      </c>
      <c r="B846">
        <v>47</v>
      </c>
      <c r="C846">
        <v>0</v>
      </c>
      <c r="D846">
        <v>0</v>
      </c>
      <c r="E846">
        <v>0</v>
      </c>
      <c r="F846" t="s">
        <v>52</v>
      </c>
      <c r="G846" t="s">
        <v>11</v>
      </c>
      <c r="H846" t="s">
        <v>12</v>
      </c>
      <c r="I846" t="s">
        <v>13</v>
      </c>
      <c r="J846">
        <v>0</v>
      </c>
      <c r="K846" t="s">
        <v>108</v>
      </c>
      <c r="L846" t="s">
        <v>109</v>
      </c>
      <c r="M846" t="s">
        <v>111</v>
      </c>
      <c r="N846" t="s">
        <v>112</v>
      </c>
      <c r="O846" t="s">
        <v>110</v>
      </c>
    </row>
    <row r="847" spans="1:15" x14ac:dyDescent="0.3">
      <c r="A847" t="s">
        <v>9</v>
      </c>
      <c r="B847">
        <v>26</v>
      </c>
      <c r="C847">
        <v>1</v>
      </c>
      <c r="D847">
        <v>1</v>
      </c>
      <c r="E847">
        <v>0</v>
      </c>
      <c r="F847" t="s">
        <v>45</v>
      </c>
      <c r="G847" t="s">
        <v>16</v>
      </c>
      <c r="H847" t="s">
        <v>18</v>
      </c>
      <c r="I847" t="s">
        <v>13</v>
      </c>
      <c r="J847">
        <v>1</v>
      </c>
      <c r="K847" t="s">
        <v>114</v>
      </c>
      <c r="L847" t="s">
        <v>95</v>
      </c>
      <c r="M847" t="s">
        <v>111</v>
      </c>
      <c r="N847" t="s">
        <v>116</v>
      </c>
      <c r="O847" t="s">
        <v>115</v>
      </c>
    </row>
    <row r="848" spans="1:15" x14ac:dyDescent="0.3">
      <c r="A848" t="s">
        <v>14</v>
      </c>
      <c r="B848">
        <v>36</v>
      </c>
      <c r="C848">
        <v>0</v>
      </c>
      <c r="D848">
        <v>0</v>
      </c>
      <c r="E848">
        <v>0</v>
      </c>
      <c r="F848" t="s">
        <v>37</v>
      </c>
      <c r="G848" t="s">
        <v>11</v>
      </c>
      <c r="H848" t="s">
        <v>18</v>
      </c>
      <c r="I848" t="s">
        <v>13</v>
      </c>
      <c r="J848">
        <v>0</v>
      </c>
      <c r="K848" t="s">
        <v>114</v>
      </c>
      <c r="L848" t="s">
        <v>109</v>
      </c>
      <c r="M848" t="s">
        <v>111</v>
      </c>
      <c r="N848" t="s">
        <v>112</v>
      </c>
      <c r="O848" t="s">
        <v>110</v>
      </c>
    </row>
    <row r="849" spans="1:15" x14ac:dyDescent="0.3">
      <c r="A849" t="s">
        <v>14</v>
      </c>
      <c r="B849">
        <v>45</v>
      </c>
      <c r="C849">
        <v>1</v>
      </c>
      <c r="D849">
        <v>1</v>
      </c>
      <c r="E849">
        <v>0</v>
      </c>
      <c r="F849" t="s">
        <v>47</v>
      </c>
      <c r="G849" t="s">
        <v>16</v>
      </c>
      <c r="H849" t="s">
        <v>12</v>
      </c>
      <c r="I849" t="s">
        <v>13</v>
      </c>
      <c r="J849">
        <v>1</v>
      </c>
      <c r="K849" t="s">
        <v>108</v>
      </c>
      <c r="L849" t="s">
        <v>95</v>
      </c>
      <c r="M849" t="s">
        <v>111</v>
      </c>
      <c r="N849" t="s">
        <v>116</v>
      </c>
      <c r="O849" t="s">
        <v>115</v>
      </c>
    </row>
    <row r="850" spans="1:15" x14ac:dyDescent="0.3">
      <c r="A850" t="s">
        <v>9</v>
      </c>
      <c r="B850">
        <v>24</v>
      </c>
      <c r="C850">
        <v>0</v>
      </c>
      <c r="D850">
        <v>0</v>
      </c>
      <c r="E850">
        <v>0</v>
      </c>
      <c r="F850" t="s">
        <v>10</v>
      </c>
      <c r="G850" t="s">
        <v>11</v>
      </c>
      <c r="H850" t="s">
        <v>12</v>
      </c>
      <c r="I850" t="s">
        <v>13</v>
      </c>
      <c r="J850">
        <v>0</v>
      </c>
      <c r="K850" t="s">
        <v>117</v>
      </c>
      <c r="L850" t="s">
        <v>109</v>
      </c>
      <c r="M850" t="s">
        <v>111</v>
      </c>
      <c r="N850" t="s">
        <v>112</v>
      </c>
      <c r="O850" t="s">
        <v>110</v>
      </c>
    </row>
    <row r="851" spans="1:15" x14ac:dyDescent="0.3">
      <c r="A851" t="s">
        <v>9</v>
      </c>
      <c r="B851">
        <v>15</v>
      </c>
      <c r="C851">
        <v>0</v>
      </c>
      <c r="D851">
        <v>0</v>
      </c>
      <c r="E851">
        <v>1</v>
      </c>
      <c r="F851" t="s">
        <v>27</v>
      </c>
      <c r="G851" t="s">
        <v>16</v>
      </c>
      <c r="H851" t="s">
        <v>12</v>
      </c>
      <c r="I851" t="s">
        <v>13</v>
      </c>
      <c r="J851">
        <v>0</v>
      </c>
      <c r="K851" t="s">
        <v>113</v>
      </c>
      <c r="L851" t="s">
        <v>109</v>
      </c>
      <c r="M851" t="s">
        <v>94</v>
      </c>
      <c r="N851" t="s">
        <v>112</v>
      </c>
      <c r="O851" t="s">
        <v>110</v>
      </c>
    </row>
    <row r="852" spans="1:15" x14ac:dyDescent="0.3">
      <c r="A852" t="s">
        <v>14</v>
      </c>
      <c r="B852">
        <v>32</v>
      </c>
      <c r="C852">
        <v>1</v>
      </c>
      <c r="D852">
        <v>1</v>
      </c>
      <c r="E852">
        <v>0</v>
      </c>
      <c r="F852" t="s">
        <v>37</v>
      </c>
      <c r="G852" t="s">
        <v>11</v>
      </c>
      <c r="H852" t="s">
        <v>23</v>
      </c>
      <c r="I852" t="s">
        <v>13</v>
      </c>
      <c r="J852">
        <v>1</v>
      </c>
      <c r="K852" t="s">
        <v>114</v>
      </c>
      <c r="L852" t="s">
        <v>95</v>
      </c>
      <c r="M852" t="s">
        <v>111</v>
      </c>
      <c r="N852" t="s">
        <v>116</v>
      </c>
      <c r="O852" t="s">
        <v>115</v>
      </c>
    </row>
    <row r="853" spans="1:15" x14ac:dyDescent="0.3">
      <c r="A853" t="s">
        <v>9</v>
      </c>
      <c r="B853">
        <v>28</v>
      </c>
      <c r="C853">
        <v>1</v>
      </c>
      <c r="D853">
        <v>1</v>
      </c>
      <c r="E853">
        <v>0</v>
      </c>
      <c r="F853" t="s">
        <v>10</v>
      </c>
      <c r="G853" t="s">
        <v>16</v>
      </c>
      <c r="H853" t="s">
        <v>23</v>
      </c>
      <c r="I853" t="s">
        <v>13</v>
      </c>
      <c r="J853">
        <v>1</v>
      </c>
      <c r="K853" t="s">
        <v>114</v>
      </c>
      <c r="L853" t="s">
        <v>95</v>
      </c>
      <c r="M853" t="s">
        <v>111</v>
      </c>
      <c r="N853" t="s">
        <v>116</v>
      </c>
      <c r="O853" t="s">
        <v>115</v>
      </c>
    </row>
    <row r="854" spans="1:15" x14ac:dyDescent="0.3">
      <c r="A854" t="s">
        <v>14</v>
      </c>
      <c r="B854">
        <v>53</v>
      </c>
      <c r="C854">
        <v>1</v>
      </c>
      <c r="D854">
        <v>1</v>
      </c>
      <c r="E854">
        <v>1</v>
      </c>
      <c r="F854" t="s">
        <v>52</v>
      </c>
      <c r="G854" t="s">
        <v>11</v>
      </c>
      <c r="H854" t="s">
        <v>12</v>
      </c>
      <c r="I854" t="s">
        <v>13</v>
      </c>
      <c r="J854">
        <v>1</v>
      </c>
      <c r="K854" t="s">
        <v>108</v>
      </c>
      <c r="L854" t="s">
        <v>95</v>
      </c>
      <c r="M854" t="s">
        <v>94</v>
      </c>
      <c r="N854" t="s">
        <v>116</v>
      </c>
      <c r="O854" t="s">
        <v>115</v>
      </c>
    </row>
    <row r="855" spans="1:15" x14ac:dyDescent="0.3">
      <c r="A855" t="s">
        <v>14</v>
      </c>
      <c r="B855">
        <v>58</v>
      </c>
      <c r="C855">
        <v>1</v>
      </c>
      <c r="D855">
        <v>1</v>
      </c>
      <c r="E855">
        <v>0</v>
      </c>
      <c r="F855" t="s">
        <v>15</v>
      </c>
      <c r="G855" t="s">
        <v>16</v>
      </c>
      <c r="H855" t="s">
        <v>23</v>
      </c>
      <c r="I855" t="s">
        <v>13</v>
      </c>
      <c r="J855">
        <v>1</v>
      </c>
      <c r="K855" t="s">
        <v>108</v>
      </c>
      <c r="L855" t="s">
        <v>95</v>
      </c>
      <c r="M855" t="s">
        <v>111</v>
      </c>
      <c r="N855" t="s">
        <v>116</v>
      </c>
      <c r="O855" t="s">
        <v>115</v>
      </c>
    </row>
    <row r="856" spans="1:15" x14ac:dyDescent="0.3">
      <c r="A856" t="s">
        <v>9</v>
      </c>
      <c r="B856">
        <v>8</v>
      </c>
      <c r="C856">
        <v>0</v>
      </c>
      <c r="D856">
        <v>0</v>
      </c>
      <c r="E856">
        <v>1</v>
      </c>
      <c r="F856" t="s">
        <v>25</v>
      </c>
      <c r="G856" t="s">
        <v>11</v>
      </c>
      <c r="H856" t="s">
        <v>23</v>
      </c>
      <c r="I856" t="s">
        <v>13</v>
      </c>
      <c r="J856">
        <v>0</v>
      </c>
      <c r="K856" t="s">
        <v>118</v>
      </c>
      <c r="L856" t="s">
        <v>109</v>
      </c>
      <c r="M856" t="s">
        <v>94</v>
      </c>
      <c r="N856" t="s">
        <v>112</v>
      </c>
      <c r="O856" t="s">
        <v>110</v>
      </c>
    </row>
    <row r="857" spans="1:15" x14ac:dyDescent="0.3">
      <c r="A857" t="s">
        <v>14</v>
      </c>
      <c r="B857">
        <v>35</v>
      </c>
      <c r="C857">
        <v>0</v>
      </c>
      <c r="D857">
        <v>0</v>
      </c>
      <c r="E857">
        <v>1</v>
      </c>
      <c r="F857" t="s">
        <v>15</v>
      </c>
      <c r="G857" t="s">
        <v>16</v>
      </c>
      <c r="H857" t="s">
        <v>23</v>
      </c>
      <c r="I857" t="s">
        <v>13</v>
      </c>
      <c r="J857">
        <v>0</v>
      </c>
      <c r="K857" t="s">
        <v>114</v>
      </c>
      <c r="L857" t="s">
        <v>109</v>
      </c>
      <c r="M857" t="s">
        <v>94</v>
      </c>
      <c r="N857" t="s">
        <v>112</v>
      </c>
      <c r="O857" t="s">
        <v>110</v>
      </c>
    </row>
    <row r="858" spans="1:15" x14ac:dyDescent="0.3">
      <c r="A858" t="s">
        <v>14</v>
      </c>
      <c r="B858">
        <v>44</v>
      </c>
      <c r="C858">
        <v>1</v>
      </c>
      <c r="D858">
        <v>1</v>
      </c>
      <c r="E858">
        <v>1</v>
      </c>
      <c r="F858" t="s">
        <v>48</v>
      </c>
      <c r="G858" t="s">
        <v>11</v>
      </c>
      <c r="H858" t="s">
        <v>18</v>
      </c>
      <c r="I858" t="s">
        <v>13</v>
      </c>
      <c r="J858">
        <v>1</v>
      </c>
      <c r="K858" t="s">
        <v>114</v>
      </c>
      <c r="L858" t="s">
        <v>95</v>
      </c>
      <c r="M858" t="s">
        <v>94</v>
      </c>
      <c r="N858" t="s">
        <v>116</v>
      </c>
      <c r="O858" t="s">
        <v>115</v>
      </c>
    </row>
    <row r="859" spans="1:15" x14ac:dyDescent="0.3">
      <c r="A859" t="s">
        <v>9</v>
      </c>
      <c r="B859">
        <v>30</v>
      </c>
      <c r="C859">
        <v>1</v>
      </c>
      <c r="D859">
        <v>1</v>
      </c>
      <c r="E859">
        <v>1</v>
      </c>
      <c r="F859" t="s">
        <v>17</v>
      </c>
      <c r="G859" t="s">
        <v>16</v>
      </c>
      <c r="H859" t="s">
        <v>18</v>
      </c>
      <c r="I859" t="s">
        <v>13</v>
      </c>
      <c r="J859">
        <v>1</v>
      </c>
      <c r="K859" t="s">
        <v>114</v>
      </c>
      <c r="L859" t="s">
        <v>95</v>
      </c>
      <c r="M859" t="s">
        <v>94</v>
      </c>
      <c r="N859" t="s">
        <v>116</v>
      </c>
      <c r="O859" t="s">
        <v>115</v>
      </c>
    </row>
    <row r="860" spans="1:15" x14ac:dyDescent="0.3">
      <c r="A860" t="s">
        <v>14</v>
      </c>
      <c r="B860">
        <v>16</v>
      </c>
      <c r="C860">
        <v>0</v>
      </c>
      <c r="D860">
        <v>0</v>
      </c>
      <c r="E860">
        <v>1</v>
      </c>
      <c r="F860" t="s">
        <v>46</v>
      </c>
      <c r="G860" t="s">
        <v>11</v>
      </c>
      <c r="H860" t="s">
        <v>18</v>
      </c>
      <c r="I860" t="s">
        <v>13</v>
      </c>
      <c r="J860">
        <v>0</v>
      </c>
      <c r="K860" t="s">
        <v>113</v>
      </c>
      <c r="L860" t="s">
        <v>109</v>
      </c>
      <c r="M860" t="s">
        <v>94</v>
      </c>
      <c r="N860" t="s">
        <v>112</v>
      </c>
      <c r="O860" t="s">
        <v>110</v>
      </c>
    </row>
    <row r="861" spans="1:15" x14ac:dyDescent="0.3">
      <c r="A861" t="s">
        <v>14</v>
      </c>
      <c r="B861">
        <v>54</v>
      </c>
      <c r="C861">
        <v>1</v>
      </c>
      <c r="D861">
        <v>1</v>
      </c>
      <c r="E861">
        <v>1</v>
      </c>
      <c r="F861" t="s">
        <v>15</v>
      </c>
      <c r="G861" t="s">
        <v>16</v>
      </c>
      <c r="H861" t="s">
        <v>12</v>
      </c>
      <c r="I861" t="s">
        <v>13</v>
      </c>
      <c r="J861">
        <v>1</v>
      </c>
      <c r="K861" t="s">
        <v>108</v>
      </c>
      <c r="L861" t="s">
        <v>95</v>
      </c>
      <c r="M861" t="s">
        <v>94</v>
      </c>
      <c r="N861" t="s">
        <v>116</v>
      </c>
      <c r="O861" t="s">
        <v>115</v>
      </c>
    </row>
    <row r="862" spans="1:15" x14ac:dyDescent="0.3">
      <c r="A862" t="s">
        <v>14</v>
      </c>
      <c r="B862">
        <v>54</v>
      </c>
      <c r="C862">
        <v>1</v>
      </c>
      <c r="D862">
        <v>1</v>
      </c>
      <c r="E862">
        <v>1</v>
      </c>
      <c r="F862" t="s">
        <v>39</v>
      </c>
      <c r="G862" t="s">
        <v>11</v>
      </c>
      <c r="H862" t="s">
        <v>23</v>
      </c>
      <c r="I862" t="s">
        <v>13</v>
      </c>
      <c r="J862">
        <v>1</v>
      </c>
      <c r="K862" t="s">
        <v>108</v>
      </c>
      <c r="L862" t="s">
        <v>95</v>
      </c>
      <c r="M862" t="s">
        <v>94</v>
      </c>
      <c r="N862" t="s">
        <v>116</v>
      </c>
      <c r="O862" t="s">
        <v>115</v>
      </c>
    </row>
    <row r="863" spans="1:15" x14ac:dyDescent="0.3">
      <c r="A863" t="s">
        <v>14</v>
      </c>
      <c r="B863">
        <v>18</v>
      </c>
      <c r="C863">
        <v>1</v>
      </c>
      <c r="D863">
        <v>1</v>
      </c>
      <c r="E863">
        <v>1</v>
      </c>
      <c r="F863" t="s">
        <v>10</v>
      </c>
      <c r="G863" t="s">
        <v>16</v>
      </c>
      <c r="H863" t="s">
        <v>12</v>
      </c>
      <c r="I863" t="s">
        <v>13</v>
      </c>
      <c r="J863">
        <v>1</v>
      </c>
      <c r="K863" t="s">
        <v>113</v>
      </c>
      <c r="L863" t="s">
        <v>95</v>
      </c>
      <c r="M863" t="s">
        <v>94</v>
      </c>
      <c r="N863" t="s">
        <v>116</v>
      </c>
      <c r="O863" t="s">
        <v>115</v>
      </c>
    </row>
    <row r="864" spans="1:15" x14ac:dyDescent="0.3">
      <c r="A864" t="s">
        <v>9</v>
      </c>
      <c r="B864">
        <v>19</v>
      </c>
      <c r="C864">
        <v>1</v>
      </c>
      <c r="D864">
        <v>1</v>
      </c>
      <c r="E864">
        <v>1</v>
      </c>
      <c r="F864" t="s">
        <v>42</v>
      </c>
      <c r="G864" t="s">
        <v>11</v>
      </c>
      <c r="H864" t="s">
        <v>23</v>
      </c>
      <c r="I864" t="s">
        <v>13</v>
      </c>
      <c r="J864">
        <v>1</v>
      </c>
      <c r="K864" t="s">
        <v>117</v>
      </c>
      <c r="L864" t="s">
        <v>95</v>
      </c>
      <c r="M864" t="s">
        <v>94</v>
      </c>
      <c r="N864" t="s">
        <v>116</v>
      </c>
      <c r="O864" t="s">
        <v>115</v>
      </c>
    </row>
    <row r="865" spans="1:15" x14ac:dyDescent="0.3">
      <c r="A865" t="s">
        <v>9</v>
      </c>
      <c r="B865">
        <v>47</v>
      </c>
      <c r="C865">
        <v>0</v>
      </c>
      <c r="D865">
        <v>0</v>
      </c>
      <c r="E865">
        <v>1</v>
      </c>
      <c r="F865" t="s">
        <v>22</v>
      </c>
      <c r="G865" t="s">
        <v>16</v>
      </c>
      <c r="H865" t="s">
        <v>23</v>
      </c>
      <c r="I865" t="s">
        <v>13</v>
      </c>
      <c r="J865">
        <v>0</v>
      </c>
      <c r="K865" t="s">
        <v>108</v>
      </c>
      <c r="L865" t="s">
        <v>109</v>
      </c>
      <c r="M865" t="s">
        <v>94</v>
      </c>
      <c r="N865" t="s">
        <v>112</v>
      </c>
      <c r="O865" t="s">
        <v>110</v>
      </c>
    </row>
    <row r="866" spans="1:15" x14ac:dyDescent="0.3">
      <c r="A866" t="s">
        <v>9</v>
      </c>
      <c r="B866">
        <v>38</v>
      </c>
      <c r="C866">
        <v>0</v>
      </c>
      <c r="D866">
        <v>0</v>
      </c>
      <c r="E866">
        <v>1</v>
      </c>
      <c r="F866" t="s">
        <v>22</v>
      </c>
      <c r="G866" t="s">
        <v>11</v>
      </c>
      <c r="H866" t="s">
        <v>18</v>
      </c>
      <c r="I866" t="s">
        <v>13</v>
      </c>
      <c r="J866">
        <v>0</v>
      </c>
      <c r="K866" t="s">
        <v>114</v>
      </c>
      <c r="L866" t="s">
        <v>109</v>
      </c>
      <c r="M866" t="s">
        <v>94</v>
      </c>
      <c r="N866" t="s">
        <v>112</v>
      </c>
      <c r="O866" t="s">
        <v>110</v>
      </c>
    </row>
    <row r="867" spans="1:15" x14ac:dyDescent="0.3">
      <c r="A867" t="s">
        <v>14</v>
      </c>
      <c r="B867">
        <v>20</v>
      </c>
      <c r="C867">
        <v>0</v>
      </c>
      <c r="D867">
        <v>0</v>
      </c>
      <c r="E867">
        <v>0</v>
      </c>
      <c r="F867" t="s">
        <v>37</v>
      </c>
      <c r="G867" t="s">
        <v>16</v>
      </c>
      <c r="H867" t="s">
        <v>12</v>
      </c>
      <c r="I867" t="s">
        <v>13</v>
      </c>
      <c r="J867">
        <v>0</v>
      </c>
      <c r="K867" t="s">
        <v>117</v>
      </c>
      <c r="L867" t="s">
        <v>109</v>
      </c>
      <c r="M867" t="s">
        <v>111</v>
      </c>
      <c r="N867" t="s">
        <v>112</v>
      </c>
      <c r="O867" t="s">
        <v>110</v>
      </c>
    </row>
    <row r="868" spans="1:15" x14ac:dyDescent="0.3">
      <c r="A868" t="s">
        <v>14</v>
      </c>
      <c r="B868">
        <v>65</v>
      </c>
      <c r="C868">
        <v>1</v>
      </c>
      <c r="D868">
        <v>1</v>
      </c>
      <c r="E868">
        <v>0</v>
      </c>
      <c r="F868" t="s">
        <v>27</v>
      </c>
      <c r="G868" t="s">
        <v>11</v>
      </c>
      <c r="H868" t="s">
        <v>23</v>
      </c>
      <c r="I868" t="s">
        <v>13</v>
      </c>
      <c r="J868">
        <v>1</v>
      </c>
      <c r="K868" t="s">
        <v>119</v>
      </c>
      <c r="L868" t="s">
        <v>95</v>
      </c>
      <c r="M868" t="s">
        <v>111</v>
      </c>
      <c r="N868" t="s">
        <v>116</v>
      </c>
      <c r="O868" t="s">
        <v>115</v>
      </c>
    </row>
    <row r="869" spans="1:15" x14ac:dyDescent="0.3">
      <c r="A869" t="s">
        <v>9</v>
      </c>
      <c r="B869">
        <v>29</v>
      </c>
      <c r="C869">
        <v>1</v>
      </c>
      <c r="D869">
        <v>1</v>
      </c>
      <c r="E869">
        <v>0</v>
      </c>
      <c r="F869" t="s">
        <v>38</v>
      </c>
      <c r="G869" t="s">
        <v>16</v>
      </c>
      <c r="H869" t="s">
        <v>12</v>
      </c>
      <c r="I869" t="s">
        <v>13</v>
      </c>
      <c r="J869">
        <v>1</v>
      </c>
      <c r="K869" t="s">
        <v>114</v>
      </c>
      <c r="L869" t="s">
        <v>95</v>
      </c>
      <c r="M869" t="s">
        <v>111</v>
      </c>
      <c r="N869" t="s">
        <v>116</v>
      </c>
      <c r="O869" t="s">
        <v>115</v>
      </c>
    </row>
    <row r="870" spans="1:15" x14ac:dyDescent="0.3">
      <c r="A870" t="s">
        <v>9</v>
      </c>
      <c r="B870">
        <v>8</v>
      </c>
      <c r="C870">
        <v>0</v>
      </c>
      <c r="D870">
        <v>0</v>
      </c>
      <c r="E870">
        <v>0</v>
      </c>
      <c r="F870" t="s">
        <v>44</v>
      </c>
      <c r="G870" t="s">
        <v>11</v>
      </c>
      <c r="H870" t="s">
        <v>12</v>
      </c>
      <c r="I870" t="s">
        <v>13</v>
      </c>
      <c r="J870">
        <v>0</v>
      </c>
      <c r="K870" t="s">
        <v>118</v>
      </c>
      <c r="L870" t="s">
        <v>109</v>
      </c>
      <c r="M870" t="s">
        <v>111</v>
      </c>
      <c r="N870" t="s">
        <v>112</v>
      </c>
      <c r="O870" t="s">
        <v>110</v>
      </c>
    </row>
    <row r="871" spans="1:15" x14ac:dyDescent="0.3">
      <c r="A871" t="s">
        <v>9</v>
      </c>
      <c r="B871">
        <v>45</v>
      </c>
      <c r="C871">
        <v>1</v>
      </c>
      <c r="D871">
        <v>1</v>
      </c>
      <c r="E871">
        <v>1</v>
      </c>
      <c r="F871" t="s">
        <v>21</v>
      </c>
      <c r="G871" t="s">
        <v>16</v>
      </c>
      <c r="H871" t="s">
        <v>12</v>
      </c>
      <c r="I871" t="s">
        <v>13</v>
      </c>
      <c r="J871">
        <v>1</v>
      </c>
      <c r="K871" t="s">
        <v>108</v>
      </c>
      <c r="L871" t="s">
        <v>95</v>
      </c>
      <c r="M871" t="s">
        <v>94</v>
      </c>
      <c r="N871" t="s">
        <v>116</v>
      </c>
      <c r="O871" t="s">
        <v>115</v>
      </c>
    </row>
    <row r="872" spans="1:15" x14ac:dyDescent="0.3">
      <c r="A872" t="s">
        <v>9</v>
      </c>
      <c r="B872">
        <v>9</v>
      </c>
      <c r="C872">
        <v>1</v>
      </c>
      <c r="D872">
        <v>1</v>
      </c>
      <c r="E872">
        <v>0</v>
      </c>
      <c r="F872" t="s">
        <v>40</v>
      </c>
      <c r="G872" t="s">
        <v>11</v>
      </c>
      <c r="H872" t="s">
        <v>12</v>
      </c>
      <c r="I872" t="s">
        <v>13</v>
      </c>
      <c r="J872">
        <v>1</v>
      </c>
      <c r="K872" t="s">
        <v>118</v>
      </c>
      <c r="L872" t="s">
        <v>95</v>
      </c>
      <c r="M872" t="s">
        <v>111</v>
      </c>
      <c r="N872" t="s">
        <v>116</v>
      </c>
      <c r="O872" t="s">
        <v>115</v>
      </c>
    </row>
    <row r="873" spans="1:15" x14ac:dyDescent="0.3">
      <c r="A873" t="s">
        <v>14</v>
      </c>
      <c r="B873">
        <v>27</v>
      </c>
      <c r="C873">
        <v>0</v>
      </c>
      <c r="D873">
        <v>0</v>
      </c>
      <c r="E873">
        <v>0</v>
      </c>
      <c r="F873" t="s">
        <v>45</v>
      </c>
      <c r="G873" t="s">
        <v>16</v>
      </c>
      <c r="H873" t="s">
        <v>12</v>
      </c>
      <c r="I873" t="s">
        <v>13</v>
      </c>
      <c r="J873">
        <v>0</v>
      </c>
      <c r="K873" t="s">
        <v>114</v>
      </c>
      <c r="L873" t="s">
        <v>109</v>
      </c>
      <c r="M873" t="s">
        <v>111</v>
      </c>
      <c r="N873" t="s">
        <v>112</v>
      </c>
      <c r="O873" t="s">
        <v>110</v>
      </c>
    </row>
    <row r="874" spans="1:15" x14ac:dyDescent="0.3">
      <c r="A874" t="s">
        <v>14</v>
      </c>
      <c r="B874">
        <v>59</v>
      </c>
      <c r="C874">
        <v>1</v>
      </c>
      <c r="D874">
        <v>1</v>
      </c>
      <c r="E874">
        <v>1</v>
      </c>
      <c r="F874" t="s">
        <v>48</v>
      </c>
      <c r="G874" t="s">
        <v>11</v>
      </c>
      <c r="H874" t="s">
        <v>18</v>
      </c>
      <c r="I874" t="s">
        <v>13</v>
      </c>
      <c r="J874">
        <v>1</v>
      </c>
      <c r="K874" t="s">
        <v>108</v>
      </c>
      <c r="L874" t="s">
        <v>95</v>
      </c>
      <c r="M874" t="s">
        <v>94</v>
      </c>
      <c r="N874" t="s">
        <v>116</v>
      </c>
      <c r="O874" t="s">
        <v>115</v>
      </c>
    </row>
    <row r="875" spans="1:15" x14ac:dyDescent="0.3">
      <c r="A875" t="s">
        <v>9</v>
      </c>
      <c r="B875">
        <v>16</v>
      </c>
      <c r="C875">
        <v>1</v>
      </c>
      <c r="D875">
        <v>1</v>
      </c>
      <c r="E875">
        <v>0</v>
      </c>
      <c r="F875" t="s">
        <v>17</v>
      </c>
      <c r="G875" t="s">
        <v>16</v>
      </c>
      <c r="H875" t="s">
        <v>23</v>
      </c>
      <c r="I875" t="s">
        <v>13</v>
      </c>
      <c r="J875">
        <v>1</v>
      </c>
      <c r="K875" t="s">
        <v>113</v>
      </c>
      <c r="L875" t="s">
        <v>95</v>
      </c>
      <c r="M875" t="s">
        <v>111</v>
      </c>
      <c r="N875" t="s">
        <v>116</v>
      </c>
      <c r="O875" t="s">
        <v>115</v>
      </c>
    </row>
    <row r="876" spans="1:15" x14ac:dyDescent="0.3">
      <c r="A876" t="s">
        <v>9</v>
      </c>
      <c r="B876">
        <v>8</v>
      </c>
      <c r="C876">
        <v>0</v>
      </c>
      <c r="D876">
        <v>0</v>
      </c>
      <c r="E876">
        <v>0</v>
      </c>
      <c r="F876" t="s">
        <v>51</v>
      </c>
      <c r="G876" t="s">
        <v>11</v>
      </c>
      <c r="H876" t="s">
        <v>18</v>
      </c>
      <c r="I876" t="s">
        <v>13</v>
      </c>
      <c r="J876">
        <v>0</v>
      </c>
      <c r="K876" t="s">
        <v>118</v>
      </c>
      <c r="L876" t="s">
        <v>109</v>
      </c>
      <c r="M876" t="s">
        <v>111</v>
      </c>
      <c r="N876" t="s">
        <v>112</v>
      </c>
      <c r="O876" t="s">
        <v>110</v>
      </c>
    </row>
    <row r="877" spans="1:15" x14ac:dyDescent="0.3">
      <c r="A877" t="s">
        <v>9</v>
      </c>
      <c r="B877">
        <v>36</v>
      </c>
      <c r="C877">
        <v>1</v>
      </c>
      <c r="D877">
        <v>1</v>
      </c>
      <c r="E877">
        <v>0</v>
      </c>
      <c r="F877" t="s">
        <v>45</v>
      </c>
      <c r="G877" t="s">
        <v>16</v>
      </c>
      <c r="H877" t="s">
        <v>23</v>
      </c>
      <c r="I877" t="s">
        <v>13</v>
      </c>
      <c r="J877">
        <v>1</v>
      </c>
      <c r="K877" t="s">
        <v>114</v>
      </c>
      <c r="L877" t="s">
        <v>95</v>
      </c>
      <c r="M877" t="s">
        <v>111</v>
      </c>
      <c r="N877" t="s">
        <v>116</v>
      </c>
      <c r="O877" t="s">
        <v>115</v>
      </c>
    </row>
    <row r="878" spans="1:15" x14ac:dyDescent="0.3">
      <c r="A878" t="s">
        <v>14</v>
      </c>
      <c r="B878">
        <v>38</v>
      </c>
      <c r="C878">
        <v>0</v>
      </c>
      <c r="D878">
        <v>0</v>
      </c>
      <c r="E878">
        <v>1</v>
      </c>
      <c r="F878" t="s">
        <v>36</v>
      </c>
      <c r="G878" t="s">
        <v>11</v>
      </c>
      <c r="H878" t="s">
        <v>12</v>
      </c>
      <c r="I878" t="s">
        <v>13</v>
      </c>
      <c r="J878">
        <v>0</v>
      </c>
      <c r="K878" t="s">
        <v>114</v>
      </c>
      <c r="L878" t="s">
        <v>109</v>
      </c>
      <c r="M878" t="s">
        <v>94</v>
      </c>
      <c r="N878" t="s">
        <v>112</v>
      </c>
      <c r="O878" t="s">
        <v>110</v>
      </c>
    </row>
    <row r="879" spans="1:15" x14ac:dyDescent="0.3">
      <c r="A879" t="s">
        <v>9</v>
      </c>
      <c r="B879">
        <v>56</v>
      </c>
      <c r="C879">
        <v>1</v>
      </c>
      <c r="D879">
        <v>1</v>
      </c>
      <c r="E879">
        <v>1</v>
      </c>
      <c r="F879" t="s">
        <v>34</v>
      </c>
      <c r="G879" t="s">
        <v>16</v>
      </c>
      <c r="H879" t="s">
        <v>12</v>
      </c>
      <c r="I879" t="s">
        <v>13</v>
      </c>
      <c r="J879">
        <v>1</v>
      </c>
      <c r="K879" t="s">
        <v>108</v>
      </c>
      <c r="L879" t="s">
        <v>95</v>
      </c>
      <c r="M879" t="s">
        <v>94</v>
      </c>
      <c r="N879" t="s">
        <v>116</v>
      </c>
      <c r="O879" t="s">
        <v>115</v>
      </c>
    </row>
    <row r="880" spans="1:15" x14ac:dyDescent="0.3">
      <c r="A880" t="s">
        <v>14</v>
      </c>
      <c r="B880">
        <v>35</v>
      </c>
      <c r="C880">
        <v>1</v>
      </c>
      <c r="D880">
        <v>1</v>
      </c>
      <c r="E880">
        <v>0</v>
      </c>
      <c r="F880" t="s">
        <v>10</v>
      </c>
      <c r="G880" t="s">
        <v>11</v>
      </c>
      <c r="H880" t="s">
        <v>18</v>
      </c>
      <c r="I880" t="s">
        <v>13</v>
      </c>
      <c r="J880">
        <v>1</v>
      </c>
      <c r="K880" t="s">
        <v>114</v>
      </c>
      <c r="L880" t="s">
        <v>95</v>
      </c>
      <c r="M880" t="s">
        <v>111</v>
      </c>
      <c r="N880" t="s">
        <v>116</v>
      </c>
      <c r="O880" t="s">
        <v>115</v>
      </c>
    </row>
    <row r="881" spans="1:15" x14ac:dyDescent="0.3">
      <c r="A881" t="s">
        <v>9</v>
      </c>
      <c r="B881">
        <v>18</v>
      </c>
      <c r="C881">
        <v>1</v>
      </c>
      <c r="D881">
        <v>1</v>
      </c>
      <c r="E881">
        <v>0</v>
      </c>
      <c r="F881" t="s">
        <v>47</v>
      </c>
      <c r="G881" t="s">
        <v>16</v>
      </c>
      <c r="H881" t="s">
        <v>23</v>
      </c>
      <c r="I881" t="s">
        <v>13</v>
      </c>
      <c r="J881">
        <v>1</v>
      </c>
      <c r="K881" t="s">
        <v>113</v>
      </c>
      <c r="L881" t="s">
        <v>95</v>
      </c>
      <c r="M881" t="s">
        <v>111</v>
      </c>
      <c r="N881" t="s">
        <v>116</v>
      </c>
      <c r="O881" t="s">
        <v>115</v>
      </c>
    </row>
    <row r="882" spans="1:15" x14ac:dyDescent="0.3">
      <c r="A882" t="s">
        <v>9</v>
      </c>
      <c r="B882">
        <v>13</v>
      </c>
      <c r="C882">
        <v>1</v>
      </c>
      <c r="D882">
        <v>1</v>
      </c>
      <c r="E882">
        <v>0</v>
      </c>
      <c r="F882" t="s">
        <v>41</v>
      </c>
      <c r="G882" t="s">
        <v>11</v>
      </c>
      <c r="H882" t="s">
        <v>18</v>
      </c>
      <c r="I882" t="s">
        <v>13</v>
      </c>
      <c r="J882">
        <v>1</v>
      </c>
      <c r="K882" t="s">
        <v>118</v>
      </c>
      <c r="L882" t="s">
        <v>95</v>
      </c>
      <c r="M882" t="s">
        <v>111</v>
      </c>
      <c r="N882" t="s">
        <v>116</v>
      </c>
      <c r="O882" t="s">
        <v>115</v>
      </c>
    </row>
    <row r="883" spans="1:15" x14ac:dyDescent="0.3">
      <c r="A883" t="s">
        <v>14</v>
      </c>
      <c r="B883">
        <v>23</v>
      </c>
      <c r="C883">
        <v>0</v>
      </c>
      <c r="D883">
        <v>1</v>
      </c>
      <c r="E883">
        <v>0</v>
      </c>
      <c r="F883" t="s">
        <v>27</v>
      </c>
      <c r="G883" t="s">
        <v>16</v>
      </c>
      <c r="H883" t="s">
        <v>12</v>
      </c>
      <c r="I883" t="s">
        <v>13</v>
      </c>
      <c r="J883">
        <v>1</v>
      </c>
      <c r="K883" t="s">
        <v>117</v>
      </c>
      <c r="L883" t="s">
        <v>95</v>
      </c>
      <c r="M883" t="s">
        <v>111</v>
      </c>
      <c r="N883" t="s">
        <v>112</v>
      </c>
      <c r="O883" t="s">
        <v>115</v>
      </c>
    </row>
    <row r="884" spans="1:15" x14ac:dyDescent="0.3">
      <c r="A884" t="s">
        <v>9</v>
      </c>
      <c r="B884">
        <v>14</v>
      </c>
      <c r="C884">
        <v>1</v>
      </c>
      <c r="D884">
        <v>1</v>
      </c>
      <c r="E884">
        <v>1</v>
      </c>
      <c r="F884" t="s">
        <v>46</v>
      </c>
      <c r="G884" t="s">
        <v>11</v>
      </c>
      <c r="H884" t="s">
        <v>12</v>
      </c>
      <c r="I884" t="s">
        <v>13</v>
      </c>
      <c r="J884">
        <v>1</v>
      </c>
      <c r="K884" t="s">
        <v>113</v>
      </c>
      <c r="L884" t="s">
        <v>95</v>
      </c>
      <c r="M884" t="s">
        <v>94</v>
      </c>
      <c r="N884" t="s">
        <v>116</v>
      </c>
      <c r="O884" t="s">
        <v>115</v>
      </c>
    </row>
    <row r="885" spans="1:15" x14ac:dyDescent="0.3">
      <c r="A885" t="s">
        <v>9</v>
      </c>
      <c r="B885">
        <v>21</v>
      </c>
      <c r="C885">
        <v>1</v>
      </c>
      <c r="D885">
        <v>1</v>
      </c>
      <c r="E885">
        <v>0</v>
      </c>
      <c r="F885" t="s">
        <v>30</v>
      </c>
      <c r="G885" t="s">
        <v>16</v>
      </c>
      <c r="H885" t="s">
        <v>18</v>
      </c>
      <c r="I885" t="s">
        <v>13</v>
      </c>
      <c r="J885">
        <v>1</v>
      </c>
      <c r="K885" t="s">
        <v>117</v>
      </c>
      <c r="L885" t="s">
        <v>95</v>
      </c>
      <c r="M885" t="s">
        <v>111</v>
      </c>
      <c r="N885" t="s">
        <v>116</v>
      </c>
      <c r="O885" t="s">
        <v>115</v>
      </c>
    </row>
    <row r="886" spans="1:15" x14ac:dyDescent="0.3">
      <c r="A886" t="s">
        <v>14</v>
      </c>
      <c r="B886">
        <v>39</v>
      </c>
      <c r="C886">
        <v>1</v>
      </c>
      <c r="D886">
        <v>1</v>
      </c>
      <c r="E886">
        <v>1</v>
      </c>
      <c r="F886" t="s">
        <v>43</v>
      </c>
      <c r="G886" t="s">
        <v>11</v>
      </c>
      <c r="H886" t="s">
        <v>18</v>
      </c>
      <c r="I886" t="s">
        <v>13</v>
      </c>
      <c r="J886">
        <v>1</v>
      </c>
      <c r="K886" t="s">
        <v>114</v>
      </c>
      <c r="L886" t="s">
        <v>95</v>
      </c>
      <c r="M886" t="s">
        <v>94</v>
      </c>
      <c r="N886" t="s">
        <v>116</v>
      </c>
      <c r="O886" t="s">
        <v>115</v>
      </c>
    </row>
    <row r="887" spans="1:15" x14ac:dyDescent="0.3">
      <c r="A887" t="s">
        <v>9</v>
      </c>
      <c r="B887">
        <v>39</v>
      </c>
      <c r="C887">
        <v>1</v>
      </c>
      <c r="D887">
        <v>1</v>
      </c>
      <c r="E887">
        <v>1</v>
      </c>
      <c r="F887" t="s">
        <v>10</v>
      </c>
      <c r="G887" t="s">
        <v>16</v>
      </c>
      <c r="H887" t="s">
        <v>12</v>
      </c>
      <c r="I887" t="s">
        <v>13</v>
      </c>
      <c r="J887">
        <v>1</v>
      </c>
      <c r="K887" t="s">
        <v>114</v>
      </c>
      <c r="L887" t="s">
        <v>95</v>
      </c>
      <c r="M887" t="s">
        <v>94</v>
      </c>
      <c r="N887" t="s">
        <v>116</v>
      </c>
      <c r="O887" t="s">
        <v>115</v>
      </c>
    </row>
    <row r="888" spans="1:15" x14ac:dyDescent="0.3">
      <c r="A888" t="s">
        <v>14</v>
      </c>
      <c r="B888">
        <v>34</v>
      </c>
      <c r="C888">
        <v>0</v>
      </c>
      <c r="D888">
        <v>0</v>
      </c>
      <c r="E888">
        <v>0</v>
      </c>
      <c r="F888" t="s">
        <v>17</v>
      </c>
      <c r="G888" t="s">
        <v>11</v>
      </c>
      <c r="H888" t="s">
        <v>18</v>
      </c>
      <c r="I888" t="s">
        <v>13</v>
      </c>
      <c r="J888">
        <v>0</v>
      </c>
      <c r="K888" t="s">
        <v>114</v>
      </c>
      <c r="L888" t="s">
        <v>109</v>
      </c>
      <c r="M888" t="s">
        <v>111</v>
      </c>
      <c r="N888" t="s">
        <v>112</v>
      </c>
      <c r="O888" t="s">
        <v>110</v>
      </c>
    </row>
    <row r="889" spans="1:15" x14ac:dyDescent="0.3">
      <c r="A889" t="s">
        <v>9</v>
      </c>
      <c r="B889">
        <v>36</v>
      </c>
      <c r="C889">
        <v>1</v>
      </c>
      <c r="D889">
        <v>1</v>
      </c>
      <c r="E889">
        <v>1</v>
      </c>
      <c r="F889" t="s">
        <v>36</v>
      </c>
      <c r="G889" t="s">
        <v>16</v>
      </c>
      <c r="H889" t="s">
        <v>12</v>
      </c>
      <c r="I889" t="s">
        <v>13</v>
      </c>
      <c r="J889">
        <v>1</v>
      </c>
      <c r="K889" t="s">
        <v>114</v>
      </c>
      <c r="L889" t="s">
        <v>95</v>
      </c>
      <c r="M889" t="s">
        <v>94</v>
      </c>
      <c r="N889" t="s">
        <v>116</v>
      </c>
      <c r="O889" t="s">
        <v>115</v>
      </c>
    </row>
    <row r="890" spans="1:15" x14ac:dyDescent="0.3">
      <c r="A890" t="s">
        <v>9</v>
      </c>
      <c r="B890">
        <v>43</v>
      </c>
      <c r="C890">
        <v>0</v>
      </c>
      <c r="D890">
        <v>1</v>
      </c>
      <c r="E890">
        <v>0</v>
      </c>
      <c r="F890" t="s">
        <v>39</v>
      </c>
      <c r="G890" t="s">
        <v>11</v>
      </c>
      <c r="H890" t="s">
        <v>23</v>
      </c>
      <c r="I890" t="s">
        <v>13</v>
      </c>
      <c r="J890">
        <v>1</v>
      </c>
      <c r="K890" t="s">
        <v>114</v>
      </c>
      <c r="L890" t="s">
        <v>95</v>
      </c>
      <c r="M890" t="s">
        <v>111</v>
      </c>
      <c r="N890" t="s">
        <v>112</v>
      </c>
      <c r="O890" t="s">
        <v>115</v>
      </c>
    </row>
    <row r="891" spans="1:15" x14ac:dyDescent="0.3">
      <c r="A891" t="s">
        <v>14</v>
      </c>
      <c r="B891">
        <v>39</v>
      </c>
      <c r="C891">
        <v>1</v>
      </c>
      <c r="D891">
        <v>1</v>
      </c>
      <c r="E891">
        <v>1</v>
      </c>
      <c r="F891" t="s">
        <v>35</v>
      </c>
      <c r="G891" t="s">
        <v>16</v>
      </c>
      <c r="H891" t="s">
        <v>12</v>
      </c>
      <c r="I891" t="s">
        <v>13</v>
      </c>
      <c r="J891">
        <v>1</v>
      </c>
      <c r="K891" t="s">
        <v>114</v>
      </c>
      <c r="L891" t="s">
        <v>95</v>
      </c>
      <c r="M891" t="s">
        <v>94</v>
      </c>
      <c r="N891" t="s">
        <v>116</v>
      </c>
      <c r="O891" t="s">
        <v>115</v>
      </c>
    </row>
    <row r="892" spans="1:15" x14ac:dyDescent="0.3">
      <c r="A892" t="s">
        <v>9</v>
      </c>
      <c r="B892">
        <v>53</v>
      </c>
      <c r="C892">
        <v>1</v>
      </c>
      <c r="D892">
        <v>1</v>
      </c>
      <c r="E892">
        <v>1</v>
      </c>
      <c r="F892" t="s">
        <v>43</v>
      </c>
      <c r="G892" t="s">
        <v>11</v>
      </c>
      <c r="H892" t="s">
        <v>18</v>
      </c>
      <c r="I892" t="s">
        <v>13</v>
      </c>
      <c r="J892">
        <v>1</v>
      </c>
      <c r="K892" t="s">
        <v>108</v>
      </c>
      <c r="L892" t="s">
        <v>95</v>
      </c>
      <c r="M892" t="s">
        <v>94</v>
      </c>
      <c r="N892" t="s">
        <v>116</v>
      </c>
      <c r="O892" t="s">
        <v>115</v>
      </c>
    </row>
    <row r="893" spans="1:15" x14ac:dyDescent="0.3">
      <c r="A893" t="s">
        <v>14</v>
      </c>
      <c r="B893">
        <v>45</v>
      </c>
      <c r="C893">
        <v>1</v>
      </c>
      <c r="D893">
        <v>1</v>
      </c>
      <c r="E893">
        <v>1</v>
      </c>
      <c r="F893" t="s">
        <v>38</v>
      </c>
      <c r="G893" t="s">
        <v>16</v>
      </c>
      <c r="H893" t="s">
        <v>23</v>
      </c>
      <c r="I893" t="s">
        <v>13</v>
      </c>
      <c r="J893">
        <v>1</v>
      </c>
      <c r="K893" t="s">
        <v>108</v>
      </c>
      <c r="L893" t="s">
        <v>95</v>
      </c>
      <c r="M893" t="s">
        <v>94</v>
      </c>
      <c r="N893" t="s">
        <v>116</v>
      </c>
      <c r="O893" t="s">
        <v>115</v>
      </c>
    </row>
    <row r="894" spans="1:15" x14ac:dyDescent="0.3">
      <c r="A894" t="s">
        <v>9</v>
      </c>
      <c r="B894">
        <v>12</v>
      </c>
      <c r="C894">
        <v>0</v>
      </c>
      <c r="D894">
        <v>0</v>
      </c>
      <c r="E894">
        <v>1</v>
      </c>
      <c r="F894" t="s">
        <v>35</v>
      </c>
      <c r="G894" t="s">
        <v>11</v>
      </c>
      <c r="H894" t="s">
        <v>12</v>
      </c>
      <c r="I894" t="s">
        <v>13</v>
      </c>
      <c r="J894">
        <v>0</v>
      </c>
      <c r="K894" t="s">
        <v>118</v>
      </c>
      <c r="L894" t="s">
        <v>109</v>
      </c>
      <c r="M894" t="s">
        <v>94</v>
      </c>
      <c r="N894" t="s">
        <v>112</v>
      </c>
      <c r="O894" t="s">
        <v>110</v>
      </c>
    </row>
    <row r="895" spans="1:15" x14ac:dyDescent="0.3">
      <c r="A895" t="s">
        <v>9</v>
      </c>
      <c r="B895">
        <v>28</v>
      </c>
      <c r="C895">
        <v>1</v>
      </c>
      <c r="D895">
        <v>1</v>
      </c>
      <c r="E895">
        <v>0</v>
      </c>
      <c r="F895" t="s">
        <v>19</v>
      </c>
      <c r="G895" t="s">
        <v>16</v>
      </c>
      <c r="H895" t="s">
        <v>18</v>
      </c>
      <c r="I895" t="s">
        <v>13</v>
      </c>
      <c r="J895">
        <v>1</v>
      </c>
      <c r="K895" t="s">
        <v>114</v>
      </c>
      <c r="L895" t="s">
        <v>95</v>
      </c>
      <c r="M895" t="s">
        <v>111</v>
      </c>
      <c r="N895" t="s">
        <v>116</v>
      </c>
      <c r="O895" t="s">
        <v>115</v>
      </c>
    </row>
    <row r="896" spans="1:15" x14ac:dyDescent="0.3">
      <c r="A896" t="s">
        <v>14</v>
      </c>
      <c r="B896">
        <v>14</v>
      </c>
      <c r="C896">
        <v>1</v>
      </c>
      <c r="D896">
        <v>1</v>
      </c>
      <c r="E896">
        <v>0</v>
      </c>
      <c r="F896" t="s">
        <v>40</v>
      </c>
      <c r="G896" t="s">
        <v>11</v>
      </c>
      <c r="H896" t="s">
        <v>12</v>
      </c>
      <c r="I896" t="s">
        <v>13</v>
      </c>
      <c r="J896">
        <v>1</v>
      </c>
      <c r="K896" t="s">
        <v>113</v>
      </c>
      <c r="L896" t="s">
        <v>95</v>
      </c>
      <c r="M896" t="s">
        <v>111</v>
      </c>
      <c r="N896" t="s">
        <v>116</v>
      </c>
      <c r="O896" t="s">
        <v>115</v>
      </c>
    </row>
    <row r="897" spans="1:15" x14ac:dyDescent="0.3">
      <c r="A897" t="s">
        <v>14</v>
      </c>
      <c r="B897">
        <v>10</v>
      </c>
      <c r="C897">
        <v>0</v>
      </c>
      <c r="D897">
        <v>0</v>
      </c>
      <c r="E897">
        <v>0</v>
      </c>
      <c r="F897" t="s">
        <v>51</v>
      </c>
      <c r="G897" t="s">
        <v>16</v>
      </c>
      <c r="H897" t="s">
        <v>12</v>
      </c>
      <c r="I897" t="s">
        <v>13</v>
      </c>
      <c r="J897">
        <v>0</v>
      </c>
      <c r="K897" t="s">
        <v>118</v>
      </c>
      <c r="L897" t="s">
        <v>109</v>
      </c>
      <c r="M897" t="s">
        <v>111</v>
      </c>
      <c r="N897" t="s">
        <v>112</v>
      </c>
      <c r="O897" t="s">
        <v>110</v>
      </c>
    </row>
    <row r="898" spans="1:15" x14ac:dyDescent="0.3">
      <c r="A898" t="s">
        <v>14</v>
      </c>
      <c r="B898">
        <v>64</v>
      </c>
      <c r="C898">
        <v>1</v>
      </c>
      <c r="D898">
        <v>1</v>
      </c>
      <c r="E898">
        <v>0</v>
      </c>
      <c r="F898" t="s">
        <v>32</v>
      </c>
      <c r="G898" t="s">
        <v>11</v>
      </c>
      <c r="H898" t="s">
        <v>18</v>
      </c>
      <c r="I898" t="s">
        <v>13</v>
      </c>
      <c r="J898">
        <v>1</v>
      </c>
      <c r="K898" t="s">
        <v>108</v>
      </c>
      <c r="L898" t="s">
        <v>95</v>
      </c>
      <c r="M898" t="s">
        <v>111</v>
      </c>
      <c r="N898" t="s">
        <v>116</v>
      </c>
      <c r="O898" t="s">
        <v>115</v>
      </c>
    </row>
    <row r="899" spans="1:15" x14ac:dyDescent="0.3">
      <c r="A899" t="s">
        <v>14</v>
      </c>
      <c r="B899">
        <v>8</v>
      </c>
      <c r="C899">
        <v>1</v>
      </c>
      <c r="D899">
        <v>1</v>
      </c>
      <c r="E899">
        <v>0</v>
      </c>
      <c r="F899" t="s">
        <v>32</v>
      </c>
      <c r="G899" t="s">
        <v>16</v>
      </c>
      <c r="H899" t="s">
        <v>23</v>
      </c>
      <c r="I899" t="s">
        <v>13</v>
      </c>
      <c r="J899">
        <v>1</v>
      </c>
      <c r="K899" t="s">
        <v>118</v>
      </c>
      <c r="L899" t="s">
        <v>95</v>
      </c>
      <c r="M899" t="s">
        <v>111</v>
      </c>
      <c r="N899" t="s">
        <v>116</v>
      </c>
      <c r="O899" t="s">
        <v>115</v>
      </c>
    </row>
    <row r="900" spans="1:15" x14ac:dyDescent="0.3">
      <c r="A900" t="s">
        <v>9</v>
      </c>
      <c r="B900">
        <v>43</v>
      </c>
      <c r="C900">
        <v>0</v>
      </c>
      <c r="D900">
        <v>0</v>
      </c>
      <c r="E900">
        <v>1</v>
      </c>
      <c r="F900" t="s">
        <v>40</v>
      </c>
      <c r="G900" t="s">
        <v>11</v>
      </c>
      <c r="H900" t="s">
        <v>18</v>
      </c>
      <c r="I900" t="s">
        <v>13</v>
      </c>
      <c r="J900">
        <v>0</v>
      </c>
      <c r="K900" t="s">
        <v>114</v>
      </c>
      <c r="L900" t="s">
        <v>109</v>
      </c>
      <c r="M900" t="s">
        <v>94</v>
      </c>
      <c r="N900" t="s">
        <v>112</v>
      </c>
      <c r="O900" t="s">
        <v>110</v>
      </c>
    </row>
    <row r="901" spans="1:15" x14ac:dyDescent="0.3">
      <c r="A901" t="s">
        <v>14</v>
      </c>
      <c r="B901">
        <v>16</v>
      </c>
      <c r="C901">
        <v>0</v>
      </c>
      <c r="D901">
        <v>0</v>
      </c>
      <c r="E901">
        <v>0</v>
      </c>
      <c r="F901" t="s">
        <v>42</v>
      </c>
      <c r="G901" t="s">
        <v>16</v>
      </c>
      <c r="H901" t="s">
        <v>12</v>
      </c>
      <c r="I901" t="s">
        <v>13</v>
      </c>
      <c r="J901">
        <v>0</v>
      </c>
      <c r="K901" t="s">
        <v>113</v>
      </c>
      <c r="L901" t="s">
        <v>109</v>
      </c>
      <c r="M901" t="s">
        <v>111</v>
      </c>
      <c r="N901" t="s">
        <v>112</v>
      </c>
      <c r="O901" t="s">
        <v>110</v>
      </c>
    </row>
    <row r="902" spans="1:15" x14ac:dyDescent="0.3">
      <c r="A902" t="s">
        <v>9</v>
      </c>
      <c r="B902">
        <v>62</v>
      </c>
      <c r="C902">
        <v>1</v>
      </c>
      <c r="D902">
        <v>1</v>
      </c>
      <c r="E902">
        <v>1</v>
      </c>
      <c r="F902" t="s">
        <v>30</v>
      </c>
      <c r="G902" t="s">
        <v>11</v>
      </c>
      <c r="H902" t="s">
        <v>23</v>
      </c>
      <c r="I902" t="s">
        <v>13</v>
      </c>
      <c r="J902">
        <v>1</v>
      </c>
      <c r="K902" t="s">
        <v>108</v>
      </c>
      <c r="L902" t="s">
        <v>95</v>
      </c>
      <c r="M902" t="s">
        <v>94</v>
      </c>
      <c r="N902" t="s">
        <v>116</v>
      </c>
      <c r="O902" t="s">
        <v>115</v>
      </c>
    </row>
    <row r="903" spans="1:15" x14ac:dyDescent="0.3">
      <c r="A903" t="s">
        <v>9</v>
      </c>
      <c r="B903">
        <v>35</v>
      </c>
      <c r="C903">
        <v>0</v>
      </c>
      <c r="D903">
        <v>0</v>
      </c>
      <c r="E903">
        <v>0</v>
      </c>
      <c r="F903" t="s">
        <v>33</v>
      </c>
      <c r="G903" t="s">
        <v>16</v>
      </c>
      <c r="H903" t="s">
        <v>12</v>
      </c>
      <c r="I903" t="s">
        <v>13</v>
      </c>
      <c r="J903">
        <v>0</v>
      </c>
      <c r="K903" t="s">
        <v>114</v>
      </c>
      <c r="L903" t="s">
        <v>109</v>
      </c>
      <c r="M903" t="s">
        <v>111</v>
      </c>
      <c r="N903" t="s">
        <v>112</v>
      </c>
      <c r="O903" t="s">
        <v>110</v>
      </c>
    </row>
    <row r="904" spans="1:15" x14ac:dyDescent="0.3">
      <c r="A904" t="s">
        <v>14</v>
      </c>
      <c r="B904">
        <v>36</v>
      </c>
      <c r="C904">
        <v>0</v>
      </c>
      <c r="D904">
        <v>0</v>
      </c>
      <c r="E904">
        <v>0</v>
      </c>
      <c r="F904" t="s">
        <v>15</v>
      </c>
      <c r="G904" t="s">
        <v>11</v>
      </c>
      <c r="H904" t="s">
        <v>18</v>
      </c>
      <c r="I904" t="s">
        <v>13</v>
      </c>
      <c r="J904">
        <v>0</v>
      </c>
      <c r="K904" t="s">
        <v>114</v>
      </c>
      <c r="L904" t="s">
        <v>109</v>
      </c>
      <c r="M904" t="s">
        <v>111</v>
      </c>
      <c r="N904" t="s">
        <v>112</v>
      </c>
      <c r="O904" t="s">
        <v>110</v>
      </c>
    </row>
    <row r="905" spans="1:15" x14ac:dyDescent="0.3">
      <c r="A905" t="s">
        <v>9</v>
      </c>
      <c r="B905">
        <v>15</v>
      </c>
      <c r="C905">
        <v>1</v>
      </c>
      <c r="D905">
        <v>1</v>
      </c>
      <c r="E905">
        <v>0</v>
      </c>
      <c r="F905" t="s">
        <v>28</v>
      </c>
      <c r="G905" t="s">
        <v>16</v>
      </c>
      <c r="H905" t="s">
        <v>12</v>
      </c>
      <c r="I905" t="s">
        <v>13</v>
      </c>
      <c r="J905">
        <v>1</v>
      </c>
      <c r="K905" t="s">
        <v>113</v>
      </c>
      <c r="L905" t="s">
        <v>95</v>
      </c>
      <c r="M905" t="s">
        <v>111</v>
      </c>
      <c r="N905" t="s">
        <v>116</v>
      </c>
      <c r="O905" t="s">
        <v>115</v>
      </c>
    </row>
    <row r="906" spans="1:15" x14ac:dyDescent="0.3">
      <c r="A906" t="s">
        <v>9</v>
      </c>
      <c r="B906">
        <v>11</v>
      </c>
      <c r="C906">
        <v>1</v>
      </c>
      <c r="D906">
        <v>1</v>
      </c>
      <c r="E906">
        <v>0</v>
      </c>
      <c r="F906" t="s">
        <v>32</v>
      </c>
      <c r="G906" t="s">
        <v>11</v>
      </c>
      <c r="H906" t="s">
        <v>12</v>
      </c>
      <c r="I906" t="s">
        <v>13</v>
      </c>
      <c r="J906">
        <v>1</v>
      </c>
      <c r="K906" t="s">
        <v>118</v>
      </c>
      <c r="L906" t="s">
        <v>95</v>
      </c>
      <c r="M906" t="s">
        <v>111</v>
      </c>
      <c r="N906" t="s">
        <v>116</v>
      </c>
      <c r="O906" t="s">
        <v>115</v>
      </c>
    </row>
    <row r="907" spans="1:15" x14ac:dyDescent="0.3">
      <c r="A907" t="s">
        <v>14</v>
      </c>
      <c r="B907">
        <v>27</v>
      </c>
      <c r="C907">
        <v>1</v>
      </c>
      <c r="D907">
        <v>1</v>
      </c>
      <c r="E907">
        <v>0</v>
      </c>
      <c r="F907" t="s">
        <v>40</v>
      </c>
      <c r="G907" t="s">
        <v>16</v>
      </c>
      <c r="H907" t="s">
        <v>18</v>
      </c>
      <c r="I907" t="s">
        <v>13</v>
      </c>
      <c r="J907">
        <v>1</v>
      </c>
      <c r="K907" t="s">
        <v>114</v>
      </c>
      <c r="L907" t="s">
        <v>95</v>
      </c>
      <c r="M907" t="s">
        <v>111</v>
      </c>
      <c r="N907" t="s">
        <v>116</v>
      </c>
      <c r="O907" t="s">
        <v>115</v>
      </c>
    </row>
    <row r="908" spans="1:15" x14ac:dyDescent="0.3">
      <c r="A908" t="s">
        <v>14</v>
      </c>
      <c r="B908">
        <v>20</v>
      </c>
      <c r="C908">
        <v>0</v>
      </c>
      <c r="D908">
        <v>0</v>
      </c>
      <c r="E908">
        <v>0</v>
      </c>
      <c r="F908" t="s">
        <v>28</v>
      </c>
      <c r="G908" t="s">
        <v>11</v>
      </c>
      <c r="H908" t="s">
        <v>18</v>
      </c>
      <c r="I908" t="s">
        <v>13</v>
      </c>
      <c r="J908">
        <v>0</v>
      </c>
      <c r="K908" t="s">
        <v>117</v>
      </c>
      <c r="L908" t="s">
        <v>109</v>
      </c>
      <c r="M908" t="s">
        <v>111</v>
      </c>
      <c r="N908" t="s">
        <v>112</v>
      </c>
      <c r="O908" t="s">
        <v>110</v>
      </c>
    </row>
    <row r="909" spans="1:15" x14ac:dyDescent="0.3">
      <c r="A909" t="s">
        <v>14</v>
      </c>
      <c r="B909">
        <v>28</v>
      </c>
      <c r="C909">
        <v>1</v>
      </c>
      <c r="D909">
        <v>1</v>
      </c>
      <c r="E909">
        <v>0</v>
      </c>
      <c r="F909" t="s">
        <v>29</v>
      </c>
      <c r="G909" t="s">
        <v>16</v>
      </c>
      <c r="H909" t="s">
        <v>23</v>
      </c>
      <c r="I909" t="s">
        <v>13</v>
      </c>
      <c r="J909">
        <v>1</v>
      </c>
      <c r="K909" t="s">
        <v>114</v>
      </c>
      <c r="L909" t="s">
        <v>95</v>
      </c>
      <c r="M909" t="s">
        <v>111</v>
      </c>
      <c r="N909" t="s">
        <v>116</v>
      </c>
      <c r="O909" t="s">
        <v>115</v>
      </c>
    </row>
    <row r="910" spans="1:15" x14ac:dyDescent="0.3">
      <c r="A910" t="s">
        <v>14</v>
      </c>
      <c r="B910">
        <v>60</v>
      </c>
      <c r="C910">
        <v>1</v>
      </c>
      <c r="D910">
        <v>1</v>
      </c>
      <c r="E910">
        <v>0</v>
      </c>
      <c r="F910" t="s">
        <v>15</v>
      </c>
      <c r="G910" t="s">
        <v>11</v>
      </c>
      <c r="H910" t="s">
        <v>18</v>
      </c>
      <c r="I910" t="s">
        <v>13</v>
      </c>
      <c r="J910">
        <v>1</v>
      </c>
      <c r="K910" t="s">
        <v>108</v>
      </c>
      <c r="L910" t="s">
        <v>95</v>
      </c>
      <c r="M910" t="s">
        <v>111</v>
      </c>
      <c r="N910" t="s">
        <v>116</v>
      </c>
      <c r="O910" t="s">
        <v>115</v>
      </c>
    </row>
    <row r="911" spans="1:15" x14ac:dyDescent="0.3">
      <c r="A911" t="s">
        <v>14</v>
      </c>
      <c r="B911">
        <v>10</v>
      </c>
      <c r="C911">
        <v>1</v>
      </c>
      <c r="D911">
        <v>1</v>
      </c>
      <c r="E911">
        <v>1</v>
      </c>
      <c r="F911" t="s">
        <v>47</v>
      </c>
      <c r="G911" t="s">
        <v>16</v>
      </c>
      <c r="H911" t="s">
        <v>18</v>
      </c>
      <c r="I911" t="s">
        <v>13</v>
      </c>
      <c r="J911">
        <v>1</v>
      </c>
      <c r="K911" t="s">
        <v>118</v>
      </c>
      <c r="L911" t="s">
        <v>95</v>
      </c>
      <c r="M911" t="s">
        <v>94</v>
      </c>
      <c r="N911" t="s">
        <v>116</v>
      </c>
      <c r="O911" t="s">
        <v>115</v>
      </c>
    </row>
    <row r="912" spans="1:15" x14ac:dyDescent="0.3">
      <c r="A912" t="s">
        <v>9</v>
      </c>
      <c r="B912">
        <v>39</v>
      </c>
      <c r="C912">
        <v>0</v>
      </c>
      <c r="D912">
        <v>0</v>
      </c>
      <c r="E912">
        <v>1</v>
      </c>
      <c r="F912" t="s">
        <v>46</v>
      </c>
      <c r="G912" t="s">
        <v>11</v>
      </c>
      <c r="H912" t="s">
        <v>23</v>
      </c>
      <c r="I912" t="s">
        <v>13</v>
      </c>
      <c r="J912">
        <v>0</v>
      </c>
      <c r="K912" t="s">
        <v>114</v>
      </c>
      <c r="L912" t="s">
        <v>109</v>
      </c>
      <c r="M912" t="s">
        <v>94</v>
      </c>
      <c r="N912" t="s">
        <v>112</v>
      </c>
      <c r="O912" t="s">
        <v>110</v>
      </c>
    </row>
    <row r="913" spans="1:15" x14ac:dyDescent="0.3">
      <c r="A913" t="s">
        <v>14</v>
      </c>
      <c r="B913">
        <v>52</v>
      </c>
      <c r="C913">
        <v>0</v>
      </c>
      <c r="D913">
        <v>0</v>
      </c>
      <c r="E913">
        <v>1</v>
      </c>
      <c r="F913" t="s">
        <v>51</v>
      </c>
      <c r="G913" t="s">
        <v>16</v>
      </c>
      <c r="H913" t="s">
        <v>23</v>
      </c>
      <c r="I913" t="s">
        <v>13</v>
      </c>
      <c r="J913">
        <v>0</v>
      </c>
      <c r="K913" t="s">
        <v>108</v>
      </c>
      <c r="L913" t="s">
        <v>109</v>
      </c>
      <c r="M913" t="s">
        <v>94</v>
      </c>
      <c r="N913" t="s">
        <v>112</v>
      </c>
      <c r="O913" t="s">
        <v>110</v>
      </c>
    </row>
    <row r="914" spans="1:15" x14ac:dyDescent="0.3">
      <c r="A914" t="s">
        <v>9</v>
      </c>
      <c r="B914">
        <v>36</v>
      </c>
      <c r="C914">
        <v>1</v>
      </c>
      <c r="D914">
        <v>1</v>
      </c>
      <c r="E914">
        <v>0</v>
      </c>
      <c r="F914" t="s">
        <v>47</v>
      </c>
      <c r="G914" t="s">
        <v>11</v>
      </c>
      <c r="H914" t="s">
        <v>23</v>
      </c>
      <c r="I914" t="s">
        <v>13</v>
      </c>
      <c r="J914">
        <v>1</v>
      </c>
      <c r="K914" t="s">
        <v>114</v>
      </c>
      <c r="L914" t="s">
        <v>95</v>
      </c>
      <c r="M914" t="s">
        <v>111</v>
      </c>
      <c r="N914" t="s">
        <v>116</v>
      </c>
      <c r="O914" t="s">
        <v>115</v>
      </c>
    </row>
    <row r="915" spans="1:15" x14ac:dyDescent="0.3">
      <c r="A915" t="s">
        <v>9</v>
      </c>
      <c r="B915">
        <v>39</v>
      </c>
      <c r="C915">
        <v>0</v>
      </c>
      <c r="D915">
        <v>0</v>
      </c>
      <c r="E915">
        <v>0</v>
      </c>
      <c r="F915" t="s">
        <v>50</v>
      </c>
      <c r="G915" t="s">
        <v>16</v>
      </c>
      <c r="H915" t="s">
        <v>12</v>
      </c>
      <c r="I915" t="s">
        <v>13</v>
      </c>
      <c r="J915">
        <v>0</v>
      </c>
      <c r="K915" t="s">
        <v>114</v>
      </c>
      <c r="L915" t="s">
        <v>109</v>
      </c>
      <c r="M915" t="s">
        <v>111</v>
      </c>
      <c r="N915" t="s">
        <v>112</v>
      </c>
      <c r="O915" t="s">
        <v>110</v>
      </c>
    </row>
    <row r="916" spans="1:15" x14ac:dyDescent="0.3">
      <c r="A916" t="s">
        <v>14</v>
      </c>
      <c r="B916">
        <v>13</v>
      </c>
      <c r="C916">
        <v>0</v>
      </c>
      <c r="D916">
        <v>0</v>
      </c>
      <c r="E916">
        <v>1</v>
      </c>
      <c r="F916" t="s">
        <v>44</v>
      </c>
      <c r="G916" t="s">
        <v>11</v>
      </c>
      <c r="H916" t="s">
        <v>18</v>
      </c>
      <c r="I916" t="s">
        <v>13</v>
      </c>
      <c r="J916">
        <v>0</v>
      </c>
      <c r="K916" t="s">
        <v>118</v>
      </c>
      <c r="L916" t="s">
        <v>109</v>
      </c>
      <c r="M916" t="s">
        <v>94</v>
      </c>
      <c r="N916" t="s">
        <v>112</v>
      </c>
      <c r="O916" t="s">
        <v>110</v>
      </c>
    </row>
    <row r="917" spans="1:15" x14ac:dyDescent="0.3">
      <c r="A917" t="s">
        <v>9</v>
      </c>
      <c r="B917">
        <v>42</v>
      </c>
      <c r="C917">
        <v>0</v>
      </c>
      <c r="D917">
        <v>0</v>
      </c>
      <c r="E917">
        <v>0</v>
      </c>
      <c r="F917" t="s">
        <v>10</v>
      </c>
      <c r="G917" t="s">
        <v>16</v>
      </c>
      <c r="H917" t="s">
        <v>23</v>
      </c>
      <c r="I917" t="s">
        <v>13</v>
      </c>
      <c r="J917">
        <v>0</v>
      </c>
      <c r="K917" t="s">
        <v>114</v>
      </c>
      <c r="L917" t="s">
        <v>109</v>
      </c>
      <c r="M917" t="s">
        <v>111</v>
      </c>
      <c r="N917" t="s">
        <v>112</v>
      </c>
      <c r="O917" t="s">
        <v>110</v>
      </c>
    </row>
    <row r="918" spans="1:15" x14ac:dyDescent="0.3">
      <c r="A918" t="s">
        <v>14</v>
      </c>
      <c r="B918">
        <v>30</v>
      </c>
      <c r="C918">
        <v>1</v>
      </c>
      <c r="D918">
        <v>1</v>
      </c>
      <c r="E918">
        <v>1</v>
      </c>
      <c r="F918" t="s">
        <v>43</v>
      </c>
      <c r="G918" t="s">
        <v>11</v>
      </c>
      <c r="H918" t="s">
        <v>12</v>
      </c>
      <c r="I918" t="s">
        <v>13</v>
      </c>
      <c r="J918">
        <v>1</v>
      </c>
      <c r="K918" t="s">
        <v>114</v>
      </c>
      <c r="L918" t="s">
        <v>95</v>
      </c>
      <c r="M918" t="s">
        <v>94</v>
      </c>
      <c r="N918" t="s">
        <v>116</v>
      </c>
      <c r="O918" t="s">
        <v>115</v>
      </c>
    </row>
    <row r="919" spans="1:15" x14ac:dyDescent="0.3">
      <c r="A919" t="s">
        <v>14</v>
      </c>
      <c r="B919">
        <v>33</v>
      </c>
      <c r="C919">
        <v>0</v>
      </c>
      <c r="D919">
        <v>0</v>
      </c>
      <c r="E919">
        <v>0</v>
      </c>
      <c r="F919" t="s">
        <v>40</v>
      </c>
      <c r="G919" t="s">
        <v>16</v>
      </c>
      <c r="H919" t="s">
        <v>23</v>
      </c>
      <c r="I919" t="s">
        <v>13</v>
      </c>
      <c r="J919">
        <v>0</v>
      </c>
      <c r="K919" t="s">
        <v>114</v>
      </c>
      <c r="L919" t="s">
        <v>109</v>
      </c>
      <c r="M919" t="s">
        <v>111</v>
      </c>
      <c r="N919" t="s">
        <v>112</v>
      </c>
      <c r="O919" t="s">
        <v>110</v>
      </c>
    </row>
    <row r="920" spans="1:15" x14ac:dyDescent="0.3">
      <c r="A920" t="s">
        <v>9</v>
      </c>
      <c r="B920">
        <v>61</v>
      </c>
      <c r="C920">
        <v>1</v>
      </c>
      <c r="D920">
        <v>1</v>
      </c>
      <c r="E920">
        <v>1</v>
      </c>
      <c r="F920" t="s">
        <v>35</v>
      </c>
      <c r="G920" t="s">
        <v>11</v>
      </c>
      <c r="H920" t="s">
        <v>12</v>
      </c>
      <c r="I920" t="s">
        <v>13</v>
      </c>
      <c r="J920">
        <v>1</v>
      </c>
      <c r="K920" t="s">
        <v>108</v>
      </c>
      <c r="L920" t="s">
        <v>95</v>
      </c>
      <c r="M920" t="s">
        <v>94</v>
      </c>
      <c r="N920" t="s">
        <v>116</v>
      </c>
      <c r="O920" t="s">
        <v>115</v>
      </c>
    </row>
    <row r="921" spans="1:15" x14ac:dyDescent="0.3">
      <c r="A921" t="s">
        <v>9</v>
      </c>
      <c r="B921">
        <v>47</v>
      </c>
      <c r="C921">
        <v>1</v>
      </c>
      <c r="D921">
        <v>1</v>
      </c>
      <c r="E921">
        <v>1</v>
      </c>
      <c r="F921" t="s">
        <v>22</v>
      </c>
      <c r="G921" t="s">
        <v>16</v>
      </c>
      <c r="H921" t="s">
        <v>12</v>
      </c>
      <c r="I921" t="s">
        <v>13</v>
      </c>
      <c r="J921">
        <v>1</v>
      </c>
      <c r="K921" t="s">
        <v>108</v>
      </c>
      <c r="L921" t="s">
        <v>95</v>
      </c>
      <c r="M921" t="s">
        <v>94</v>
      </c>
      <c r="N921" t="s">
        <v>116</v>
      </c>
      <c r="O921" t="s">
        <v>115</v>
      </c>
    </row>
    <row r="922" spans="1:15" x14ac:dyDescent="0.3">
      <c r="A922" t="s">
        <v>9</v>
      </c>
      <c r="B922">
        <v>52</v>
      </c>
      <c r="C922">
        <v>0</v>
      </c>
      <c r="D922">
        <v>0</v>
      </c>
      <c r="E922">
        <v>1</v>
      </c>
      <c r="F922" t="s">
        <v>46</v>
      </c>
      <c r="G922" t="s">
        <v>11</v>
      </c>
      <c r="H922" t="s">
        <v>18</v>
      </c>
      <c r="I922" t="s">
        <v>13</v>
      </c>
      <c r="J922">
        <v>0</v>
      </c>
      <c r="K922" t="s">
        <v>108</v>
      </c>
      <c r="L922" t="s">
        <v>109</v>
      </c>
      <c r="M922" t="s">
        <v>94</v>
      </c>
      <c r="N922" t="s">
        <v>112</v>
      </c>
      <c r="O922" t="s">
        <v>110</v>
      </c>
    </row>
    <row r="923" spans="1:15" x14ac:dyDescent="0.3">
      <c r="A923" t="s">
        <v>14</v>
      </c>
      <c r="B923">
        <v>59</v>
      </c>
      <c r="C923">
        <v>0</v>
      </c>
      <c r="D923">
        <v>0</v>
      </c>
      <c r="E923">
        <v>1</v>
      </c>
      <c r="F923" t="s">
        <v>52</v>
      </c>
      <c r="G923" t="s">
        <v>16</v>
      </c>
      <c r="H923" t="s">
        <v>12</v>
      </c>
      <c r="I923" t="s">
        <v>13</v>
      </c>
      <c r="J923">
        <v>0</v>
      </c>
      <c r="K923" t="s">
        <v>108</v>
      </c>
      <c r="L923" t="s">
        <v>109</v>
      </c>
      <c r="M923" t="s">
        <v>94</v>
      </c>
      <c r="N923" t="s">
        <v>112</v>
      </c>
      <c r="O923" t="s">
        <v>110</v>
      </c>
    </row>
    <row r="924" spans="1:15" x14ac:dyDescent="0.3">
      <c r="A924" t="s">
        <v>9</v>
      </c>
      <c r="B924">
        <v>29</v>
      </c>
      <c r="C924">
        <v>0</v>
      </c>
      <c r="D924">
        <v>0</v>
      </c>
      <c r="E924">
        <v>0</v>
      </c>
      <c r="F924" t="s">
        <v>44</v>
      </c>
      <c r="G924" t="s">
        <v>11</v>
      </c>
      <c r="H924" t="s">
        <v>12</v>
      </c>
      <c r="I924" t="s">
        <v>13</v>
      </c>
      <c r="J924">
        <v>0</v>
      </c>
      <c r="K924" t="s">
        <v>114</v>
      </c>
      <c r="L924" t="s">
        <v>109</v>
      </c>
      <c r="M924" t="s">
        <v>111</v>
      </c>
      <c r="N924" t="s">
        <v>112</v>
      </c>
      <c r="O924" t="s">
        <v>110</v>
      </c>
    </row>
    <row r="925" spans="1:15" x14ac:dyDescent="0.3">
      <c r="A925" t="s">
        <v>9</v>
      </c>
      <c r="B925">
        <v>50</v>
      </c>
      <c r="C925">
        <v>1</v>
      </c>
      <c r="D925">
        <v>1</v>
      </c>
      <c r="E925">
        <v>1</v>
      </c>
      <c r="F925" t="s">
        <v>38</v>
      </c>
      <c r="G925" t="s">
        <v>16</v>
      </c>
      <c r="H925" t="s">
        <v>23</v>
      </c>
      <c r="I925" t="s">
        <v>13</v>
      </c>
      <c r="J925">
        <v>1</v>
      </c>
      <c r="K925" t="s">
        <v>108</v>
      </c>
      <c r="L925" t="s">
        <v>95</v>
      </c>
      <c r="M925" t="s">
        <v>94</v>
      </c>
      <c r="N925" t="s">
        <v>116</v>
      </c>
      <c r="O925" t="s">
        <v>115</v>
      </c>
    </row>
    <row r="926" spans="1:15" x14ac:dyDescent="0.3">
      <c r="A926" t="s">
        <v>9</v>
      </c>
      <c r="B926">
        <v>56</v>
      </c>
      <c r="C926">
        <v>1</v>
      </c>
      <c r="D926">
        <v>1</v>
      </c>
      <c r="E926">
        <v>0</v>
      </c>
      <c r="F926" t="s">
        <v>44</v>
      </c>
      <c r="G926" t="s">
        <v>11</v>
      </c>
      <c r="H926" t="s">
        <v>12</v>
      </c>
      <c r="I926" t="s">
        <v>13</v>
      </c>
      <c r="J926">
        <v>1</v>
      </c>
      <c r="K926" t="s">
        <v>108</v>
      </c>
      <c r="L926" t="s">
        <v>95</v>
      </c>
      <c r="M926" t="s">
        <v>111</v>
      </c>
      <c r="N926" t="s">
        <v>116</v>
      </c>
      <c r="O926" t="s">
        <v>115</v>
      </c>
    </row>
    <row r="927" spans="1:15" x14ac:dyDescent="0.3">
      <c r="A927" t="s">
        <v>14</v>
      </c>
      <c r="B927">
        <v>55</v>
      </c>
      <c r="C927">
        <v>1</v>
      </c>
      <c r="D927">
        <v>1</v>
      </c>
      <c r="E927">
        <v>0</v>
      </c>
      <c r="F927" t="s">
        <v>41</v>
      </c>
      <c r="G927" t="s">
        <v>16</v>
      </c>
      <c r="H927" t="s">
        <v>12</v>
      </c>
      <c r="I927" t="s">
        <v>13</v>
      </c>
      <c r="J927">
        <v>1</v>
      </c>
      <c r="K927" t="s">
        <v>108</v>
      </c>
      <c r="L927" t="s">
        <v>95</v>
      </c>
      <c r="M927" t="s">
        <v>111</v>
      </c>
      <c r="N927" t="s">
        <v>116</v>
      </c>
      <c r="O927" t="s">
        <v>115</v>
      </c>
    </row>
    <row r="928" spans="1:15" x14ac:dyDescent="0.3">
      <c r="A928" t="s">
        <v>9</v>
      </c>
      <c r="B928">
        <v>44</v>
      </c>
      <c r="C928">
        <v>1</v>
      </c>
      <c r="D928">
        <v>1</v>
      </c>
      <c r="E928">
        <v>1</v>
      </c>
      <c r="F928" t="s">
        <v>33</v>
      </c>
      <c r="G928" t="s">
        <v>11</v>
      </c>
      <c r="H928" t="s">
        <v>12</v>
      </c>
      <c r="I928" t="s">
        <v>13</v>
      </c>
      <c r="J928">
        <v>1</v>
      </c>
      <c r="K928" t="s">
        <v>114</v>
      </c>
      <c r="L928" t="s">
        <v>95</v>
      </c>
      <c r="M928" t="s">
        <v>94</v>
      </c>
      <c r="N928" t="s">
        <v>116</v>
      </c>
      <c r="O928" t="s">
        <v>115</v>
      </c>
    </row>
    <row r="929" spans="1:15" x14ac:dyDescent="0.3">
      <c r="A929" t="s">
        <v>14</v>
      </c>
      <c r="B929">
        <v>37</v>
      </c>
      <c r="C929">
        <v>0</v>
      </c>
      <c r="D929">
        <v>0</v>
      </c>
      <c r="E929">
        <v>0</v>
      </c>
      <c r="F929" t="s">
        <v>33</v>
      </c>
      <c r="G929" t="s">
        <v>16</v>
      </c>
      <c r="H929" t="s">
        <v>23</v>
      </c>
      <c r="I929" t="s">
        <v>13</v>
      </c>
      <c r="J929">
        <v>0</v>
      </c>
      <c r="K929" t="s">
        <v>114</v>
      </c>
      <c r="L929" t="s">
        <v>109</v>
      </c>
      <c r="M929" t="s">
        <v>111</v>
      </c>
      <c r="N929" t="s">
        <v>112</v>
      </c>
      <c r="O929" t="s">
        <v>110</v>
      </c>
    </row>
    <row r="930" spans="1:15" x14ac:dyDescent="0.3">
      <c r="A930" t="s">
        <v>9</v>
      </c>
      <c r="B930">
        <v>42</v>
      </c>
      <c r="C930">
        <v>0</v>
      </c>
      <c r="D930">
        <v>0</v>
      </c>
      <c r="E930">
        <v>1</v>
      </c>
      <c r="F930" t="s">
        <v>44</v>
      </c>
      <c r="G930" t="s">
        <v>11</v>
      </c>
      <c r="H930" t="s">
        <v>23</v>
      </c>
      <c r="I930" t="s">
        <v>13</v>
      </c>
      <c r="J930">
        <v>0</v>
      </c>
      <c r="K930" t="s">
        <v>114</v>
      </c>
      <c r="L930" t="s">
        <v>109</v>
      </c>
      <c r="M930" t="s">
        <v>94</v>
      </c>
      <c r="N930" t="s">
        <v>112</v>
      </c>
      <c r="O930" t="s">
        <v>110</v>
      </c>
    </row>
    <row r="931" spans="1:15" x14ac:dyDescent="0.3">
      <c r="A931" t="s">
        <v>14</v>
      </c>
      <c r="B931">
        <v>8</v>
      </c>
      <c r="C931">
        <v>0</v>
      </c>
      <c r="D931">
        <v>0</v>
      </c>
      <c r="E931">
        <v>1</v>
      </c>
      <c r="F931" t="s">
        <v>22</v>
      </c>
      <c r="G931" t="s">
        <v>16</v>
      </c>
      <c r="H931" t="s">
        <v>12</v>
      </c>
      <c r="I931" t="s">
        <v>13</v>
      </c>
      <c r="J931">
        <v>0</v>
      </c>
      <c r="K931" t="s">
        <v>118</v>
      </c>
      <c r="L931" t="s">
        <v>109</v>
      </c>
      <c r="M931" t="s">
        <v>94</v>
      </c>
      <c r="N931" t="s">
        <v>112</v>
      </c>
      <c r="O931" t="s">
        <v>110</v>
      </c>
    </row>
    <row r="932" spans="1:15" x14ac:dyDescent="0.3">
      <c r="A932" t="s">
        <v>14</v>
      </c>
      <c r="B932">
        <v>40</v>
      </c>
      <c r="C932">
        <v>0</v>
      </c>
      <c r="D932">
        <v>0</v>
      </c>
      <c r="E932">
        <v>0</v>
      </c>
      <c r="F932" t="s">
        <v>34</v>
      </c>
      <c r="G932" t="s">
        <v>11</v>
      </c>
      <c r="H932" t="s">
        <v>23</v>
      </c>
      <c r="I932" t="s">
        <v>13</v>
      </c>
      <c r="J932">
        <v>0</v>
      </c>
      <c r="K932" t="s">
        <v>114</v>
      </c>
      <c r="L932" t="s">
        <v>109</v>
      </c>
      <c r="M932" t="s">
        <v>111</v>
      </c>
      <c r="N932" t="s">
        <v>112</v>
      </c>
      <c r="O932" t="s">
        <v>110</v>
      </c>
    </row>
    <row r="933" spans="1:15" x14ac:dyDescent="0.3">
      <c r="A933" t="s">
        <v>14</v>
      </c>
      <c r="B933">
        <v>56</v>
      </c>
      <c r="C933">
        <v>0</v>
      </c>
      <c r="D933">
        <v>0</v>
      </c>
      <c r="E933">
        <v>1</v>
      </c>
      <c r="F933" t="s">
        <v>21</v>
      </c>
      <c r="G933" t="s">
        <v>16</v>
      </c>
      <c r="H933" t="s">
        <v>23</v>
      </c>
      <c r="I933" t="s">
        <v>13</v>
      </c>
      <c r="J933">
        <v>0</v>
      </c>
      <c r="K933" t="s">
        <v>108</v>
      </c>
      <c r="L933" t="s">
        <v>109</v>
      </c>
      <c r="M933" t="s">
        <v>94</v>
      </c>
      <c r="N933" t="s">
        <v>112</v>
      </c>
      <c r="O933" t="s">
        <v>110</v>
      </c>
    </row>
    <row r="934" spans="1:15" x14ac:dyDescent="0.3">
      <c r="A934" t="s">
        <v>14</v>
      </c>
      <c r="B934">
        <v>60</v>
      </c>
      <c r="C934">
        <v>0</v>
      </c>
      <c r="D934">
        <v>0</v>
      </c>
      <c r="E934">
        <v>1</v>
      </c>
      <c r="F934" t="s">
        <v>32</v>
      </c>
      <c r="G934" t="s">
        <v>11</v>
      </c>
      <c r="H934" t="s">
        <v>12</v>
      </c>
      <c r="I934" t="s">
        <v>13</v>
      </c>
      <c r="J934">
        <v>0</v>
      </c>
      <c r="K934" t="s">
        <v>108</v>
      </c>
      <c r="L934" t="s">
        <v>109</v>
      </c>
      <c r="M934" t="s">
        <v>94</v>
      </c>
      <c r="N934" t="s">
        <v>112</v>
      </c>
      <c r="O934" t="s">
        <v>110</v>
      </c>
    </row>
    <row r="935" spans="1:15" x14ac:dyDescent="0.3">
      <c r="A935" t="s">
        <v>14</v>
      </c>
      <c r="B935">
        <v>26</v>
      </c>
      <c r="C935">
        <v>0</v>
      </c>
      <c r="D935">
        <v>0</v>
      </c>
      <c r="E935">
        <v>0</v>
      </c>
      <c r="F935" t="s">
        <v>19</v>
      </c>
      <c r="G935" t="s">
        <v>16</v>
      </c>
      <c r="H935" t="s">
        <v>23</v>
      </c>
      <c r="I935" t="s">
        <v>13</v>
      </c>
      <c r="J935">
        <v>0</v>
      </c>
      <c r="K935" t="s">
        <v>114</v>
      </c>
      <c r="L935" t="s">
        <v>109</v>
      </c>
      <c r="M935" t="s">
        <v>111</v>
      </c>
      <c r="N935" t="s">
        <v>112</v>
      </c>
      <c r="O935" t="s">
        <v>110</v>
      </c>
    </row>
    <row r="936" spans="1:15" x14ac:dyDescent="0.3">
      <c r="A936" t="s">
        <v>9</v>
      </c>
      <c r="B936">
        <v>65</v>
      </c>
      <c r="C936">
        <v>1</v>
      </c>
      <c r="D936">
        <v>1</v>
      </c>
      <c r="E936">
        <v>0</v>
      </c>
      <c r="F936" t="s">
        <v>27</v>
      </c>
      <c r="G936" t="s">
        <v>11</v>
      </c>
      <c r="H936" t="s">
        <v>12</v>
      </c>
      <c r="I936" t="s">
        <v>13</v>
      </c>
      <c r="J936">
        <v>1</v>
      </c>
      <c r="K936" t="s">
        <v>119</v>
      </c>
      <c r="L936" t="s">
        <v>95</v>
      </c>
      <c r="M936" t="s">
        <v>111</v>
      </c>
      <c r="N936" t="s">
        <v>116</v>
      </c>
      <c r="O936" t="s">
        <v>115</v>
      </c>
    </row>
    <row r="937" spans="1:15" x14ac:dyDescent="0.3">
      <c r="A937" t="s">
        <v>9</v>
      </c>
      <c r="B937">
        <v>33</v>
      </c>
      <c r="C937">
        <v>1</v>
      </c>
      <c r="D937">
        <v>1</v>
      </c>
      <c r="E937">
        <v>1</v>
      </c>
      <c r="F937" t="s">
        <v>47</v>
      </c>
      <c r="G937" t="s">
        <v>16</v>
      </c>
      <c r="H937" t="s">
        <v>12</v>
      </c>
      <c r="I937" t="s">
        <v>13</v>
      </c>
      <c r="J937">
        <v>1</v>
      </c>
      <c r="K937" t="s">
        <v>114</v>
      </c>
      <c r="L937" t="s">
        <v>95</v>
      </c>
      <c r="M937" t="s">
        <v>94</v>
      </c>
      <c r="N937" t="s">
        <v>116</v>
      </c>
      <c r="O937" t="s">
        <v>115</v>
      </c>
    </row>
    <row r="938" spans="1:15" x14ac:dyDescent="0.3">
      <c r="A938" t="s">
        <v>9</v>
      </c>
      <c r="B938">
        <v>20</v>
      </c>
      <c r="C938">
        <v>0</v>
      </c>
      <c r="D938">
        <v>0</v>
      </c>
      <c r="E938">
        <v>0</v>
      </c>
      <c r="F938" t="s">
        <v>51</v>
      </c>
      <c r="G938" t="s">
        <v>11</v>
      </c>
      <c r="H938" t="s">
        <v>18</v>
      </c>
      <c r="I938" t="s">
        <v>13</v>
      </c>
      <c r="J938">
        <v>0</v>
      </c>
      <c r="K938" t="s">
        <v>117</v>
      </c>
      <c r="L938" t="s">
        <v>109</v>
      </c>
      <c r="M938" t="s">
        <v>111</v>
      </c>
      <c r="N938" t="s">
        <v>112</v>
      </c>
      <c r="O938" t="s">
        <v>110</v>
      </c>
    </row>
    <row r="939" spans="1:15" x14ac:dyDescent="0.3">
      <c r="A939" t="s">
        <v>14</v>
      </c>
      <c r="B939">
        <v>20</v>
      </c>
      <c r="C939">
        <v>0</v>
      </c>
      <c r="D939">
        <v>0</v>
      </c>
      <c r="E939">
        <v>0</v>
      </c>
      <c r="F939" t="s">
        <v>45</v>
      </c>
      <c r="G939" t="s">
        <v>16</v>
      </c>
      <c r="H939" t="s">
        <v>18</v>
      </c>
      <c r="I939" t="s">
        <v>13</v>
      </c>
      <c r="J939">
        <v>0</v>
      </c>
      <c r="K939" t="s">
        <v>117</v>
      </c>
      <c r="L939" t="s">
        <v>109</v>
      </c>
      <c r="M939" t="s">
        <v>111</v>
      </c>
      <c r="N939" t="s">
        <v>112</v>
      </c>
      <c r="O939" t="s">
        <v>110</v>
      </c>
    </row>
    <row r="940" spans="1:15" x14ac:dyDescent="0.3">
      <c r="A940" t="s">
        <v>9</v>
      </c>
      <c r="B940">
        <v>54</v>
      </c>
      <c r="C940">
        <v>1</v>
      </c>
      <c r="D940">
        <v>1</v>
      </c>
      <c r="E940">
        <v>0</v>
      </c>
      <c r="F940" t="s">
        <v>49</v>
      </c>
      <c r="G940" t="s">
        <v>11</v>
      </c>
      <c r="H940" t="s">
        <v>12</v>
      </c>
      <c r="I940" t="s">
        <v>13</v>
      </c>
      <c r="J940">
        <v>1</v>
      </c>
      <c r="K940" t="s">
        <v>108</v>
      </c>
      <c r="L940" t="s">
        <v>95</v>
      </c>
      <c r="M940" t="s">
        <v>111</v>
      </c>
      <c r="N940" t="s">
        <v>116</v>
      </c>
      <c r="O940" t="s">
        <v>115</v>
      </c>
    </row>
    <row r="941" spans="1:15" x14ac:dyDescent="0.3">
      <c r="A941" t="s">
        <v>14</v>
      </c>
      <c r="B941">
        <v>22</v>
      </c>
      <c r="C941">
        <v>1</v>
      </c>
      <c r="D941">
        <v>1</v>
      </c>
      <c r="E941">
        <v>1</v>
      </c>
      <c r="F941" t="s">
        <v>44</v>
      </c>
      <c r="G941" t="s">
        <v>16</v>
      </c>
      <c r="H941" t="s">
        <v>23</v>
      </c>
      <c r="I941" t="s">
        <v>13</v>
      </c>
      <c r="J941">
        <v>1</v>
      </c>
      <c r="K941" t="s">
        <v>117</v>
      </c>
      <c r="L941" t="s">
        <v>95</v>
      </c>
      <c r="M941" t="s">
        <v>94</v>
      </c>
      <c r="N941" t="s">
        <v>116</v>
      </c>
      <c r="O941" t="s">
        <v>115</v>
      </c>
    </row>
    <row r="942" spans="1:15" x14ac:dyDescent="0.3">
      <c r="A942" t="s">
        <v>9</v>
      </c>
      <c r="B942">
        <v>16</v>
      </c>
      <c r="C942">
        <v>0</v>
      </c>
      <c r="D942">
        <v>0</v>
      </c>
      <c r="E942">
        <v>0</v>
      </c>
      <c r="F942" t="s">
        <v>17</v>
      </c>
      <c r="G942" t="s">
        <v>11</v>
      </c>
      <c r="H942" t="s">
        <v>23</v>
      </c>
      <c r="I942" t="s">
        <v>13</v>
      </c>
      <c r="J942">
        <v>0</v>
      </c>
      <c r="K942" t="s">
        <v>113</v>
      </c>
      <c r="L942" t="s">
        <v>109</v>
      </c>
      <c r="M942" t="s">
        <v>111</v>
      </c>
      <c r="N942" t="s">
        <v>112</v>
      </c>
      <c r="O942" t="s">
        <v>110</v>
      </c>
    </row>
    <row r="943" spans="1:15" x14ac:dyDescent="0.3">
      <c r="A943" t="s">
        <v>9</v>
      </c>
      <c r="B943">
        <v>37</v>
      </c>
      <c r="C943">
        <v>0</v>
      </c>
      <c r="D943">
        <v>0</v>
      </c>
      <c r="E943">
        <v>0</v>
      </c>
      <c r="F943" t="s">
        <v>51</v>
      </c>
      <c r="G943" t="s">
        <v>16</v>
      </c>
      <c r="H943" t="s">
        <v>12</v>
      </c>
      <c r="I943" t="s">
        <v>13</v>
      </c>
      <c r="J943">
        <v>0</v>
      </c>
      <c r="K943" t="s">
        <v>114</v>
      </c>
      <c r="L943" t="s">
        <v>109</v>
      </c>
      <c r="M943" t="s">
        <v>111</v>
      </c>
      <c r="N943" t="s">
        <v>112</v>
      </c>
      <c r="O943" t="s">
        <v>110</v>
      </c>
    </row>
    <row r="944" spans="1:15" x14ac:dyDescent="0.3">
      <c r="A944" t="s">
        <v>9</v>
      </c>
      <c r="B944">
        <v>26</v>
      </c>
      <c r="C944">
        <v>0</v>
      </c>
      <c r="D944">
        <v>0</v>
      </c>
      <c r="E944">
        <v>1</v>
      </c>
      <c r="F944" t="s">
        <v>43</v>
      </c>
      <c r="G944" t="s">
        <v>11</v>
      </c>
      <c r="H944" t="s">
        <v>23</v>
      </c>
      <c r="I944" t="s">
        <v>13</v>
      </c>
      <c r="J944">
        <v>0</v>
      </c>
      <c r="K944" t="s">
        <v>114</v>
      </c>
      <c r="L944" t="s">
        <v>109</v>
      </c>
      <c r="M944" t="s">
        <v>94</v>
      </c>
      <c r="N944" t="s">
        <v>112</v>
      </c>
      <c r="O944" t="s">
        <v>110</v>
      </c>
    </row>
    <row r="945" spans="1:15" x14ac:dyDescent="0.3">
      <c r="A945" t="s">
        <v>9</v>
      </c>
      <c r="B945">
        <v>27</v>
      </c>
      <c r="C945">
        <v>0</v>
      </c>
      <c r="D945">
        <v>0</v>
      </c>
      <c r="E945">
        <v>0</v>
      </c>
      <c r="F945" t="s">
        <v>40</v>
      </c>
      <c r="G945" t="s">
        <v>16</v>
      </c>
      <c r="H945" t="s">
        <v>23</v>
      </c>
      <c r="I945" t="s">
        <v>13</v>
      </c>
      <c r="J945">
        <v>0</v>
      </c>
      <c r="K945" t="s">
        <v>114</v>
      </c>
      <c r="L945" t="s">
        <v>109</v>
      </c>
      <c r="M945" t="s">
        <v>111</v>
      </c>
      <c r="N945" t="s">
        <v>112</v>
      </c>
      <c r="O945" t="s">
        <v>110</v>
      </c>
    </row>
    <row r="946" spans="1:15" x14ac:dyDescent="0.3">
      <c r="A946" t="s">
        <v>9</v>
      </c>
      <c r="B946">
        <v>10</v>
      </c>
      <c r="C946">
        <v>0</v>
      </c>
      <c r="D946">
        <v>0</v>
      </c>
      <c r="E946">
        <v>0</v>
      </c>
      <c r="F946" t="s">
        <v>49</v>
      </c>
      <c r="G946" t="s">
        <v>11</v>
      </c>
      <c r="H946" t="s">
        <v>12</v>
      </c>
      <c r="I946" t="s">
        <v>13</v>
      </c>
      <c r="J946">
        <v>0</v>
      </c>
      <c r="K946" t="s">
        <v>118</v>
      </c>
      <c r="L946" t="s">
        <v>109</v>
      </c>
      <c r="M946" t="s">
        <v>111</v>
      </c>
      <c r="N946" t="s">
        <v>112</v>
      </c>
      <c r="O946" t="s">
        <v>110</v>
      </c>
    </row>
    <row r="947" spans="1:15" x14ac:dyDescent="0.3">
      <c r="A947" t="s">
        <v>9</v>
      </c>
      <c r="B947">
        <v>15</v>
      </c>
      <c r="C947">
        <v>0</v>
      </c>
      <c r="D947">
        <v>0</v>
      </c>
      <c r="E947">
        <v>0</v>
      </c>
      <c r="F947" t="s">
        <v>36</v>
      </c>
      <c r="G947" t="s">
        <v>16</v>
      </c>
      <c r="H947" t="s">
        <v>12</v>
      </c>
      <c r="I947" t="s">
        <v>13</v>
      </c>
      <c r="J947">
        <v>0</v>
      </c>
      <c r="K947" t="s">
        <v>113</v>
      </c>
      <c r="L947" t="s">
        <v>109</v>
      </c>
      <c r="M947" t="s">
        <v>111</v>
      </c>
      <c r="N947" t="s">
        <v>112</v>
      </c>
      <c r="O947" t="s">
        <v>110</v>
      </c>
    </row>
    <row r="948" spans="1:15" x14ac:dyDescent="0.3">
      <c r="A948" t="s">
        <v>9</v>
      </c>
      <c r="B948">
        <v>17</v>
      </c>
      <c r="C948">
        <v>0</v>
      </c>
      <c r="D948">
        <v>0</v>
      </c>
      <c r="E948">
        <v>0</v>
      </c>
      <c r="F948" t="s">
        <v>35</v>
      </c>
      <c r="G948" t="s">
        <v>11</v>
      </c>
      <c r="H948" t="s">
        <v>23</v>
      </c>
      <c r="I948" t="s">
        <v>13</v>
      </c>
      <c r="J948">
        <v>0</v>
      </c>
      <c r="K948" t="s">
        <v>113</v>
      </c>
      <c r="L948" t="s">
        <v>109</v>
      </c>
      <c r="M948" t="s">
        <v>111</v>
      </c>
      <c r="N948" t="s">
        <v>112</v>
      </c>
      <c r="O948" t="s">
        <v>110</v>
      </c>
    </row>
    <row r="949" spans="1:15" x14ac:dyDescent="0.3">
      <c r="A949" t="s">
        <v>9</v>
      </c>
      <c r="B949">
        <v>61</v>
      </c>
      <c r="C949">
        <v>1</v>
      </c>
      <c r="D949">
        <v>1</v>
      </c>
      <c r="E949">
        <v>1</v>
      </c>
      <c r="F949" t="s">
        <v>10</v>
      </c>
      <c r="G949" t="s">
        <v>16</v>
      </c>
      <c r="H949" t="s">
        <v>12</v>
      </c>
      <c r="I949" t="s">
        <v>13</v>
      </c>
      <c r="J949">
        <v>1</v>
      </c>
      <c r="K949" t="s">
        <v>108</v>
      </c>
      <c r="L949" t="s">
        <v>95</v>
      </c>
      <c r="M949" t="s">
        <v>94</v>
      </c>
      <c r="N949" t="s">
        <v>116</v>
      </c>
      <c r="O949" t="s">
        <v>115</v>
      </c>
    </row>
    <row r="950" spans="1:15" x14ac:dyDescent="0.3">
      <c r="A950" t="s">
        <v>14</v>
      </c>
      <c r="B950">
        <v>35</v>
      </c>
      <c r="C950">
        <v>1</v>
      </c>
      <c r="D950">
        <v>1</v>
      </c>
      <c r="E950">
        <v>1</v>
      </c>
      <c r="F950" t="s">
        <v>28</v>
      </c>
      <c r="G950" t="s">
        <v>11</v>
      </c>
      <c r="H950" t="s">
        <v>18</v>
      </c>
      <c r="I950" t="s">
        <v>13</v>
      </c>
      <c r="J950">
        <v>1</v>
      </c>
      <c r="K950" t="s">
        <v>114</v>
      </c>
      <c r="L950" t="s">
        <v>95</v>
      </c>
      <c r="M950" t="s">
        <v>94</v>
      </c>
      <c r="N950" t="s">
        <v>116</v>
      </c>
      <c r="O950" t="s">
        <v>115</v>
      </c>
    </row>
    <row r="951" spans="1:15" x14ac:dyDescent="0.3">
      <c r="A951" t="s">
        <v>9</v>
      </c>
      <c r="B951">
        <v>55</v>
      </c>
      <c r="C951">
        <v>1</v>
      </c>
      <c r="D951">
        <v>1</v>
      </c>
      <c r="E951">
        <v>1</v>
      </c>
      <c r="F951" t="s">
        <v>51</v>
      </c>
      <c r="G951" t="s">
        <v>16</v>
      </c>
      <c r="H951" t="s">
        <v>18</v>
      </c>
      <c r="I951" t="s">
        <v>13</v>
      </c>
      <c r="J951">
        <v>1</v>
      </c>
      <c r="K951" t="s">
        <v>108</v>
      </c>
      <c r="L951" t="s">
        <v>95</v>
      </c>
      <c r="M951" t="s">
        <v>94</v>
      </c>
      <c r="N951" t="s">
        <v>116</v>
      </c>
      <c r="O951" t="s">
        <v>115</v>
      </c>
    </row>
    <row r="952" spans="1:15" x14ac:dyDescent="0.3">
      <c r="A952" t="s">
        <v>9</v>
      </c>
      <c r="B952">
        <v>16</v>
      </c>
      <c r="C952">
        <v>1</v>
      </c>
      <c r="D952">
        <v>1</v>
      </c>
      <c r="E952">
        <v>1</v>
      </c>
      <c r="F952" t="s">
        <v>42</v>
      </c>
      <c r="G952" t="s">
        <v>11</v>
      </c>
      <c r="H952" t="s">
        <v>18</v>
      </c>
      <c r="I952" t="s">
        <v>13</v>
      </c>
      <c r="J952">
        <v>1</v>
      </c>
      <c r="K952" t="s">
        <v>113</v>
      </c>
      <c r="L952" t="s">
        <v>95</v>
      </c>
      <c r="M952" t="s">
        <v>94</v>
      </c>
      <c r="N952" t="s">
        <v>116</v>
      </c>
      <c r="O952" t="s">
        <v>115</v>
      </c>
    </row>
    <row r="953" spans="1:15" x14ac:dyDescent="0.3">
      <c r="A953" t="s">
        <v>14</v>
      </c>
      <c r="B953">
        <v>52</v>
      </c>
      <c r="C953">
        <v>0</v>
      </c>
      <c r="D953">
        <v>0</v>
      </c>
      <c r="E953">
        <v>0</v>
      </c>
      <c r="F953" t="s">
        <v>49</v>
      </c>
      <c r="G953" t="s">
        <v>16</v>
      </c>
      <c r="H953" t="s">
        <v>12</v>
      </c>
      <c r="I953" t="s">
        <v>13</v>
      </c>
      <c r="J953">
        <v>0</v>
      </c>
      <c r="K953" t="s">
        <v>108</v>
      </c>
      <c r="L953" t="s">
        <v>109</v>
      </c>
      <c r="M953" t="s">
        <v>111</v>
      </c>
      <c r="N953" t="s">
        <v>112</v>
      </c>
      <c r="O953" t="s">
        <v>110</v>
      </c>
    </row>
    <row r="954" spans="1:15" x14ac:dyDescent="0.3">
      <c r="A954" t="s">
        <v>9</v>
      </c>
      <c r="B954">
        <v>50</v>
      </c>
      <c r="C954">
        <v>0</v>
      </c>
      <c r="D954">
        <v>0</v>
      </c>
      <c r="E954">
        <v>0</v>
      </c>
      <c r="F954" t="s">
        <v>19</v>
      </c>
      <c r="G954" t="s">
        <v>11</v>
      </c>
      <c r="H954" t="s">
        <v>18</v>
      </c>
      <c r="I954" t="s">
        <v>13</v>
      </c>
      <c r="J954">
        <v>0</v>
      </c>
      <c r="K954" t="s">
        <v>108</v>
      </c>
      <c r="L954" t="s">
        <v>109</v>
      </c>
      <c r="M954" t="s">
        <v>111</v>
      </c>
      <c r="N954" t="s">
        <v>112</v>
      </c>
      <c r="O954" t="s">
        <v>110</v>
      </c>
    </row>
    <row r="955" spans="1:15" x14ac:dyDescent="0.3">
      <c r="A955" t="s">
        <v>9</v>
      </c>
      <c r="B955">
        <v>23</v>
      </c>
      <c r="C955">
        <v>1</v>
      </c>
      <c r="D955">
        <v>1</v>
      </c>
      <c r="E955">
        <v>1</v>
      </c>
      <c r="F955" t="s">
        <v>25</v>
      </c>
      <c r="G955" t="s">
        <v>16</v>
      </c>
      <c r="H955" t="s">
        <v>23</v>
      </c>
      <c r="I955" t="s">
        <v>13</v>
      </c>
      <c r="J955">
        <v>1</v>
      </c>
      <c r="K955" t="s">
        <v>117</v>
      </c>
      <c r="L955" t="s">
        <v>95</v>
      </c>
      <c r="M955" t="s">
        <v>94</v>
      </c>
      <c r="N955" t="s">
        <v>116</v>
      </c>
      <c r="O955" t="s">
        <v>115</v>
      </c>
    </row>
    <row r="956" spans="1:15" x14ac:dyDescent="0.3">
      <c r="A956" t="s">
        <v>14</v>
      </c>
      <c r="B956">
        <v>64</v>
      </c>
      <c r="C956">
        <v>1</v>
      </c>
      <c r="D956">
        <v>1</v>
      </c>
      <c r="E956">
        <v>0</v>
      </c>
      <c r="F956" t="s">
        <v>43</v>
      </c>
      <c r="G956" t="s">
        <v>11</v>
      </c>
      <c r="H956" t="s">
        <v>12</v>
      </c>
      <c r="I956" t="s">
        <v>13</v>
      </c>
      <c r="J956">
        <v>1</v>
      </c>
      <c r="K956" t="s">
        <v>108</v>
      </c>
      <c r="L956" t="s">
        <v>95</v>
      </c>
      <c r="M956" t="s">
        <v>111</v>
      </c>
      <c r="N956" t="s">
        <v>116</v>
      </c>
      <c r="O956" t="s">
        <v>115</v>
      </c>
    </row>
    <row r="957" spans="1:15" x14ac:dyDescent="0.3">
      <c r="A957" t="s">
        <v>9</v>
      </c>
      <c r="B957">
        <v>50</v>
      </c>
      <c r="C957">
        <v>0</v>
      </c>
      <c r="D957">
        <v>0</v>
      </c>
      <c r="E957">
        <v>0</v>
      </c>
      <c r="F957" t="s">
        <v>51</v>
      </c>
      <c r="G957" t="s">
        <v>16</v>
      </c>
      <c r="H957" t="s">
        <v>23</v>
      </c>
      <c r="I957" t="s">
        <v>13</v>
      </c>
      <c r="J957">
        <v>0</v>
      </c>
      <c r="K957" t="s">
        <v>108</v>
      </c>
      <c r="L957" t="s">
        <v>109</v>
      </c>
      <c r="M957" t="s">
        <v>111</v>
      </c>
      <c r="N957" t="s">
        <v>112</v>
      </c>
      <c r="O957" t="s">
        <v>110</v>
      </c>
    </row>
    <row r="958" spans="1:15" x14ac:dyDescent="0.3">
      <c r="A958" t="s">
        <v>9</v>
      </c>
      <c r="B958">
        <v>8</v>
      </c>
      <c r="C958">
        <v>0</v>
      </c>
      <c r="D958">
        <v>1</v>
      </c>
      <c r="E958">
        <v>0</v>
      </c>
      <c r="F958" t="s">
        <v>45</v>
      </c>
      <c r="G958" t="s">
        <v>16</v>
      </c>
      <c r="H958" t="s">
        <v>18</v>
      </c>
      <c r="I958" t="s">
        <v>13</v>
      </c>
      <c r="J958">
        <v>1</v>
      </c>
      <c r="K958" t="s">
        <v>118</v>
      </c>
      <c r="L958" t="s">
        <v>95</v>
      </c>
      <c r="M958" t="s">
        <v>111</v>
      </c>
      <c r="N958" t="s">
        <v>112</v>
      </c>
      <c r="O958" t="s">
        <v>115</v>
      </c>
    </row>
    <row r="959" spans="1:15" x14ac:dyDescent="0.3">
      <c r="A959" t="s">
        <v>9</v>
      </c>
      <c r="B959">
        <v>37</v>
      </c>
      <c r="C959">
        <v>0</v>
      </c>
      <c r="D959">
        <v>0</v>
      </c>
      <c r="E959">
        <v>1</v>
      </c>
      <c r="F959" t="s">
        <v>29</v>
      </c>
      <c r="G959" t="s">
        <v>16</v>
      </c>
      <c r="H959" t="s">
        <v>23</v>
      </c>
      <c r="I959" t="s">
        <v>13</v>
      </c>
      <c r="J959">
        <v>0</v>
      </c>
      <c r="K959" t="s">
        <v>114</v>
      </c>
      <c r="L959" t="s">
        <v>109</v>
      </c>
      <c r="M959" t="s">
        <v>94</v>
      </c>
      <c r="N959" t="s">
        <v>112</v>
      </c>
      <c r="O959" t="s">
        <v>110</v>
      </c>
    </row>
    <row r="960" spans="1:15" x14ac:dyDescent="0.3">
      <c r="A960" t="s">
        <v>9</v>
      </c>
      <c r="B960">
        <v>63</v>
      </c>
      <c r="C960">
        <v>0</v>
      </c>
      <c r="D960">
        <v>0</v>
      </c>
      <c r="E960">
        <v>0</v>
      </c>
      <c r="F960" t="s">
        <v>51</v>
      </c>
      <c r="G960" t="s">
        <v>11</v>
      </c>
      <c r="H960" t="s">
        <v>18</v>
      </c>
      <c r="I960" t="s">
        <v>13</v>
      </c>
      <c r="J960">
        <v>0</v>
      </c>
      <c r="K960" t="s">
        <v>108</v>
      </c>
      <c r="L960" t="s">
        <v>109</v>
      </c>
      <c r="M960" t="s">
        <v>111</v>
      </c>
      <c r="N960" t="s">
        <v>112</v>
      </c>
      <c r="O960" t="s">
        <v>110</v>
      </c>
    </row>
    <row r="961" spans="1:15" x14ac:dyDescent="0.3">
      <c r="A961" t="s">
        <v>9</v>
      </c>
      <c r="B961">
        <v>45</v>
      </c>
      <c r="C961">
        <v>0</v>
      </c>
      <c r="D961">
        <v>0</v>
      </c>
      <c r="E961">
        <v>0</v>
      </c>
      <c r="F961" t="s">
        <v>35</v>
      </c>
      <c r="G961" t="s">
        <v>16</v>
      </c>
      <c r="H961" t="s">
        <v>18</v>
      </c>
      <c r="I961" t="s">
        <v>13</v>
      </c>
      <c r="J961">
        <v>0</v>
      </c>
      <c r="K961" t="s">
        <v>108</v>
      </c>
      <c r="L961" t="s">
        <v>109</v>
      </c>
      <c r="M961" t="s">
        <v>111</v>
      </c>
      <c r="N961" t="s">
        <v>112</v>
      </c>
      <c r="O961" t="s">
        <v>110</v>
      </c>
    </row>
    <row r="962" spans="1:15" x14ac:dyDescent="0.3">
      <c r="A962" t="s">
        <v>9</v>
      </c>
      <c r="B962">
        <v>26</v>
      </c>
      <c r="C962">
        <v>0</v>
      </c>
      <c r="D962">
        <v>0</v>
      </c>
      <c r="E962">
        <v>0</v>
      </c>
      <c r="F962" t="s">
        <v>52</v>
      </c>
      <c r="G962" t="s">
        <v>11</v>
      </c>
      <c r="H962" t="s">
        <v>12</v>
      </c>
      <c r="I962" t="s">
        <v>13</v>
      </c>
      <c r="J962">
        <v>0</v>
      </c>
      <c r="K962" t="s">
        <v>114</v>
      </c>
      <c r="L962" t="s">
        <v>109</v>
      </c>
      <c r="M962" t="s">
        <v>111</v>
      </c>
      <c r="N962" t="s">
        <v>112</v>
      </c>
      <c r="O962" t="s">
        <v>110</v>
      </c>
    </row>
    <row r="963" spans="1:15" x14ac:dyDescent="0.3">
      <c r="A963" t="s">
        <v>9</v>
      </c>
      <c r="B963">
        <v>24</v>
      </c>
      <c r="C963">
        <v>0</v>
      </c>
      <c r="D963">
        <v>0</v>
      </c>
      <c r="E963">
        <v>0</v>
      </c>
      <c r="F963" t="s">
        <v>44</v>
      </c>
      <c r="G963" t="s">
        <v>16</v>
      </c>
      <c r="H963" t="s">
        <v>18</v>
      </c>
      <c r="I963" t="s">
        <v>13</v>
      </c>
      <c r="J963">
        <v>0</v>
      </c>
      <c r="K963" t="s">
        <v>117</v>
      </c>
      <c r="L963" t="s">
        <v>109</v>
      </c>
      <c r="M963" t="s">
        <v>111</v>
      </c>
      <c r="N963" t="s">
        <v>112</v>
      </c>
      <c r="O963" t="s">
        <v>110</v>
      </c>
    </row>
    <row r="964" spans="1:15" x14ac:dyDescent="0.3">
      <c r="A964" t="s">
        <v>14</v>
      </c>
      <c r="B964">
        <v>31</v>
      </c>
      <c r="C964">
        <v>1</v>
      </c>
      <c r="D964">
        <v>1</v>
      </c>
      <c r="E964">
        <v>0</v>
      </c>
      <c r="F964" t="s">
        <v>46</v>
      </c>
      <c r="G964" t="s">
        <v>11</v>
      </c>
      <c r="H964" t="s">
        <v>23</v>
      </c>
      <c r="I964" t="s">
        <v>13</v>
      </c>
      <c r="J964">
        <v>1</v>
      </c>
      <c r="K964" t="s">
        <v>114</v>
      </c>
      <c r="L964" t="s">
        <v>95</v>
      </c>
      <c r="M964" t="s">
        <v>111</v>
      </c>
      <c r="N964" t="s">
        <v>116</v>
      </c>
      <c r="O964" t="s">
        <v>115</v>
      </c>
    </row>
    <row r="965" spans="1:15" x14ac:dyDescent="0.3">
      <c r="A965" t="s">
        <v>9</v>
      </c>
      <c r="B965">
        <v>54</v>
      </c>
      <c r="C965">
        <v>0</v>
      </c>
      <c r="D965">
        <v>0</v>
      </c>
      <c r="E965">
        <v>1</v>
      </c>
      <c r="F965" t="s">
        <v>24</v>
      </c>
      <c r="G965" t="s">
        <v>16</v>
      </c>
      <c r="H965" t="s">
        <v>23</v>
      </c>
      <c r="I965" t="s">
        <v>13</v>
      </c>
      <c r="J965">
        <v>0</v>
      </c>
      <c r="K965" t="s">
        <v>108</v>
      </c>
      <c r="L965" t="s">
        <v>109</v>
      </c>
      <c r="M965" t="s">
        <v>94</v>
      </c>
      <c r="N965" t="s">
        <v>112</v>
      </c>
      <c r="O965" t="s">
        <v>110</v>
      </c>
    </row>
    <row r="966" spans="1:15" x14ac:dyDescent="0.3">
      <c r="A966" t="s">
        <v>14</v>
      </c>
      <c r="B966">
        <v>60</v>
      </c>
      <c r="C966">
        <v>1</v>
      </c>
      <c r="D966">
        <v>1</v>
      </c>
      <c r="E966">
        <v>1</v>
      </c>
      <c r="F966" t="s">
        <v>34</v>
      </c>
      <c r="G966" t="s">
        <v>11</v>
      </c>
      <c r="H966" t="s">
        <v>12</v>
      </c>
      <c r="I966" t="s">
        <v>13</v>
      </c>
      <c r="J966">
        <v>1</v>
      </c>
      <c r="K966" t="s">
        <v>108</v>
      </c>
      <c r="L966" t="s">
        <v>95</v>
      </c>
      <c r="M966" t="s">
        <v>94</v>
      </c>
      <c r="N966" t="s">
        <v>116</v>
      </c>
      <c r="O966" t="s">
        <v>115</v>
      </c>
    </row>
    <row r="967" spans="1:15" x14ac:dyDescent="0.3">
      <c r="A967" t="s">
        <v>14</v>
      </c>
      <c r="B967">
        <v>61</v>
      </c>
      <c r="C967">
        <v>1</v>
      </c>
      <c r="D967">
        <v>1</v>
      </c>
      <c r="E967">
        <v>1</v>
      </c>
      <c r="F967" t="s">
        <v>20</v>
      </c>
      <c r="G967" t="s">
        <v>16</v>
      </c>
      <c r="H967" t="s">
        <v>12</v>
      </c>
      <c r="I967" t="s">
        <v>13</v>
      </c>
      <c r="J967">
        <v>1</v>
      </c>
      <c r="K967" t="s">
        <v>108</v>
      </c>
      <c r="L967" t="s">
        <v>95</v>
      </c>
      <c r="M967" t="s">
        <v>94</v>
      </c>
      <c r="N967" t="s">
        <v>116</v>
      </c>
      <c r="O967" t="s">
        <v>115</v>
      </c>
    </row>
    <row r="968" spans="1:15" x14ac:dyDescent="0.3">
      <c r="A968" t="s">
        <v>14</v>
      </c>
      <c r="B968">
        <v>58</v>
      </c>
      <c r="C968">
        <v>0</v>
      </c>
      <c r="D968">
        <v>1</v>
      </c>
      <c r="E968">
        <v>0</v>
      </c>
      <c r="F968" t="s">
        <v>39</v>
      </c>
      <c r="G968" t="s">
        <v>11</v>
      </c>
      <c r="H968" t="s">
        <v>23</v>
      </c>
      <c r="I968" t="s">
        <v>13</v>
      </c>
      <c r="J968">
        <v>1</v>
      </c>
      <c r="K968" t="s">
        <v>108</v>
      </c>
      <c r="L968" t="s">
        <v>95</v>
      </c>
      <c r="M968" t="s">
        <v>111</v>
      </c>
      <c r="N968" t="s">
        <v>112</v>
      </c>
      <c r="O968" t="s">
        <v>115</v>
      </c>
    </row>
    <row r="969" spans="1:15" x14ac:dyDescent="0.3">
      <c r="A969" t="s">
        <v>9</v>
      </c>
      <c r="B969">
        <v>39</v>
      </c>
      <c r="C969">
        <v>0</v>
      </c>
      <c r="D969">
        <v>0</v>
      </c>
      <c r="E969">
        <v>1</v>
      </c>
      <c r="F969" t="s">
        <v>41</v>
      </c>
      <c r="G969" t="s">
        <v>16</v>
      </c>
      <c r="H969" t="s">
        <v>23</v>
      </c>
      <c r="I969" t="s">
        <v>13</v>
      </c>
      <c r="J969">
        <v>0</v>
      </c>
      <c r="K969" t="s">
        <v>114</v>
      </c>
      <c r="L969" t="s">
        <v>109</v>
      </c>
      <c r="M969" t="s">
        <v>94</v>
      </c>
      <c r="N969" t="s">
        <v>112</v>
      </c>
      <c r="O969" t="s">
        <v>110</v>
      </c>
    </row>
    <row r="970" spans="1:15" x14ac:dyDescent="0.3">
      <c r="A970" t="s">
        <v>9</v>
      </c>
      <c r="B970">
        <v>30</v>
      </c>
      <c r="C970">
        <v>0</v>
      </c>
      <c r="D970">
        <v>0</v>
      </c>
      <c r="E970">
        <v>1</v>
      </c>
      <c r="F970" t="s">
        <v>42</v>
      </c>
      <c r="G970" t="s">
        <v>11</v>
      </c>
      <c r="H970" t="s">
        <v>18</v>
      </c>
      <c r="I970" t="s">
        <v>13</v>
      </c>
      <c r="J970">
        <v>0</v>
      </c>
      <c r="K970" t="s">
        <v>114</v>
      </c>
      <c r="L970" t="s">
        <v>109</v>
      </c>
      <c r="M970" t="s">
        <v>94</v>
      </c>
      <c r="N970" t="s">
        <v>112</v>
      </c>
      <c r="O970" t="s">
        <v>110</v>
      </c>
    </row>
    <row r="971" spans="1:15" x14ac:dyDescent="0.3">
      <c r="A971" t="s">
        <v>14</v>
      </c>
      <c r="B971">
        <v>57</v>
      </c>
      <c r="C971">
        <v>1</v>
      </c>
      <c r="D971">
        <v>1</v>
      </c>
      <c r="E971">
        <v>0</v>
      </c>
      <c r="F971" t="s">
        <v>37</v>
      </c>
      <c r="G971" t="s">
        <v>16</v>
      </c>
      <c r="H971" t="s">
        <v>18</v>
      </c>
      <c r="I971" t="s">
        <v>13</v>
      </c>
      <c r="J971">
        <v>1</v>
      </c>
      <c r="K971" t="s">
        <v>108</v>
      </c>
      <c r="L971" t="s">
        <v>95</v>
      </c>
      <c r="M971" t="s">
        <v>111</v>
      </c>
      <c r="N971" t="s">
        <v>116</v>
      </c>
      <c r="O971" t="s">
        <v>115</v>
      </c>
    </row>
    <row r="972" spans="1:15" x14ac:dyDescent="0.3">
      <c r="A972" t="s">
        <v>9</v>
      </c>
      <c r="B972">
        <v>40</v>
      </c>
      <c r="C972">
        <v>1</v>
      </c>
      <c r="D972">
        <v>1</v>
      </c>
      <c r="E972">
        <v>0</v>
      </c>
      <c r="F972" t="s">
        <v>17</v>
      </c>
      <c r="G972" t="s">
        <v>11</v>
      </c>
      <c r="H972" t="s">
        <v>23</v>
      </c>
      <c r="I972" t="s">
        <v>13</v>
      </c>
      <c r="J972">
        <v>1</v>
      </c>
      <c r="K972" t="s">
        <v>114</v>
      </c>
      <c r="L972" t="s">
        <v>95</v>
      </c>
      <c r="M972" t="s">
        <v>111</v>
      </c>
      <c r="N972" t="s">
        <v>116</v>
      </c>
      <c r="O972" t="s">
        <v>115</v>
      </c>
    </row>
    <row r="973" spans="1:15" x14ac:dyDescent="0.3">
      <c r="A973" t="s">
        <v>14</v>
      </c>
      <c r="B973">
        <v>39</v>
      </c>
      <c r="C973">
        <v>0</v>
      </c>
      <c r="D973">
        <v>0</v>
      </c>
      <c r="E973">
        <v>0</v>
      </c>
      <c r="F973" t="s">
        <v>50</v>
      </c>
      <c r="G973" t="s">
        <v>16</v>
      </c>
      <c r="H973" t="s">
        <v>12</v>
      </c>
      <c r="I973" t="s">
        <v>13</v>
      </c>
      <c r="J973">
        <v>0</v>
      </c>
      <c r="K973" t="s">
        <v>114</v>
      </c>
      <c r="L973" t="s">
        <v>109</v>
      </c>
      <c r="M973" t="s">
        <v>111</v>
      </c>
      <c r="N973" t="s">
        <v>112</v>
      </c>
      <c r="O973" t="s">
        <v>110</v>
      </c>
    </row>
    <row r="974" spans="1:15" x14ac:dyDescent="0.3">
      <c r="A974" t="s">
        <v>9</v>
      </c>
      <c r="B974">
        <v>9</v>
      </c>
      <c r="C974">
        <v>1</v>
      </c>
      <c r="D974">
        <v>1</v>
      </c>
      <c r="E974">
        <v>1</v>
      </c>
      <c r="F974" t="s">
        <v>50</v>
      </c>
      <c r="G974" t="s">
        <v>11</v>
      </c>
      <c r="H974" t="s">
        <v>18</v>
      </c>
      <c r="I974" t="s">
        <v>13</v>
      </c>
      <c r="J974">
        <v>1</v>
      </c>
      <c r="K974" t="s">
        <v>118</v>
      </c>
      <c r="L974" t="s">
        <v>95</v>
      </c>
      <c r="M974" t="s">
        <v>94</v>
      </c>
      <c r="N974" t="s">
        <v>116</v>
      </c>
      <c r="O974" t="s">
        <v>115</v>
      </c>
    </row>
    <row r="975" spans="1:15" x14ac:dyDescent="0.3">
      <c r="A975" t="s">
        <v>14</v>
      </c>
      <c r="B975">
        <v>26</v>
      </c>
      <c r="C975">
        <v>0</v>
      </c>
      <c r="D975">
        <v>1</v>
      </c>
      <c r="E975">
        <v>0</v>
      </c>
      <c r="F975" t="s">
        <v>34</v>
      </c>
      <c r="G975" t="s">
        <v>16</v>
      </c>
      <c r="H975" t="s">
        <v>18</v>
      </c>
      <c r="I975" t="s">
        <v>13</v>
      </c>
      <c r="J975">
        <v>1</v>
      </c>
      <c r="K975" t="s">
        <v>114</v>
      </c>
      <c r="L975" t="s">
        <v>95</v>
      </c>
      <c r="M975" t="s">
        <v>111</v>
      </c>
      <c r="N975" t="s">
        <v>112</v>
      </c>
      <c r="O975" t="s">
        <v>115</v>
      </c>
    </row>
    <row r="976" spans="1:15" x14ac:dyDescent="0.3">
      <c r="A976" t="s">
        <v>9</v>
      </c>
      <c r="B976">
        <v>40</v>
      </c>
      <c r="C976">
        <v>1</v>
      </c>
      <c r="D976">
        <v>1</v>
      </c>
      <c r="E976">
        <v>0</v>
      </c>
      <c r="F976" t="s">
        <v>47</v>
      </c>
      <c r="G976" t="s">
        <v>11</v>
      </c>
      <c r="H976" t="s">
        <v>12</v>
      </c>
      <c r="I976" t="s">
        <v>13</v>
      </c>
      <c r="J976">
        <v>1</v>
      </c>
      <c r="K976" t="s">
        <v>114</v>
      </c>
      <c r="L976" t="s">
        <v>95</v>
      </c>
      <c r="M976" t="s">
        <v>111</v>
      </c>
      <c r="N976" t="s">
        <v>116</v>
      </c>
      <c r="O976" t="s">
        <v>115</v>
      </c>
    </row>
    <row r="977" spans="1:15" x14ac:dyDescent="0.3">
      <c r="A977" t="s">
        <v>14</v>
      </c>
      <c r="B977">
        <v>49</v>
      </c>
      <c r="C977">
        <v>1</v>
      </c>
      <c r="D977">
        <v>1</v>
      </c>
      <c r="E977">
        <v>1</v>
      </c>
      <c r="F977" t="s">
        <v>22</v>
      </c>
      <c r="G977" t="s">
        <v>16</v>
      </c>
      <c r="H977" t="s">
        <v>18</v>
      </c>
      <c r="I977" t="s">
        <v>13</v>
      </c>
      <c r="J977">
        <v>1</v>
      </c>
      <c r="K977" t="s">
        <v>108</v>
      </c>
      <c r="L977" t="s">
        <v>95</v>
      </c>
      <c r="M977" t="s">
        <v>94</v>
      </c>
      <c r="N977" t="s">
        <v>116</v>
      </c>
      <c r="O977" t="s">
        <v>115</v>
      </c>
    </row>
    <row r="978" spans="1:15" x14ac:dyDescent="0.3">
      <c r="A978" t="s">
        <v>9</v>
      </c>
      <c r="B978">
        <v>29</v>
      </c>
      <c r="C978">
        <v>0</v>
      </c>
      <c r="D978">
        <v>0</v>
      </c>
      <c r="E978">
        <v>1</v>
      </c>
      <c r="F978" t="s">
        <v>32</v>
      </c>
      <c r="G978" t="s">
        <v>11</v>
      </c>
      <c r="H978" t="s">
        <v>23</v>
      </c>
      <c r="I978" t="s">
        <v>13</v>
      </c>
      <c r="J978">
        <v>0</v>
      </c>
      <c r="K978" t="s">
        <v>114</v>
      </c>
      <c r="L978" t="s">
        <v>109</v>
      </c>
      <c r="M978" t="s">
        <v>94</v>
      </c>
      <c r="N978" t="s">
        <v>112</v>
      </c>
      <c r="O978" t="s">
        <v>110</v>
      </c>
    </row>
    <row r="979" spans="1:15" x14ac:dyDescent="0.3">
      <c r="A979" t="s">
        <v>9</v>
      </c>
      <c r="B979">
        <v>38</v>
      </c>
      <c r="C979">
        <v>1</v>
      </c>
      <c r="D979">
        <v>1</v>
      </c>
      <c r="E979">
        <v>0</v>
      </c>
      <c r="F979" t="s">
        <v>44</v>
      </c>
      <c r="G979" t="s">
        <v>16</v>
      </c>
      <c r="H979" t="s">
        <v>18</v>
      </c>
      <c r="I979" t="s">
        <v>13</v>
      </c>
      <c r="J979">
        <v>1</v>
      </c>
      <c r="K979" t="s">
        <v>114</v>
      </c>
      <c r="L979" t="s">
        <v>95</v>
      </c>
      <c r="M979" t="s">
        <v>111</v>
      </c>
      <c r="N979" t="s">
        <v>116</v>
      </c>
      <c r="O979" t="s">
        <v>115</v>
      </c>
    </row>
    <row r="980" spans="1:15" x14ac:dyDescent="0.3">
      <c r="A980" t="s">
        <v>14</v>
      </c>
      <c r="B980">
        <v>52</v>
      </c>
      <c r="C980">
        <v>0</v>
      </c>
      <c r="D980">
        <v>0</v>
      </c>
      <c r="E980">
        <v>1</v>
      </c>
      <c r="F980" t="s">
        <v>15</v>
      </c>
      <c r="G980" t="s">
        <v>11</v>
      </c>
      <c r="H980" t="s">
        <v>12</v>
      </c>
      <c r="I980" t="s">
        <v>13</v>
      </c>
      <c r="J980">
        <v>0</v>
      </c>
      <c r="K980" t="s">
        <v>108</v>
      </c>
      <c r="L980" t="s">
        <v>109</v>
      </c>
      <c r="M980" t="s">
        <v>94</v>
      </c>
      <c r="N980" t="s">
        <v>112</v>
      </c>
      <c r="O980" t="s">
        <v>110</v>
      </c>
    </row>
    <row r="981" spans="1:15" x14ac:dyDescent="0.3">
      <c r="A981" t="s">
        <v>14</v>
      </c>
      <c r="B981">
        <v>64</v>
      </c>
      <c r="C981">
        <v>0</v>
      </c>
      <c r="D981">
        <v>0</v>
      </c>
      <c r="E981">
        <v>0</v>
      </c>
      <c r="F981" t="s">
        <v>40</v>
      </c>
      <c r="G981" t="s">
        <v>16</v>
      </c>
      <c r="H981" t="s">
        <v>12</v>
      </c>
      <c r="I981" t="s">
        <v>13</v>
      </c>
      <c r="J981">
        <v>0</v>
      </c>
      <c r="K981" t="s">
        <v>108</v>
      </c>
      <c r="L981" t="s">
        <v>109</v>
      </c>
      <c r="M981" t="s">
        <v>111</v>
      </c>
      <c r="N981" t="s">
        <v>112</v>
      </c>
      <c r="O981" t="s">
        <v>110</v>
      </c>
    </row>
    <row r="982" spans="1:15" x14ac:dyDescent="0.3">
      <c r="A982" t="s">
        <v>14</v>
      </c>
      <c r="B982">
        <v>11</v>
      </c>
      <c r="C982">
        <v>0</v>
      </c>
      <c r="D982">
        <v>0</v>
      </c>
      <c r="E982">
        <v>0</v>
      </c>
      <c r="F982" t="s">
        <v>44</v>
      </c>
      <c r="G982" t="s">
        <v>11</v>
      </c>
      <c r="H982" t="s">
        <v>18</v>
      </c>
      <c r="I982" t="s">
        <v>13</v>
      </c>
      <c r="J982">
        <v>0</v>
      </c>
      <c r="K982" t="s">
        <v>118</v>
      </c>
      <c r="L982" t="s">
        <v>109</v>
      </c>
      <c r="M982" t="s">
        <v>111</v>
      </c>
      <c r="N982" t="s">
        <v>112</v>
      </c>
      <c r="O982" t="s">
        <v>110</v>
      </c>
    </row>
    <row r="983" spans="1:15" x14ac:dyDescent="0.3">
      <c r="A983" t="s">
        <v>14</v>
      </c>
      <c r="B983">
        <v>39</v>
      </c>
      <c r="C983">
        <v>1</v>
      </c>
      <c r="D983">
        <v>1</v>
      </c>
      <c r="E983">
        <v>0</v>
      </c>
      <c r="F983" t="s">
        <v>32</v>
      </c>
      <c r="G983" t="s">
        <v>16</v>
      </c>
      <c r="H983" t="s">
        <v>18</v>
      </c>
      <c r="I983" t="s">
        <v>13</v>
      </c>
      <c r="J983">
        <v>1</v>
      </c>
      <c r="K983" t="s">
        <v>114</v>
      </c>
      <c r="L983" t="s">
        <v>95</v>
      </c>
      <c r="M983" t="s">
        <v>111</v>
      </c>
      <c r="N983" t="s">
        <v>116</v>
      </c>
      <c r="O983" t="s">
        <v>115</v>
      </c>
    </row>
    <row r="984" spans="1:15" x14ac:dyDescent="0.3">
      <c r="A984" t="s">
        <v>14</v>
      </c>
      <c r="B984">
        <v>39</v>
      </c>
      <c r="C984">
        <v>1</v>
      </c>
      <c r="D984">
        <v>1</v>
      </c>
      <c r="E984">
        <v>0</v>
      </c>
      <c r="F984" t="s">
        <v>35</v>
      </c>
      <c r="G984" t="s">
        <v>11</v>
      </c>
      <c r="H984" t="s">
        <v>23</v>
      </c>
      <c r="I984" t="s">
        <v>13</v>
      </c>
      <c r="J984">
        <v>1</v>
      </c>
      <c r="K984" t="s">
        <v>114</v>
      </c>
      <c r="L984" t="s">
        <v>95</v>
      </c>
      <c r="M984" t="s">
        <v>111</v>
      </c>
      <c r="N984" t="s">
        <v>116</v>
      </c>
      <c r="O984" t="s">
        <v>115</v>
      </c>
    </row>
    <row r="985" spans="1:15" x14ac:dyDescent="0.3">
      <c r="A985" t="s">
        <v>9</v>
      </c>
      <c r="B985">
        <v>25</v>
      </c>
      <c r="C985">
        <v>1</v>
      </c>
      <c r="D985">
        <v>1</v>
      </c>
      <c r="E985">
        <v>0</v>
      </c>
      <c r="F985" t="s">
        <v>51</v>
      </c>
      <c r="G985" t="s">
        <v>16</v>
      </c>
      <c r="H985" t="s">
        <v>23</v>
      </c>
      <c r="I985" t="s">
        <v>13</v>
      </c>
      <c r="J985">
        <v>1</v>
      </c>
      <c r="K985" t="s">
        <v>114</v>
      </c>
      <c r="L985" t="s">
        <v>95</v>
      </c>
      <c r="M985" t="s">
        <v>111</v>
      </c>
      <c r="N985" t="s">
        <v>116</v>
      </c>
      <c r="O985" t="s">
        <v>115</v>
      </c>
    </row>
    <row r="986" spans="1:15" x14ac:dyDescent="0.3">
      <c r="A986" t="s">
        <v>14</v>
      </c>
      <c r="B986">
        <v>9</v>
      </c>
      <c r="C986">
        <v>0</v>
      </c>
      <c r="D986">
        <v>0</v>
      </c>
      <c r="E986">
        <v>1</v>
      </c>
      <c r="F986" t="s">
        <v>10</v>
      </c>
      <c r="G986" t="s">
        <v>11</v>
      </c>
      <c r="H986" t="s">
        <v>12</v>
      </c>
      <c r="I986" t="s">
        <v>13</v>
      </c>
      <c r="J986">
        <v>0</v>
      </c>
      <c r="K986" t="s">
        <v>118</v>
      </c>
      <c r="L986" t="s">
        <v>109</v>
      </c>
      <c r="M986" t="s">
        <v>94</v>
      </c>
      <c r="N986" t="s">
        <v>112</v>
      </c>
      <c r="O986" t="s">
        <v>110</v>
      </c>
    </row>
    <row r="987" spans="1:15" x14ac:dyDescent="0.3">
      <c r="A987" t="s">
        <v>9</v>
      </c>
      <c r="B987">
        <v>61</v>
      </c>
      <c r="C987">
        <v>1</v>
      </c>
      <c r="D987">
        <v>1</v>
      </c>
      <c r="E987">
        <v>0</v>
      </c>
      <c r="F987" t="s">
        <v>20</v>
      </c>
      <c r="G987" t="s">
        <v>16</v>
      </c>
      <c r="H987" t="s">
        <v>12</v>
      </c>
      <c r="I987" t="s">
        <v>13</v>
      </c>
      <c r="J987">
        <v>1</v>
      </c>
      <c r="K987" t="s">
        <v>108</v>
      </c>
      <c r="L987" t="s">
        <v>95</v>
      </c>
      <c r="M987" t="s">
        <v>111</v>
      </c>
      <c r="N987" t="s">
        <v>116</v>
      </c>
      <c r="O987" t="s">
        <v>115</v>
      </c>
    </row>
    <row r="988" spans="1:15" x14ac:dyDescent="0.3">
      <c r="A988" t="s">
        <v>9</v>
      </c>
      <c r="B988">
        <v>18</v>
      </c>
      <c r="C988">
        <v>0</v>
      </c>
      <c r="D988">
        <v>0</v>
      </c>
      <c r="E988">
        <v>1</v>
      </c>
      <c r="F988" t="s">
        <v>50</v>
      </c>
      <c r="G988" t="s">
        <v>11</v>
      </c>
      <c r="H988" t="s">
        <v>12</v>
      </c>
      <c r="I988" t="s">
        <v>13</v>
      </c>
      <c r="J988">
        <v>0</v>
      </c>
      <c r="K988" t="s">
        <v>113</v>
      </c>
      <c r="L988" t="s">
        <v>109</v>
      </c>
      <c r="M988" t="s">
        <v>94</v>
      </c>
      <c r="N988" t="s">
        <v>112</v>
      </c>
      <c r="O988" t="s">
        <v>110</v>
      </c>
    </row>
    <row r="989" spans="1:15" x14ac:dyDescent="0.3">
      <c r="A989" t="s">
        <v>9</v>
      </c>
      <c r="B989">
        <v>55</v>
      </c>
      <c r="C989">
        <v>1</v>
      </c>
      <c r="D989">
        <v>1</v>
      </c>
      <c r="E989">
        <v>0</v>
      </c>
      <c r="F989" t="s">
        <v>45</v>
      </c>
      <c r="G989" t="s">
        <v>16</v>
      </c>
      <c r="H989" t="s">
        <v>23</v>
      </c>
      <c r="I989" t="s">
        <v>13</v>
      </c>
      <c r="J989">
        <v>1</v>
      </c>
      <c r="K989" t="s">
        <v>108</v>
      </c>
      <c r="L989" t="s">
        <v>95</v>
      </c>
      <c r="M989" t="s">
        <v>111</v>
      </c>
      <c r="N989" t="s">
        <v>116</v>
      </c>
      <c r="O989" t="s">
        <v>115</v>
      </c>
    </row>
    <row r="990" spans="1:15" x14ac:dyDescent="0.3">
      <c r="A990" t="s">
        <v>14</v>
      </c>
      <c r="B990">
        <v>11</v>
      </c>
      <c r="C990">
        <v>0</v>
      </c>
      <c r="D990">
        <v>0</v>
      </c>
      <c r="E990">
        <v>0</v>
      </c>
      <c r="F990" t="s">
        <v>44</v>
      </c>
      <c r="G990" t="s">
        <v>11</v>
      </c>
      <c r="H990" t="s">
        <v>12</v>
      </c>
      <c r="I990" t="s">
        <v>13</v>
      </c>
      <c r="J990">
        <v>0</v>
      </c>
      <c r="K990" t="s">
        <v>118</v>
      </c>
      <c r="L990" t="s">
        <v>109</v>
      </c>
      <c r="M990" t="s">
        <v>111</v>
      </c>
      <c r="N990" t="s">
        <v>112</v>
      </c>
      <c r="O990" t="s">
        <v>110</v>
      </c>
    </row>
    <row r="991" spans="1:15" x14ac:dyDescent="0.3">
      <c r="A991" t="s">
        <v>14</v>
      </c>
      <c r="B991">
        <v>23</v>
      </c>
      <c r="C991">
        <v>1</v>
      </c>
      <c r="D991">
        <v>1</v>
      </c>
      <c r="E991">
        <v>0</v>
      </c>
      <c r="F991" t="s">
        <v>42</v>
      </c>
      <c r="G991" t="s">
        <v>16</v>
      </c>
      <c r="H991" t="s">
        <v>12</v>
      </c>
      <c r="I991" t="s">
        <v>13</v>
      </c>
      <c r="J991">
        <v>1</v>
      </c>
      <c r="K991" t="s">
        <v>117</v>
      </c>
      <c r="L991" t="s">
        <v>95</v>
      </c>
      <c r="M991" t="s">
        <v>111</v>
      </c>
      <c r="N991" t="s">
        <v>116</v>
      </c>
      <c r="O991" t="s">
        <v>115</v>
      </c>
    </row>
    <row r="992" spans="1:15" x14ac:dyDescent="0.3">
      <c r="A992" t="s">
        <v>9</v>
      </c>
      <c r="B992">
        <v>37</v>
      </c>
      <c r="C992">
        <v>1</v>
      </c>
      <c r="D992">
        <v>1</v>
      </c>
      <c r="E992">
        <v>1</v>
      </c>
      <c r="F992" t="s">
        <v>32</v>
      </c>
      <c r="G992" t="s">
        <v>11</v>
      </c>
      <c r="H992" t="s">
        <v>18</v>
      </c>
      <c r="I992" t="s">
        <v>13</v>
      </c>
      <c r="J992">
        <v>1</v>
      </c>
      <c r="K992" t="s">
        <v>114</v>
      </c>
      <c r="L992" t="s">
        <v>95</v>
      </c>
      <c r="M992" t="s">
        <v>94</v>
      </c>
      <c r="N992" t="s">
        <v>116</v>
      </c>
      <c r="O992" t="s">
        <v>115</v>
      </c>
    </row>
    <row r="993" spans="1:15" x14ac:dyDescent="0.3">
      <c r="A993" t="s">
        <v>9</v>
      </c>
      <c r="B993">
        <v>33</v>
      </c>
      <c r="C993">
        <v>0</v>
      </c>
      <c r="D993">
        <v>0</v>
      </c>
      <c r="E993">
        <v>1</v>
      </c>
      <c r="F993" t="s">
        <v>40</v>
      </c>
      <c r="G993" t="s">
        <v>16</v>
      </c>
      <c r="H993" t="s">
        <v>18</v>
      </c>
      <c r="I993" t="s">
        <v>13</v>
      </c>
      <c r="J993">
        <v>0</v>
      </c>
      <c r="K993" t="s">
        <v>114</v>
      </c>
      <c r="L993" t="s">
        <v>109</v>
      </c>
      <c r="M993" t="s">
        <v>94</v>
      </c>
      <c r="N993" t="s">
        <v>112</v>
      </c>
      <c r="O993" t="s">
        <v>110</v>
      </c>
    </row>
    <row r="994" spans="1:15" x14ac:dyDescent="0.3">
      <c r="A994" t="s">
        <v>14</v>
      </c>
      <c r="B994">
        <v>18</v>
      </c>
      <c r="C994">
        <v>1</v>
      </c>
      <c r="D994">
        <v>1</v>
      </c>
      <c r="E994">
        <v>0</v>
      </c>
      <c r="F994" t="s">
        <v>25</v>
      </c>
      <c r="G994" t="s">
        <v>11</v>
      </c>
      <c r="H994" t="s">
        <v>12</v>
      </c>
      <c r="I994" t="s">
        <v>13</v>
      </c>
      <c r="J994">
        <v>1</v>
      </c>
      <c r="K994" t="s">
        <v>113</v>
      </c>
      <c r="L994" t="s">
        <v>95</v>
      </c>
      <c r="M994" t="s">
        <v>111</v>
      </c>
      <c r="N994" t="s">
        <v>116</v>
      </c>
      <c r="O994" t="s">
        <v>115</v>
      </c>
    </row>
    <row r="995" spans="1:15" x14ac:dyDescent="0.3">
      <c r="A995" t="s">
        <v>9</v>
      </c>
      <c r="B995">
        <v>15</v>
      </c>
      <c r="C995">
        <v>0</v>
      </c>
      <c r="D995">
        <v>0</v>
      </c>
      <c r="E995">
        <v>0</v>
      </c>
      <c r="F995" t="s">
        <v>49</v>
      </c>
      <c r="G995" t="s">
        <v>16</v>
      </c>
      <c r="H995" t="s">
        <v>18</v>
      </c>
      <c r="I995" t="s">
        <v>13</v>
      </c>
      <c r="J995">
        <v>0</v>
      </c>
      <c r="K995" t="s">
        <v>113</v>
      </c>
      <c r="L995" t="s">
        <v>109</v>
      </c>
      <c r="M995" t="s">
        <v>111</v>
      </c>
      <c r="N995" t="s">
        <v>112</v>
      </c>
      <c r="O995" t="s">
        <v>110</v>
      </c>
    </row>
    <row r="996" spans="1:15" x14ac:dyDescent="0.3">
      <c r="A996" t="s">
        <v>14</v>
      </c>
      <c r="B996">
        <v>44</v>
      </c>
      <c r="C996">
        <v>0</v>
      </c>
      <c r="D996">
        <v>0</v>
      </c>
      <c r="E996">
        <v>1</v>
      </c>
      <c r="F996" t="s">
        <v>38</v>
      </c>
      <c r="G996" t="s">
        <v>11</v>
      </c>
      <c r="H996" t="s">
        <v>18</v>
      </c>
      <c r="I996" t="s">
        <v>13</v>
      </c>
      <c r="J996">
        <v>0</v>
      </c>
      <c r="K996" t="s">
        <v>114</v>
      </c>
      <c r="L996" t="s">
        <v>109</v>
      </c>
      <c r="M996" t="s">
        <v>94</v>
      </c>
      <c r="N996" t="s">
        <v>112</v>
      </c>
      <c r="O996" t="s">
        <v>110</v>
      </c>
    </row>
    <row r="997" spans="1:15" x14ac:dyDescent="0.3">
      <c r="A997" t="s">
        <v>9</v>
      </c>
      <c r="B997">
        <v>16</v>
      </c>
      <c r="C997">
        <v>1</v>
      </c>
      <c r="D997">
        <v>1</v>
      </c>
      <c r="E997">
        <v>0</v>
      </c>
      <c r="F997" t="s">
        <v>22</v>
      </c>
      <c r="G997" t="s">
        <v>16</v>
      </c>
      <c r="H997" t="s">
        <v>12</v>
      </c>
      <c r="I997" t="s">
        <v>13</v>
      </c>
      <c r="J997">
        <v>1</v>
      </c>
      <c r="K997" t="s">
        <v>113</v>
      </c>
      <c r="L997" t="s">
        <v>95</v>
      </c>
      <c r="M997" t="s">
        <v>111</v>
      </c>
      <c r="N997" t="s">
        <v>116</v>
      </c>
      <c r="O997" t="s">
        <v>115</v>
      </c>
    </row>
    <row r="998" spans="1:15" x14ac:dyDescent="0.3">
      <c r="A998" t="s">
        <v>14</v>
      </c>
      <c r="B998">
        <v>41</v>
      </c>
      <c r="C998">
        <v>1</v>
      </c>
      <c r="D998">
        <v>1</v>
      </c>
      <c r="E998">
        <v>0</v>
      </c>
      <c r="F998" t="s">
        <v>17</v>
      </c>
      <c r="G998" t="s">
        <v>11</v>
      </c>
      <c r="H998" t="s">
        <v>18</v>
      </c>
      <c r="I998" t="s">
        <v>13</v>
      </c>
      <c r="J998">
        <v>1</v>
      </c>
      <c r="K998" t="s">
        <v>114</v>
      </c>
      <c r="L998" t="s">
        <v>95</v>
      </c>
      <c r="M998" t="s">
        <v>111</v>
      </c>
      <c r="N998" t="s">
        <v>116</v>
      </c>
      <c r="O998" t="s">
        <v>115</v>
      </c>
    </row>
    <row r="999" spans="1:15" x14ac:dyDescent="0.3">
      <c r="A999" t="s">
        <v>14</v>
      </c>
      <c r="B999">
        <v>45</v>
      </c>
      <c r="C999">
        <v>0</v>
      </c>
      <c r="D999">
        <v>0</v>
      </c>
      <c r="E999">
        <v>1</v>
      </c>
      <c r="F999" t="s">
        <v>19</v>
      </c>
      <c r="G999" t="s">
        <v>16</v>
      </c>
      <c r="H999" t="s">
        <v>12</v>
      </c>
      <c r="I999" t="s">
        <v>13</v>
      </c>
      <c r="J999">
        <v>0</v>
      </c>
      <c r="K999" t="s">
        <v>108</v>
      </c>
      <c r="L999" t="s">
        <v>109</v>
      </c>
      <c r="M999" t="s">
        <v>94</v>
      </c>
      <c r="N999" t="s">
        <v>112</v>
      </c>
      <c r="O999" t="s">
        <v>110</v>
      </c>
    </row>
    <row r="1000" spans="1:15" x14ac:dyDescent="0.3">
      <c r="A1000" t="s">
        <v>9</v>
      </c>
      <c r="B1000">
        <v>19</v>
      </c>
      <c r="C1000">
        <v>1</v>
      </c>
      <c r="D1000">
        <v>1</v>
      </c>
      <c r="E1000">
        <v>1</v>
      </c>
      <c r="F1000" t="s">
        <v>17</v>
      </c>
      <c r="G1000" t="s">
        <v>11</v>
      </c>
      <c r="H1000" t="s">
        <v>12</v>
      </c>
      <c r="I1000" t="s">
        <v>13</v>
      </c>
      <c r="J1000">
        <v>1</v>
      </c>
      <c r="K1000" t="s">
        <v>117</v>
      </c>
      <c r="L1000" t="s">
        <v>95</v>
      </c>
      <c r="M1000" t="s">
        <v>94</v>
      </c>
      <c r="N1000" t="s">
        <v>116</v>
      </c>
      <c r="O1000" t="s">
        <v>115</v>
      </c>
    </row>
    <row r="1001" spans="1:15" x14ac:dyDescent="0.3">
      <c r="A1001" t="s">
        <v>9</v>
      </c>
      <c r="B1001">
        <v>28</v>
      </c>
      <c r="C1001">
        <v>0</v>
      </c>
      <c r="D1001">
        <v>0</v>
      </c>
      <c r="E1001">
        <v>1</v>
      </c>
      <c r="F1001" t="s">
        <v>33</v>
      </c>
      <c r="G1001" t="s">
        <v>16</v>
      </c>
      <c r="H1001" t="s">
        <v>12</v>
      </c>
      <c r="I1001" t="s">
        <v>13</v>
      </c>
      <c r="J1001">
        <v>0</v>
      </c>
      <c r="K1001" t="s">
        <v>114</v>
      </c>
      <c r="L1001" t="s">
        <v>109</v>
      </c>
      <c r="M1001" t="s">
        <v>94</v>
      </c>
      <c r="N1001" t="s">
        <v>112</v>
      </c>
      <c r="O1001" t="s">
        <v>110</v>
      </c>
    </row>
  </sheetData>
  <phoneticPr fontId="1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98307-E426-4DB8-AF8D-ABB22283F57F}">
  <sheetPr>
    <tabColor theme="8"/>
  </sheetPr>
  <dimension ref="B1:AC228"/>
  <sheetViews>
    <sheetView zoomScale="12" workbookViewId="0">
      <selection activeCell="S167" sqref="S167"/>
    </sheetView>
  </sheetViews>
  <sheetFormatPr defaultRowHeight="14.4" x14ac:dyDescent="0.3"/>
  <cols>
    <col min="2" max="2" width="19.44140625" bestFit="1" customWidth="1"/>
    <col min="3" max="3" width="26.21875" bestFit="1" customWidth="1"/>
    <col min="4" max="4" width="18" bestFit="1" customWidth="1"/>
    <col min="5" max="5" width="18.88671875" bestFit="1" customWidth="1"/>
    <col min="6" max="6" width="21.88671875" bestFit="1" customWidth="1"/>
    <col min="7" max="7" width="22.5546875" bestFit="1" customWidth="1"/>
    <col min="8" max="8" width="16.88671875" bestFit="1" customWidth="1"/>
    <col min="9" max="9" width="11.109375" bestFit="1" customWidth="1"/>
    <col min="10" max="10" width="44.109375" bestFit="1" customWidth="1"/>
    <col min="11" max="11" width="19.109375" bestFit="1" customWidth="1"/>
    <col min="12" max="12" width="36.77734375" bestFit="1" customWidth="1"/>
    <col min="13" max="13" width="22.6640625" bestFit="1" customWidth="1"/>
    <col min="14" max="14" width="22.44140625" bestFit="1" customWidth="1"/>
    <col min="15" max="15" width="13.6640625" bestFit="1" customWidth="1"/>
    <col min="16" max="16" width="23" bestFit="1" customWidth="1"/>
    <col min="17" max="18" width="18.6640625" bestFit="1" customWidth="1"/>
    <col min="19" max="19" width="23" bestFit="1" customWidth="1"/>
    <col min="20" max="20" width="22.44140625" bestFit="1" customWidth="1"/>
    <col min="22" max="22" width="22.6640625" bestFit="1" customWidth="1"/>
    <col min="23" max="23" width="22.44140625" bestFit="1" customWidth="1"/>
    <col min="25" max="25" width="13.6640625" bestFit="1" customWidth="1"/>
    <col min="26" max="26" width="22.44140625" bestFit="1" customWidth="1"/>
  </cols>
  <sheetData>
    <row r="1" spans="2:21" ht="23.4" x14ac:dyDescent="0.45">
      <c r="F1" s="52"/>
      <c r="G1" s="52"/>
      <c r="H1" s="52"/>
      <c r="J1" s="54"/>
      <c r="K1" s="54"/>
      <c r="L1" s="107" t="s">
        <v>183</v>
      </c>
      <c r="M1" s="107"/>
      <c r="N1" s="54"/>
      <c r="O1" s="54"/>
      <c r="P1" s="54"/>
      <c r="Q1" s="54"/>
      <c r="R1" s="54"/>
      <c r="S1" s="54"/>
      <c r="T1" s="54"/>
      <c r="U1" s="54"/>
    </row>
    <row r="2" spans="2:21" ht="18" x14ac:dyDescent="0.35">
      <c r="F2" s="52"/>
      <c r="G2" s="52"/>
      <c r="H2" s="52"/>
      <c r="J2" s="54"/>
      <c r="K2" s="54"/>
      <c r="L2" s="106"/>
      <c r="M2" s="106"/>
      <c r="N2" s="54"/>
      <c r="O2" s="54"/>
      <c r="P2" s="54"/>
      <c r="Q2" s="54"/>
      <c r="R2" s="54"/>
      <c r="S2" s="54"/>
      <c r="T2" s="54"/>
      <c r="U2" s="54"/>
    </row>
    <row r="3" spans="2:21" ht="23.4" x14ac:dyDescent="0.45">
      <c r="F3" s="109" t="s">
        <v>130</v>
      </c>
      <c r="G3" s="109"/>
      <c r="H3" s="52"/>
      <c r="J3" s="65" t="s">
        <v>142</v>
      </c>
      <c r="K3" s="65"/>
      <c r="L3" s="54"/>
      <c r="M3" s="65" t="s">
        <v>143</v>
      </c>
      <c r="N3" s="65"/>
      <c r="O3" s="54"/>
      <c r="P3" s="65" t="s">
        <v>144</v>
      </c>
      <c r="Q3" s="65"/>
      <c r="R3" s="54"/>
      <c r="S3" s="65" t="s">
        <v>145</v>
      </c>
      <c r="T3" s="65"/>
      <c r="U3" s="54"/>
    </row>
    <row r="4" spans="2:21" x14ac:dyDescent="0.3">
      <c r="F4" s="52"/>
      <c r="G4" s="52"/>
      <c r="H4" s="52"/>
      <c r="J4" s="54"/>
      <c r="K4" s="54"/>
      <c r="L4" s="54"/>
      <c r="M4" s="54"/>
      <c r="N4" s="54"/>
      <c r="O4" s="54"/>
      <c r="P4" s="54"/>
      <c r="Q4" s="54"/>
      <c r="R4" s="54"/>
      <c r="S4" s="54"/>
      <c r="T4" s="54"/>
      <c r="U4" s="54"/>
    </row>
    <row r="5" spans="2:21" x14ac:dyDescent="0.3">
      <c r="B5" s="66" t="s">
        <v>147</v>
      </c>
      <c r="C5" s="66"/>
      <c r="F5" s="52" t="s">
        <v>123</v>
      </c>
      <c r="G5" s="52" t="s">
        <v>125</v>
      </c>
      <c r="H5" s="52" t="s">
        <v>180</v>
      </c>
      <c r="L5" s="54"/>
      <c r="O5" s="54"/>
      <c r="R5" s="54"/>
      <c r="U5" s="54"/>
    </row>
    <row r="6" spans="2:21" x14ac:dyDescent="0.3">
      <c r="D6" s="99"/>
      <c r="F6" s="53" t="s">
        <v>111</v>
      </c>
      <c r="G6" s="92">
        <v>274</v>
      </c>
      <c r="H6" s="63">
        <v>0.51407129455909939</v>
      </c>
      <c r="I6" s="52" t="s">
        <v>126</v>
      </c>
      <c r="J6" s="54"/>
      <c r="K6" s="54"/>
      <c r="L6" s="54"/>
      <c r="M6" s="54"/>
      <c r="N6" s="54"/>
      <c r="O6" s="54"/>
      <c r="P6" s="54"/>
      <c r="Q6" s="54"/>
      <c r="R6" s="54"/>
      <c r="S6" s="54"/>
      <c r="T6" s="54"/>
      <c r="U6" s="54"/>
    </row>
    <row r="7" spans="2:21" x14ac:dyDescent="0.3">
      <c r="B7" s="99" t="s">
        <v>121</v>
      </c>
      <c r="F7" s="53" t="s">
        <v>94</v>
      </c>
      <c r="G7" s="92">
        <v>259</v>
      </c>
      <c r="H7" s="63">
        <v>0.48592870544090055</v>
      </c>
      <c r="I7" s="52" t="s">
        <v>127</v>
      </c>
      <c r="J7" s="54" t="s">
        <v>155</v>
      </c>
      <c r="K7" s="54" t="s">
        <v>157</v>
      </c>
      <c r="L7" s="54"/>
      <c r="M7" s="54" t="s">
        <v>123</v>
      </c>
      <c r="N7" s="54" t="s">
        <v>125</v>
      </c>
      <c r="O7" s="54"/>
      <c r="P7" s="54" t="s">
        <v>123</v>
      </c>
      <c r="Q7" s="54" t="s">
        <v>157</v>
      </c>
      <c r="R7" s="54"/>
      <c r="S7" s="54" t="s">
        <v>123</v>
      </c>
      <c r="T7" s="54" t="s">
        <v>125</v>
      </c>
      <c r="U7" s="54"/>
    </row>
    <row r="8" spans="2:21" x14ac:dyDescent="0.3">
      <c r="B8" s="99">
        <v>1000</v>
      </c>
      <c r="C8" s="99"/>
      <c r="F8" s="53" t="s">
        <v>122</v>
      </c>
      <c r="G8" s="92">
        <v>533</v>
      </c>
      <c r="H8" s="93">
        <v>1</v>
      </c>
      <c r="J8" s="55" t="s">
        <v>111</v>
      </c>
      <c r="K8" s="96"/>
      <c r="L8" s="54"/>
      <c r="M8" s="55" t="s">
        <v>111</v>
      </c>
      <c r="N8" s="54"/>
      <c r="O8" s="54"/>
      <c r="P8" s="55" t="s">
        <v>111</v>
      </c>
      <c r="Q8" s="54"/>
      <c r="R8" s="54"/>
      <c r="S8" s="55" t="s">
        <v>111</v>
      </c>
      <c r="T8" s="54"/>
      <c r="U8" s="54"/>
    </row>
    <row r="9" spans="2:21" x14ac:dyDescent="0.3">
      <c r="B9" s="99" t="s">
        <v>153</v>
      </c>
      <c r="F9" s="52"/>
      <c r="G9" s="52"/>
      <c r="H9" s="52"/>
      <c r="J9" s="56" t="s">
        <v>16</v>
      </c>
      <c r="K9" s="96">
        <v>132</v>
      </c>
      <c r="L9" s="54"/>
      <c r="M9" s="56" t="s">
        <v>113</v>
      </c>
      <c r="N9" s="54">
        <v>57</v>
      </c>
      <c r="O9" s="54"/>
      <c r="P9" s="56" t="s">
        <v>12</v>
      </c>
      <c r="Q9" s="54">
        <v>186</v>
      </c>
      <c r="R9" s="54"/>
      <c r="S9" s="56" t="s">
        <v>9</v>
      </c>
      <c r="T9" s="54">
        <v>265</v>
      </c>
      <c r="U9" s="54"/>
    </row>
    <row r="10" spans="2:21" x14ac:dyDescent="0.3">
      <c r="B10" s="100">
        <v>35.742964352720449</v>
      </c>
      <c r="F10" s="52"/>
      <c r="G10" s="52"/>
      <c r="H10" s="52"/>
      <c r="J10" s="56" t="s">
        <v>11</v>
      </c>
      <c r="K10" s="96">
        <v>142</v>
      </c>
      <c r="L10" s="54"/>
      <c r="M10" s="56" t="s">
        <v>114</v>
      </c>
      <c r="N10" s="54">
        <v>185</v>
      </c>
      <c r="O10" s="54"/>
      <c r="P10" s="56" t="s">
        <v>18</v>
      </c>
      <c r="Q10" s="54">
        <v>162</v>
      </c>
      <c r="R10" s="54"/>
      <c r="S10" s="56" t="s">
        <v>14</v>
      </c>
      <c r="T10" s="54">
        <v>260</v>
      </c>
      <c r="U10" s="54"/>
    </row>
    <row r="11" spans="2:21" x14ac:dyDescent="0.3">
      <c r="B11" s="99" t="s">
        <v>150</v>
      </c>
      <c r="F11" s="52"/>
      <c r="G11" s="52"/>
      <c r="H11" s="52"/>
      <c r="J11" s="55" t="s">
        <v>94</v>
      </c>
      <c r="K11" s="96"/>
      <c r="L11" s="54"/>
      <c r="M11" s="56" t="s">
        <v>118</v>
      </c>
      <c r="N11" s="54">
        <v>58</v>
      </c>
      <c r="O11" s="54"/>
      <c r="P11" s="56" t="s">
        <v>23</v>
      </c>
      <c r="Q11" s="54">
        <v>177</v>
      </c>
      <c r="R11" s="54"/>
      <c r="S11" s="55" t="s">
        <v>94</v>
      </c>
      <c r="T11" s="54"/>
      <c r="U11" s="54"/>
    </row>
    <row r="12" spans="2:21" x14ac:dyDescent="0.3">
      <c r="B12" s="101">
        <v>0.53300000000000003</v>
      </c>
      <c r="F12" s="52"/>
      <c r="G12" s="52"/>
      <c r="H12" s="52"/>
      <c r="J12" s="56" t="s">
        <v>16</v>
      </c>
      <c r="K12" s="96">
        <v>125</v>
      </c>
      <c r="L12" s="54"/>
      <c r="M12" s="56" t="s">
        <v>119</v>
      </c>
      <c r="N12" s="54">
        <v>12</v>
      </c>
      <c r="O12" s="54"/>
      <c r="P12" s="55" t="s">
        <v>94</v>
      </c>
      <c r="Q12" s="54"/>
      <c r="R12" s="54"/>
      <c r="S12" s="56" t="s">
        <v>9</v>
      </c>
      <c r="T12" s="54">
        <v>259</v>
      </c>
      <c r="U12" s="54"/>
    </row>
    <row r="13" spans="2:21" x14ac:dyDescent="0.3">
      <c r="B13" t="s">
        <v>149</v>
      </c>
      <c r="D13" s="62"/>
      <c r="F13" s="52"/>
      <c r="G13" s="52"/>
      <c r="H13" s="52"/>
      <c r="J13" s="56" t="s">
        <v>11</v>
      </c>
      <c r="K13" s="96">
        <v>134</v>
      </c>
      <c r="L13" s="54"/>
      <c r="M13" s="56" t="s">
        <v>108</v>
      </c>
      <c r="N13" s="54">
        <v>162</v>
      </c>
      <c r="O13" s="54"/>
      <c r="P13" s="56" t="s">
        <v>12</v>
      </c>
      <c r="Q13" s="54">
        <v>168</v>
      </c>
      <c r="R13" s="54"/>
      <c r="S13" s="56" t="s">
        <v>14</v>
      </c>
      <c r="T13" s="54">
        <v>216</v>
      </c>
      <c r="U13" s="54"/>
    </row>
    <row r="14" spans="2:21" x14ac:dyDescent="0.3">
      <c r="B14">
        <f>GETPIVOTDATA("[Measures].[Count of Dengue_Result]",$F$5,"[Dengue].[Immunoglobulin_M_Result]","[Dengue].[Immunoglobulin_M_Result].&amp;[Not Previously Infected]")</f>
        <v>274</v>
      </c>
      <c r="F14" s="52"/>
      <c r="G14" s="52"/>
      <c r="H14" s="52"/>
      <c r="L14" s="54"/>
      <c r="M14" s="56" t="s">
        <v>117</v>
      </c>
      <c r="N14" s="54">
        <v>51</v>
      </c>
      <c r="O14" s="54"/>
      <c r="P14" s="56" t="s">
        <v>18</v>
      </c>
      <c r="Q14" s="54">
        <v>167</v>
      </c>
      <c r="R14" s="54"/>
      <c r="S14" s="55" t="s">
        <v>122</v>
      </c>
      <c r="T14" s="54">
        <v>1000</v>
      </c>
      <c r="U14" s="54"/>
    </row>
    <row r="15" spans="2:21" x14ac:dyDescent="0.3">
      <c r="B15" t="s">
        <v>154</v>
      </c>
      <c r="D15" s="62"/>
      <c r="F15" s="52"/>
      <c r="G15" s="52"/>
      <c r="H15" s="52"/>
      <c r="J15" s="54"/>
      <c r="K15" s="54"/>
      <c r="L15" s="54"/>
      <c r="M15" s="55" t="s">
        <v>94</v>
      </c>
      <c r="N15" s="54"/>
      <c r="O15" s="54"/>
      <c r="P15" s="56" t="s">
        <v>23</v>
      </c>
      <c r="Q15" s="54">
        <v>140</v>
      </c>
      <c r="R15" s="54"/>
      <c r="S15" s="54"/>
      <c r="T15" s="54"/>
      <c r="U15" s="54"/>
    </row>
    <row r="16" spans="2:21" x14ac:dyDescent="0.3">
      <c r="B16">
        <f>GETPIVOTDATA("[Measures].[Count of Dengue_Result]",$F$5,"[Dengue].[Immunoglobulin_M_Result]","[Dengue].[Immunoglobulin_M_Result].&amp;[Previously Infected]")</f>
        <v>259</v>
      </c>
      <c r="F16" s="52"/>
      <c r="G16" s="52"/>
      <c r="H16" s="52"/>
      <c r="J16" s="54"/>
      <c r="K16" s="54"/>
      <c r="L16" s="54"/>
      <c r="M16" s="56" t="s">
        <v>113</v>
      </c>
      <c r="N16" s="54">
        <v>36</v>
      </c>
      <c r="O16" s="54"/>
      <c r="P16" s="55" t="s">
        <v>122</v>
      </c>
      <c r="Q16" s="54">
        <v>1000</v>
      </c>
      <c r="R16" s="54"/>
      <c r="S16" s="54"/>
      <c r="T16" s="54"/>
      <c r="U16" s="54"/>
    </row>
    <row r="17" spans="2:21" x14ac:dyDescent="0.3">
      <c r="B17" s="99" t="s">
        <v>120</v>
      </c>
      <c r="F17" s="52"/>
      <c r="G17" s="52"/>
      <c r="H17" s="52"/>
      <c r="J17" s="54"/>
      <c r="K17" s="54"/>
      <c r="L17" s="54"/>
      <c r="M17" s="56" t="s">
        <v>114</v>
      </c>
      <c r="N17" s="54">
        <v>167</v>
      </c>
      <c r="O17" s="54"/>
      <c r="P17" s="54"/>
      <c r="Q17" s="54"/>
      <c r="R17" s="54"/>
      <c r="S17" s="54"/>
      <c r="T17" s="54"/>
      <c r="U17" s="54"/>
    </row>
    <row r="18" spans="2:21" x14ac:dyDescent="0.3">
      <c r="B18" s="99">
        <v>36</v>
      </c>
      <c r="F18" s="52"/>
      <c r="G18" s="52"/>
      <c r="H18" s="52"/>
      <c r="J18" s="54"/>
      <c r="K18" s="54"/>
      <c r="L18" s="54"/>
      <c r="M18" s="56" t="s">
        <v>118</v>
      </c>
      <c r="N18" s="54">
        <v>50</v>
      </c>
      <c r="O18" s="54"/>
      <c r="P18" s="54"/>
      <c r="Q18" s="54"/>
      <c r="R18" s="54"/>
      <c r="S18" s="54"/>
      <c r="T18" s="54"/>
      <c r="U18" s="54"/>
    </row>
    <row r="19" spans="2:21" x14ac:dyDescent="0.3">
      <c r="B19" s="99" t="s">
        <v>148</v>
      </c>
      <c r="F19" s="52"/>
      <c r="G19" s="52"/>
      <c r="H19" s="52"/>
      <c r="J19" s="54"/>
      <c r="K19" s="54"/>
      <c r="L19" s="54"/>
      <c r="M19" s="56" t="s">
        <v>119</v>
      </c>
      <c r="N19" s="54">
        <v>4</v>
      </c>
      <c r="O19" s="54"/>
      <c r="P19" s="54"/>
      <c r="Q19" s="54"/>
      <c r="R19" s="54"/>
      <c r="S19" s="54"/>
      <c r="T19" s="54"/>
      <c r="U19" s="54"/>
    </row>
    <row r="20" spans="2:21" x14ac:dyDescent="0.3">
      <c r="B20" s="100">
        <v>533</v>
      </c>
      <c r="C20" s="64"/>
      <c r="F20" s="52"/>
      <c r="G20" s="52"/>
      <c r="H20" s="52"/>
      <c r="J20" s="54"/>
      <c r="K20" s="54"/>
      <c r="L20" s="54"/>
      <c r="M20" s="56" t="s">
        <v>108</v>
      </c>
      <c r="N20" s="54">
        <v>173</v>
      </c>
      <c r="O20" s="54"/>
      <c r="P20" s="54"/>
      <c r="Q20" s="54"/>
      <c r="R20" s="54"/>
      <c r="S20" s="54"/>
      <c r="T20" s="54"/>
      <c r="U20" s="54"/>
    </row>
    <row r="21" spans="2:21" x14ac:dyDescent="0.3">
      <c r="F21" s="52"/>
      <c r="G21" s="52"/>
      <c r="H21" s="52"/>
      <c r="J21" s="54"/>
      <c r="K21" s="54"/>
      <c r="L21" s="54"/>
      <c r="M21" s="56" t="s">
        <v>117</v>
      </c>
      <c r="N21" s="54">
        <v>45</v>
      </c>
      <c r="O21" s="54"/>
      <c r="P21" s="54"/>
      <c r="Q21" s="54"/>
      <c r="R21" s="54"/>
      <c r="S21" s="54"/>
      <c r="T21" s="54"/>
      <c r="U21" s="54"/>
    </row>
    <row r="22" spans="2:21" ht="23.4" x14ac:dyDescent="0.45">
      <c r="C22" s="110" t="s">
        <v>184</v>
      </c>
      <c r="F22" s="52"/>
      <c r="G22" s="52"/>
      <c r="H22" s="52"/>
      <c r="J22" s="54"/>
      <c r="K22" s="54"/>
      <c r="L22" s="54"/>
      <c r="M22" s="55" t="s">
        <v>122</v>
      </c>
      <c r="N22" s="54">
        <v>1000</v>
      </c>
      <c r="O22" s="54"/>
      <c r="P22" s="54"/>
      <c r="Q22" s="54"/>
      <c r="R22" s="54"/>
      <c r="S22" s="54"/>
      <c r="T22" s="54"/>
      <c r="U22" s="54"/>
    </row>
    <row r="23" spans="2:21" x14ac:dyDescent="0.3">
      <c r="B23" s="45"/>
      <c r="C23" s="45"/>
      <c r="D23" s="45"/>
      <c r="F23" s="52"/>
      <c r="G23" s="52"/>
      <c r="H23" s="52"/>
      <c r="J23" s="54"/>
      <c r="K23" s="54"/>
      <c r="L23" s="54"/>
      <c r="M23" s="54"/>
      <c r="N23" s="54"/>
      <c r="O23" s="54"/>
      <c r="P23" s="54"/>
      <c r="Q23" s="54"/>
      <c r="R23" s="54"/>
      <c r="S23" s="54"/>
      <c r="T23" s="54"/>
      <c r="U23" s="54"/>
    </row>
    <row r="24" spans="2:21" x14ac:dyDescent="0.3">
      <c r="B24" s="45"/>
      <c r="C24" s="45"/>
      <c r="D24" s="45"/>
      <c r="F24" s="52"/>
      <c r="G24" s="52"/>
      <c r="H24" s="52"/>
      <c r="J24" s="54"/>
      <c r="K24" s="54"/>
      <c r="L24" s="54"/>
      <c r="M24" s="54"/>
      <c r="N24" s="54"/>
      <c r="O24" s="54"/>
      <c r="P24" s="54"/>
      <c r="Q24" s="54"/>
      <c r="R24" s="54"/>
      <c r="S24" s="54"/>
      <c r="T24" s="54"/>
      <c r="U24" s="54"/>
    </row>
    <row r="25" spans="2:21" x14ac:dyDescent="0.3">
      <c r="B25" s="111" t="s">
        <v>141</v>
      </c>
      <c r="C25" s="111"/>
      <c r="D25" s="45"/>
      <c r="F25" s="52"/>
      <c r="G25" s="52"/>
      <c r="H25" s="52"/>
      <c r="J25" s="54"/>
      <c r="K25" s="54"/>
      <c r="L25" s="54"/>
      <c r="M25" s="54"/>
      <c r="N25" s="54"/>
      <c r="O25" s="54"/>
      <c r="P25" s="54"/>
      <c r="Q25" s="54"/>
      <c r="R25" s="54"/>
      <c r="S25" s="54"/>
      <c r="T25" s="54"/>
      <c r="U25" s="54"/>
    </row>
    <row r="26" spans="2:21" x14ac:dyDescent="0.3">
      <c r="B26" s="45"/>
      <c r="C26" s="45"/>
      <c r="D26" s="45"/>
      <c r="F26" s="52"/>
      <c r="G26" s="52"/>
      <c r="H26" s="52"/>
      <c r="J26" s="54"/>
      <c r="K26" s="54"/>
      <c r="L26" s="54"/>
      <c r="M26" s="54"/>
      <c r="N26" s="54"/>
      <c r="O26" s="54"/>
      <c r="P26" s="54"/>
      <c r="Q26" s="54"/>
      <c r="R26" s="54"/>
      <c r="S26" s="54"/>
      <c r="T26" s="54"/>
      <c r="U26" s="54"/>
    </row>
    <row r="27" spans="2:21" x14ac:dyDescent="0.3">
      <c r="B27" s="45" t="s">
        <v>137</v>
      </c>
      <c r="C27" s="45" t="s">
        <v>138</v>
      </c>
      <c r="D27" s="45" t="s">
        <v>139</v>
      </c>
      <c r="F27" s="52"/>
      <c r="G27" s="52"/>
      <c r="H27" s="52"/>
    </row>
    <row r="28" spans="2:21" x14ac:dyDescent="0.3">
      <c r="B28" s="46" t="s">
        <v>118</v>
      </c>
      <c r="C28" s="83">
        <v>62</v>
      </c>
      <c r="D28" s="47">
        <v>0.11632270168855535</v>
      </c>
      <c r="F28" s="52"/>
      <c r="G28" s="52"/>
      <c r="H28" s="52"/>
    </row>
    <row r="29" spans="2:21" x14ac:dyDescent="0.3">
      <c r="B29" s="46" t="s">
        <v>113</v>
      </c>
      <c r="C29" s="83">
        <v>50</v>
      </c>
      <c r="D29" s="47">
        <v>9.3808630393996242E-2</v>
      </c>
      <c r="F29" s="52"/>
      <c r="G29" s="52"/>
      <c r="H29" s="52"/>
    </row>
    <row r="30" spans="2:21" x14ac:dyDescent="0.3">
      <c r="B30" s="46" t="s">
        <v>117</v>
      </c>
      <c r="C30" s="83">
        <v>48</v>
      </c>
      <c r="D30" s="47">
        <v>9.0056285178236398E-2</v>
      </c>
      <c r="F30" s="52"/>
      <c r="G30" s="52"/>
      <c r="H30" s="52"/>
    </row>
    <row r="31" spans="2:21" x14ac:dyDescent="0.3">
      <c r="B31" s="46" t="s">
        <v>114</v>
      </c>
      <c r="C31" s="83">
        <v>189</v>
      </c>
      <c r="D31" s="47">
        <v>0.35459662288930582</v>
      </c>
      <c r="F31" s="52"/>
      <c r="G31" s="52"/>
      <c r="H31" s="52"/>
    </row>
    <row r="32" spans="2:21" x14ac:dyDescent="0.3">
      <c r="B32" s="46" t="s">
        <v>108</v>
      </c>
      <c r="C32" s="83">
        <v>175</v>
      </c>
      <c r="D32" s="47">
        <v>0.32833020637898686</v>
      </c>
      <c r="F32" s="52"/>
      <c r="G32" s="52"/>
      <c r="H32" s="52"/>
    </row>
    <row r="33" spans="2:11" x14ac:dyDescent="0.3">
      <c r="B33" s="46" t="s">
        <v>119</v>
      </c>
      <c r="C33" s="83">
        <v>9</v>
      </c>
      <c r="D33" s="47">
        <v>1.6885553470919325E-2</v>
      </c>
      <c r="F33" s="52"/>
      <c r="G33" s="52"/>
      <c r="H33" s="52"/>
    </row>
    <row r="34" spans="2:11" x14ac:dyDescent="0.3">
      <c r="B34" s="46" t="s">
        <v>122</v>
      </c>
      <c r="C34" s="83">
        <v>533</v>
      </c>
      <c r="D34" s="47">
        <v>1</v>
      </c>
      <c r="F34" s="52"/>
      <c r="G34" s="52"/>
      <c r="H34" s="52"/>
    </row>
    <row r="35" spans="2:11" x14ac:dyDescent="0.3">
      <c r="B35" s="45"/>
      <c r="C35" s="45"/>
      <c r="D35" s="45"/>
      <c r="F35" s="52"/>
      <c r="G35" s="52"/>
      <c r="H35" s="52"/>
      <c r="K35" s="99"/>
    </row>
    <row r="36" spans="2:11" x14ac:dyDescent="0.3">
      <c r="B36" s="45"/>
      <c r="C36" s="45"/>
      <c r="D36" s="45"/>
      <c r="F36" s="52"/>
      <c r="G36" s="52"/>
      <c r="H36" s="52"/>
    </row>
    <row r="37" spans="2:11" x14ac:dyDescent="0.3">
      <c r="B37" s="45"/>
      <c r="C37" s="45"/>
      <c r="D37" s="45"/>
      <c r="F37" s="52"/>
      <c r="G37" s="52"/>
      <c r="H37" s="52"/>
    </row>
    <row r="38" spans="2:11" x14ac:dyDescent="0.3">
      <c r="B38" s="45"/>
      <c r="C38" s="45"/>
      <c r="D38" s="45"/>
      <c r="F38" s="52"/>
      <c r="G38" s="52"/>
      <c r="H38" s="52"/>
    </row>
    <row r="39" spans="2:11" x14ac:dyDescent="0.3">
      <c r="B39" s="45"/>
      <c r="C39" s="45"/>
      <c r="D39" s="45"/>
      <c r="F39" s="52"/>
      <c r="G39" s="52"/>
      <c r="H39" s="52"/>
    </row>
    <row r="40" spans="2:11" x14ac:dyDescent="0.3">
      <c r="B40" s="45"/>
      <c r="C40" s="45"/>
      <c r="D40" s="45"/>
      <c r="F40" s="52"/>
      <c r="G40" s="52"/>
      <c r="H40" s="52"/>
    </row>
    <row r="41" spans="2:11" x14ac:dyDescent="0.3">
      <c r="B41" s="45"/>
      <c r="C41" s="45"/>
      <c r="D41" s="45"/>
      <c r="F41" s="52"/>
      <c r="G41" s="52"/>
      <c r="H41" s="52"/>
    </row>
    <row r="42" spans="2:11" x14ac:dyDescent="0.3">
      <c r="B42" s="45"/>
      <c r="C42" s="45"/>
      <c r="D42" s="45"/>
      <c r="F42" s="52"/>
      <c r="G42" s="52"/>
      <c r="H42" s="52"/>
    </row>
    <row r="43" spans="2:11" x14ac:dyDescent="0.3">
      <c r="B43" s="45"/>
      <c r="C43" s="45"/>
      <c r="D43" s="45"/>
      <c r="F43" s="52"/>
      <c r="G43" s="52"/>
      <c r="H43" s="52"/>
    </row>
    <row r="44" spans="2:11" x14ac:dyDescent="0.3">
      <c r="B44" s="45"/>
      <c r="C44" s="45"/>
      <c r="D44" s="45"/>
      <c r="F44" s="52"/>
      <c r="G44" s="52"/>
      <c r="H44" s="52"/>
    </row>
    <row r="45" spans="2:11" x14ac:dyDescent="0.3">
      <c r="B45" s="45"/>
      <c r="C45" s="45"/>
      <c r="D45" s="45"/>
      <c r="F45" s="52"/>
      <c r="G45" s="52"/>
      <c r="H45" s="52"/>
    </row>
    <row r="46" spans="2:11" x14ac:dyDescent="0.3">
      <c r="B46" s="45"/>
      <c r="C46" s="45"/>
      <c r="D46" s="45"/>
      <c r="F46" s="52"/>
      <c r="G46" s="52"/>
      <c r="H46" s="52"/>
    </row>
    <row r="47" spans="2:11" x14ac:dyDescent="0.3">
      <c r="B47" s="45"/>
      <c r="C47" s="45"/>
      <c r="D47" s="45"/>
      <c r="F47" s="52"/>
      <c r="G47" s="52"/>
      <c r="H47" s="52"/>
    </row>
    <row r="48" spans="2:11" x14ac:dyDescent="0.3">
      <c r="B48" s="45"/>
      <c r="C48" s="45"/>
      <c r="D48" s="45"/>
      <c r="F48" s="52"/>
      <c r="G48" s="52"/>
      <c r="H48" s="52"/>
    </row>
    <row r="49" spans="2:25" x14ac:dyDescent="0.3">
      <c r="B49" s="45"/>
      <c r="C49" s="45"/>
      <c r="D49" s="45"/>
      <c r="F49" s="52"/>
      <c r="G49" s="52"/>
      <c r="H49" s="52"/>
    </row>
    <row r="50" spans="2:25" x14ac:dyDescent="0.3">
      <c r="B50" s="45"/>
      <c r="C50" s="45"/>
      <c r="D50" s="45"/>
      <c r="F50" s="52"/>
      <c r="G50" s="52"/>
      <c r="H50" s="52"/>
    </row>
    <row r="51" spans="2:25" x14ac:dyDescent="0.3">
      <c r="B51" s="45"/>
      <c r="C51" s="45"/>
      <c r="D51" s="45"/>
      <c r="F51" s="52"/>
      <c r="G51" s="52"/>
      <c r="H51" s="52"/>
    </row>
    <row r="52" spans="2:25" x14ac:dyDescent="0.3">
      <c r="B52" s="45"/>
      <c r="C52" s="45"/>
      <c r="D52" s="45"/>
      <c r="F52" s="52"/>
      <c r="G52" s="52"/>
      <c r="H52" s="52"/>
    </row>
    <row r="53" spans="2:25" x14ac:dyDescent="0.3">
      <c r="B53" s="45"/>
      <c r="C53" s="45"/>
      <c r="D53" s="45"/>
      <c r="F53" s="52"/>
      <c r="G53" s="52"/>
      <c r="H53" s="52"/>
    </row>
    <row r="54" spans="2:25" ht="23.4" x14ac:dyDescent="0.45">
      <c r="B54" s="45"/>
      <c r="C54" s="45"/>
      <c r="D54" s="45"/>
      <c r="F54" s="52"/>
      <c r="G54" s="52"/>
      <c r="H54" s="52"/>
      <c r="M54" s="108" t="s">
        <v>151</v>
      </c>
      <c r="N54" s="108"/>
    </row>
    <row r="55" spans="2:25" x14ac:dyDescent="0.3">
      <c r="B55" s="45"/>
      <c r="C55" s="45"/>
      <c r="D55" s="45"/>
      <c r="F55" s="52"/>
      <c r="G55" s="52"/>
      <c r="H55" s="52"/>
    </row>
    <row r="56" spans="2:25" x14ac:dyDescent="0.3">
      <c r="B56" s="45"/>
      <c r="C56" s="45"/>
      <c r="D56" s="45"/>
      <c r="F56" s="52"/>
      <c r="G56" s="52"/>
      <c r="H56" s="52"/>
    </row>
    <row r="57" spans="2:25" x14ac:dyDescent="0.3">
      <c r="B57" s="45"/>
      <c r="C57" s="45"/>
      <c r="D57" s="45"/>
      <c r="F57" s="52"/>
      <c r="G57" s="52"/>
      <c r="H57" s="52"/>
    </row>
    <row r="58" spans="2:25" x14ac:dyDescent="0.3">
      <c r="B58" s="45"/>
      <c r="C58" s="45"/>
      <c r="D58" s="45"/>
      <c r="F58" s="52"/>
      <c r="G58" s="52"/>
      <c r="H58" s="52"/>
      <c r="J58" s="57"/>
      <c r="K58" s="57"/>
      <c r="L58" s="57"/>
      <c r="M58" s="57"/>
      <c r="N58" s="57"/>
      <c r="O58" s="57"/>
      <c r="P58" s="57"/>
      <c r="Q58" s="57"/>
      <c r="R58" s="57"/>
      <c r="S58" s="57"/>
      <c r="T58" s="57"/>
      <c r="U58" s="57"/>
      <c r="V58" s="57"/>
      <c r="W58" s="57"/>
      <c r="X58" s="57"/>
      <c r="Y58" s="57"/>
    </row>
    <row r="59" spans="2:25" x14ac:dyDescent="0.3">
      <c r="B59" s="45"/>
      <c r="C59" s="45"/>
      <c r="D59" s="45"/>
      <c r="F59" s="52"/>
      <c r="G59" s="52"/>
      <c r="H59" s="52"/>
      <c r="J59" s="57"/>
      <c r="K59" s="57"/>
      <c r="L59" s="57"/>
      <c r="M59" s="57"/>
      <c r="N59" s="57"/>
      <c r="O59" s="57"/>
      <c r="P59" s="57"/>
      <c r="Q59" s="57"/>
      <c r="R59" s="57"/>
      <c r="S59" s="57"/>
      <c r="T59" s="57"/>
      <c r="U59" s="57"/>
      <c r="V59" s="57"/>
      <c r="W59" s="57"/>
      <c r="X59" s="57"/>
      <c r="Y59" s="57"/>
    </row>
    <row r="60" spans="2:25" x14ac:dyDescent="0.3">
      <c r="B60" s="111" t="s">
        <v>133</v>
      </c>
      <c r="C60" s="111"/>
      <c r="D60" s="45"/>
      <c r="F60" s="52"/>
      <c r="G60" s="52"/>
      <c r="H60" s="52"/>
      <c r="J60" s="57"/>
      <c r="K60" s="57"/>
      <c r="L60" s="57"/>
      <c r="O60" s="57"/>
      <c r="P60" s="57"/>
      <c r="Q60" s="57"/>
      <c r="R60" s="57"/>
      <c r="S60" s="57"/>
      <c r="T60" s="57"/>
      <c r="U60" s="57"/>
      <c r="V60" s="57"/>
      <c r="W60" s="57"/>
      <c r="X60" s="57"/>
      <c r="Y60" s="57"/>
    </row>
    <row r="61" spans="2:25" x14ac:dyDescent="0.3">
      <c r="B61" s="45"/>
      <c r="C61" s="45"/>
      <c r="D61" s="45"/>
      <c r="F61" s="52"/>
      <c r="G61" s="52"/>
      <c r="H61" s="52"/>
      <c r="L61" s="57"/>
      <c r="M61" s="57"/>
      <c r="N61" s="57"/>
      <c r="O61" s="57"/>
      <c r="P61" s="57"/>
      <c r="Q61" s="57"/>
      <c r="R61" s="57"/>
      <c r="S61" s="57"/>
      <c r="T61" s="57"/>
      <c r="U61" s="57"/>
      <c r="V61" s="57"/>
      <c r="W61" s="57"/>
      <c r="X61" s="57"/>
      <c r="Y61" s="57"/>
    </row>
    <row r="62" spans="2:25" ht="23.4" x14ac:dyDescent="0.45">
      <c r="D62" s="45"/>
      <c r="F62" s="109" t="s">
        <v>129</v>
      </c>
      <c r="G62" s="109"/>
      <c r="H62" s="52"/>
      <c r="J62" s="57"/>
      <c r="K62" s="57"/>
      <c r="L62" s="57"/>
      <c r="M62" s="57" t="s">
        <v>123</v>
      </c>
      <c r="N62" s="57" t="s">
        <v>125</v>
      </c>
      <c r="O62" s="57"/>
      <c r="P62" s="57"/>
      <c r="S62" s="57"/>
      <c r="T62" s="57"/>
      <c r="U62" s="57"/>
      <c r="V62" s="57" t="s">
        <v>105</v>
      </c>
      <c r="W62" s="57" t="s" vm="1">
        <v>115</v>
      </c>
      <c r="X62" s="57"/>
      <c r="Y62" s="57"/>
    </row>
    <row r="63" spans="2:25" x14ac:dyDescent="0.3">
      <c r="B63" s="45"/>
      <c r="C63" s="45"/>
      <c r="D63" s="45"/>
      <c r="F63" s="52"/>
      <c r="G63" s="52"/>
      <c r="H63" s="52"/>
      <c r="J63" s="57" t="s">
        <v>156</v>
      </c>
      <c r="K63" s="57" t="s">
        <v>125</v>
      </c>
      <c r="L63" s="57"/>
      <c r="M63" s="58" t="s">
        <v>116</v>
      </c>
      <c r="N63" s="57"/>
      <c r="O63" s="57"/>
      <c r="P63" s="57"/>
      <c r="Q63" s="57"/>
      <c r="R63" s="57"/>
      <c r="S63" s="57"/>
      <c r="T63" s="57"/>
      <c r="U63" s="57"/>
      <c r="V63" s="57"/>
      <c r="W63" s="57"/>
      <c r="X63" s="57"/>
      <c r="Y63" s="57"/>
    </row>
    <row r="64" spans="2:25" x14ac:dyDescent="0.3">
      <c r="B64" s="45" t="s">
        <v>140</v>
      </c>
      <c r="C64" s="45" t="s">
        <v>139</v>
      </c>
      <c r="D64" s="45" t="s">
        <v>157</v>
      </c>
      <c r="F64" s="52"/>
      <c r="G64" s="52"/>
      <c r="H64" s="52"/>
      <c r="J64" s="58" t="s">
        <v>116</v>
      </c>
      <c r="K64" s="82"/>
      <c r="L64" s="57"/>
      <c r="M64" s="59" t="s">
        <v>113</v>
      </c>
      <c r="N64" s="57">
        <v>49</v>
      </c>
      <c r="O64" s="57"/>
      <c r="P64" s="57"/>
      <c r="Q64" s="57" t="s">
        <v>160</v>
      </c>
      <c r="R64" s="57" t="s">
        <v>157</v>
      </c>
      <c r="S64" s="57"/>
      <c r="T64" s="57"/>
      <c r="U64" s="57"/>
      <c r="V64" s="57" t="s">
        <v>123</v>
      </c>
      <c r="W64" s="57" t="s">
        <v>125</v>
      </c>
      <c r="X64" s="57"/>
      <c r="Y64" s="57"/>
    </row>
    <row r="65" spans="2:25" x14ac:dyDescent="0.3">
      <c r="B65" s="46" t="s">
        <v>16</v>
      </c>
      <c r="C65" s="47">
        <v>0.48217636022514071</v>
      </c>
      <c r="D65" s="83">
        <v>257</v>
      </c>
      <c r="F65" s="52"/>
      <c r="G65" s="52"/>
      <c r="H65" s="52"/>
      <c r="J65" s="59" t="s">
        <v>16</v>
      </c>
      <c r="K65" s="82">
        <v>250</v>
      </c>
      <c r="L65" s="57"/>
      <c r="M65" s="59" t="s">
        <v>114</v>
      </c>
      <c r="N65" s="57">
        <v>183</v>
      </c>
      <c r="O65" s="57"/>
      <c r="P65" s="57"/>
      <c r="Q65" s="58" t="s">
        <v>116</v>
      </c>
      <c r="R65" s="57"/>
      <c r="S65" s="57"/>
      <c r="T65" s="57"/>
      <c r="U65" s="57"/>
      <c r="V65" s="58" t="s">
        <v>116</v>
      </c>
      <c r="W65" s="57"/>
      <c r="X65" s="57"/>
      <c r="Y65" s="57"/>
    </row>
    <row r="66" spans="2:25" x14ac:dyDescent="0.3">
      <c r="B66" s="46" t="s">
        <v>11</v>
      </c>
      <c r="C66" s="47">
        <v>0.51782363977485923</v>
      </c>
      <c r="D66" s="83">
        <v>276</v>
      </c>
      <c r="F66" s="52" t="s">
        <v>123</v>
      </c>
      <c r="G66" s="52" t="s">
        <v>159</v>
      </c>
      <c r="H66" s="52" t="s">
        <v>146</v>
      </c>
      <c r="J66" s="59" t="s">
        <v>11</v>
      </c>
      <c r="K66" s="82">
        <v>269</v>
      </c>
      <c r="L66" s="57"/>
      <c r="M66" s="59" t="s">
        <v>118</v>
      </c>
      <c r="N66" s="57">
        <v>60</v>
      </c>
      <c r="O66" s="57"/>
      <c r="P66" s="57"/>
      <c r="Q66" s="59" t="s">
        <v>12</v>
      </c>
      <c r="R66" s="57">
        <v>188</v>
      </c>
      <c r="S66" s="57"/>
      <c r="T66" s="57"/>
      <c r="U66" s="57"/>
      <c r="V66" s="59" t="s">
        <v>9</v>
      </c>
      <c r="W66" s="57">
        <v>275</v>
      </c>
      <c r="X66" s="57"/>
      <c r="Y66" s="57"/>
    </row>
    <row r="67" spans="2:25" x14ac:dyDescent="0.3">
      <c r="F67" s="53" t="s">
        <v>116</v>
      </c>
      <c r="G67" s="63">
        <v>0.97373358348968109</v>
      </c>
      <c r="H67" s="92">
        <v>519</v>
      </c>
      <c r="J67" s="58" t="s">
        <v>112</v>
      </c>
      <c r="K67" s="82"/>
      <c r="L67" s="57"/>
      <c r="M67" s="59" t="s">
        <v>119</v>
      </c>
      <c r="N67" s="57">
        <v>9</v>
      </c>
      <c r="O67" s="57"/>
      <c r="P67" s="57"/>
      <c r="Q67" s="59" t="s">
        <v>18</v>
      </c>
      <c r="R67" s="57">
        <v>164</v>
      </c>
      <c r="S67" s="57"/>
      <c r="T67" s="57"/>
      <c r="U67" s="57"/>
      <c r="V67" s="59" t="s">
        <v>14</v>
      </c>
      <c r="W67" s="57">
        <v>244</v>
      </c>
      <c r="X67" s="57"/>
      <c r="Y67" s="57"/>
    </row>
    <row r="68" spans="2:25" x14ac:dyDescent="0.3">
      <c r="F68" s="53" t="s">
        <v>112</v>
      </c>
      <c r="G68" s="63">
        <v>2.6266416510318951E-2</v>
      </c>
      <c r="H68" s="92">
        <v>14</v>
      </c>
      <c r="J68" s="59" t="s">
        <v>16</v>
      </c>
      <c r="K68" s="82">
        <v>7</v>
      </c>
      <c r="L68" s="57"/>
      <c r="M68" s="59" t="s">
        <v>108</v>
      </c>
      <c r="N68" s="57">
        <v>171</v>
      </c>
      <c r="O68" s="57"/>
      <c r="P68" s="57"/>
      <c r="Q68" s="59" t="s">
        <v>23</v>
      </c>
      <c r="R68" s="57">
        <v>167</v>
      </c>
      <c r="S68" s="57"/>
      <c r="T68" s="57"/>
      <c r="U68" s="57"/>
      <c r="V68" s="58" t="s">
        <v>112</v>
      </c>
      <c r="W68" s="57"/>
      <c r="X68" s="57"/>
      <c r="Y68" s="57"/>
    </row>
    <row r="69" spans="2:25" x14ac:dyDescent="0.3">
      <c r="F69" s="52"/>
      <c r="G69" s="52"/>
      <c r="H69" s="52"/>
      <c r="J69" s="59" t="s">
        <v>11</v>
      </c>
      <c r="K69" s="82">
        <v>7</v>
      </c>
      <c r="L69" s="57"/>
      <c r="M69" s="59" t="s">
        <v>117</v>
      </c>
      <c r="N69" s="57">
        <v>47</v>
      </c>
      <c r="O69" s="57"/>
      <c r="P69" s="57"/>
      <c r="Q69" s="58" t="s">
        <v>112</v>
      </c>
      <c r="R69" s="57"/>
      <c r="S69" s="57"/>
      <c r="T69" s="57"/>
      <c r="U69" s="57"/>
      <c r="V69" s="59" t="s">
        <v>9</v>
      </c>
      <c r="W69" s="57">
        <v>6</v>
      </c>
      <c r="X69" s="57"/>
      <c r="Y69" s="57"/>
    </row>
    <row r="70" spans="2:25" x14ac:dyDescent="0.3">
      <c r="B70" s="45"/>
      <c r="C70" s="45"/>
      <c r="D70" s="45"/>
      <c r="F70" s="52"/>
      <c r="G70" s="52"/>
      <c r="H70" s="52"/>
      <c r="J70" s="58" t="s">
        <v>122</v>
      </c>
      <c r="K70" s="82">
        <v>533</v>
      </c>
      <c r="L70" s="57"/>
      <c r="M70" s="58" t="s">
        <v>112</v>
      </c>
      <c r="N70" s="57"/>
      <c r="O70" s="57"/>
      <c r="P70" s="57"/>
      <c r="Q70" s="59" t="s">
        <v>12</v>
      </c>
      <c r="R70" s="57">
        <v>166</v>
      </c>
      <c r="S70" s="57"/>
      <c r="T70" s="57"/>
      <c r="U70" s="57"/>
      <c r="V70" s="59" t="s">
        <v>14</v>
      </c>
      <c r="W70" s="57">
        <v>8</v>
      </c>
      <c r="X70" s="57"/>
      <c r="Y70" s="57"/>
    </row>
    <row r="71" spans="2:25" x14ac:dyDescent="0.3">
      <c r="B71" s="45"/>
      <c r="C71" s="45"/>
      <c r="D71" s="45"/>
      <c r="F71" s="52"/>
      <c r="G71" s="52"/>
      <c r="H71" s="52"/>
      <c r="J71" s="57"/>
      <c r="K71" s="57"/>
      <c r="L71" s="57"/>
      <c r="M71" s="59" t="s">
        <v>113</v>
      </c>
      <c r="N71" s="57">
        <v>44</v>
      </c>
      <c r="O71" s="57"/>
      <c r="P71" s="57"/>
      <c r="Q71" s="59" t="s">
        <v>18</v>
      </c>
      <c r="R71" s="57">
        <v>165</v>
      </c>
      <c r="S71" s="57"/>
      <c r="T71" s="57"/>
      <c r="U71" s="57"/>
      <c r="V71" s="58" t="s">
        <v>122</v>
      </c>
      <c r="W71" s="57">
        <v>533</v>
      </c>
      <c r="X71" s="57"/>
      <c r="Y71" s="57"/>
    </row>
    <row r="72" spans="2:25" x14ac:dyDescent="0.3">
      <c r="B72" s="45"/>
      <c r="C72" s="45"/>
      <c r="D72" s="45"/>
      <c r="F72" s="52" t="s">
        <v>135</v>
      </c>
      <c r="G72" s="52"/>
      <c r="H72" s="52"/>
      <c r="J72" s="57"/>
      <c r="K72" s="57"/>
      <c r="L72" s="57"/>
      <c r="M72" s="59" t="s">
        <v>114</v>
      </c>
      <c r="N72" s="57">
        <v>169</v>
      </c>
      <c r="O72" s="57"/>
      <c r="P72" s="57"/>
      <c r="Q72" s="59" t="s">
        <v>23</v>
      </c>
      <c r="R72" s="57">
        <v>150</v>
      </c>
      <c r="S72" s="57"/>
      <c r="T72" s="57"/>
      <c r="U72" s="57"/>
      <c r="V72" s="57"/>
      <c r="W72" s="57"/>
      <c r="X72" s="57"/>
      <c r="Y72" s="57"/>
    </row>
    <row r="73" spans="2:25" x14ac:dyDescent="0.3">
      <c r="B73" s="45"/>
      <c r="C73" s="45"/>
      <c r="D73" s="45"/>
      <c r="F73" s="52"/>
      <c r="G73" s="52"/>
      <c r="H73" s="52"/>
      <c r="J73" s="57"/>
      <c r="K73" s="57"/>
      <c r="L73" s="57"/>
      <c r="M73" s="59" t="s">
        <v>118</v>
      </c>
      <c r="N73" s="57">
        <v>48</v>
      </c>
      <c r="O73" s="57"/>
      <c r="P73" s="57"/>
      <c r="Q73" s="58" t="s">
        <v>122</v>
      </c>
      <c r="R73" s="57">
        <v>1000</v>
      </c>
      <c r="S73" s="57"/>
      <c r="T73" s="57"/>
      <c r="U73" s="57"/>
      <c r="V73" s="57"/>
      <c r="W73" s="57"/>
      <c r="X73" s="57"/>
      <c r="Y73" s="57"/>
    </row>
    <row r="74" spans="2:25" x14ac:dyDescent="0.3">
      <c r="B74" s="45"/>
      <c r="C74" s="45"/>
      <c r="D74" s="45"/>
      <c r="F74" s="52" t="s">
        <v>136</v>
      </c>
      <c r="G74" s="52"/>
      <c r="H74" s="52"/>
      <c r="J74" s="57"/>
      <c r="K74" s="57"/>
      <c r="L74" s="57"/>
      <c r="M74" s="59" t="s">
        <v>119</v>
      </c>
      <c r="N74" s="57">
        <v>7</v>
      </c>
      <c r="O74" s="57"/>
      <c r="P74" s="57"/>
      <c r="Q74" s="57"/>
      <c r="R74" s="57"/>
      <c r="S74" s="57"/>
      <c r="T74" s="57"/>
      <c r="U74" s="57"/>
      <c r="V74" s="57"/>
      <c r="W74" s="57"/>
      <c r="X74" s="57"/>
      <c r="Y74" s="57"/>
    </row>
    <row r="75" spans="2:25" x14ac:dyDescent="0.3">
      <c r="B75" s="45"/>
      <c r="C75" s="45"/>
      <c r="D75" s="45"/>
      <c r="F75" s="52"/>
      <c r="G75" s="52"/>
      <c r="H75" s="52"/>
      <c r="J75" s="57"/>
      <c r="K75" s="57"/>
      <c r="L75" s="57"/>
      <c r="M75" s="59" t="s">
        <v>108</v>
      </c>
      <c r="N75" s="57">
        <v>164</v>
      </c>
      <c r="O75" s="57"/>
      <c r="P75" s="57"/>
      <c r="Q75" s="57"/>
      <c r="R75" s="57"/>
      <c r="S75" s="57"/>
      <c r="T75" s="57"/>
      <c r="U75" s="57"/>
      <c r="V75" s="57"/>
      <c r="W75" s="57"/>
      <c r="X75" s="57"/>
      <c r="Y75" s="57"/>
    </row>
    <row r="76" spans="2:25" x14ac:dyDescent="0.3">
      <c r="B76" s="45"/>
      <c r="C76" s="45"/>
      <c r="D76" s="45"/>
      <c r="F76" s="52"/>
      <c r="G76" s="52"/>
      <c r="H76" s="52"/>
      <c r="J76" s="57"/>
      <c r="K76" s="57"/>
      <c r="L76" s="57"/>
      <c r="M76" s="59" t="s">
        <v>117</v>
      </c>
      <c r="N76" s="57">
        <v>49</v>
      </c>
      <c r="O76" s="57"/>
      <c r="P76" s="57"/>
      <c r="Q76" s="57"/>
      <c r="R76" s="57"/>
      <c r="S76" s="57"/>
      <c r="T76" s="57"/>
      <c r="U76" s="57"/>
      <c r="V76" s="57"/>
      <c r="W76" s="57"/>
      <c r="X76" s="57"/>
      <c r="Y76" s="57"/>
    </row>
    <row r="77" spans="2:25" x14ac:dyDescent="0.3">
      <c r="B77" s="45"/>
      <c r="C77" s="45"/>
      <c r="D77" s="45"/>
      <c r="F77" s="52"/>
      <c r="G77" s="52"/>
      <c r="H77" s="52"/>
      <c r="J77" s="57"/>
      <c r="K77" s="57"/>
      <c r="L77" s="57"/>
      <c r="M77" s="58" t="s">
        <v>122</v>
      </c>
      <c r="N77" s="57">
        <v>1000</v>
      </c>
      <c r="O77" s="57"/>
      <c r="P77" s="57"/>
      <c r="Q77" s="57"/>
      <c r="R77" s="57"/>
      <c r="S77" s="57"/>
      <c r="T77" s="57"/>
      <c r="U77" s="57"/>
      <c r="V77" s="57"/>
      <c r="W77" s="57"/>
      <c r="X77" s="57"/>
      <c r="Y77" s="57"/>
    </row>
    <row r="78" spans="2:25" x14ac:dyDescent="0.3">
      <c r="B78" s="45"/>
      <c r="C78" s="45"/>
      <c r="D78" s="45"/>
      <c r="F78" s="52"/>
      <c r="G78" s="52"/>
      <c r="H78" s="52"/>
      <c r="J78" s="57"/>
      <c r="K78" s="57"/>
      <c r="L78" s="57"/>
      <c r="M78" s="57"/>
      <c r="N78" s="57"/>
      <c r="O78" s="57"/>
      <c r="P78" s="57"/>
      <c r="Q78" s="57"/>
      <c r="R78" s="57"/>
      <c r="S78" s="57"/>
      <c r="T78" s="57"/>
      <c r="U78" s="57"/>
      <c r="V78" s="57"/>
      <c r="W78" s="57"/>
      <c r="X78" s="57"/>
      <c r="Y78" s="57"/>
    </row>
    <row r="79" spans="2:25" x14ac:dyDescent="0.3">
      <c r="B79" s="45"/>
      <c r="C79" s="45"/>
      <c r="D79" s="45"/>
      <c r="F79" s="52"/>
      <c r="G79" s="52"/>
      <c r="H79" s="52"/>
    </row>
    <row r="80" spans="2:25" x14ac:dyDescent="0.3">
      <c r="B80" s="45"/>
      <c r="C80" s="45"/>
      <c r="D80" s="45"/>
      <c r="F80" s="52"/>
      <c r="G80" s="52"/>
      <c r="H80" s="52"/>
    </row>
    <row r="81" spans="2:8" x14ac:dyDescent="0.3">
      <c r="B81" s="45"/>
      <c r="C81" s="45"/>
      <c r="D81" s="45"/>
      <c r="F81" s="52"/>
      <c r="G81" s="52"/>
      <c r="H81" s="52"/>
    </row>
    <row r="82" spans="2:8" x14ac:dyDescent="0.3">
      <c r="B82" s="45"/>
      <c r="C82" s="45"/>
      <c r="D82" s="45"/>
      <c r="F82" s="52"/>
      <c r="G82" s="52"/>
      <c r="H82" s="52"/>
    </row>
    <row r="83" spans="2:8" x14ac:dyDescent="0.3">
      <c r="B83" s="45"/>
      <c r="C83" s="45"/>
      <c r="D83" s="45"/>
      <c r="F83" s="52"/>
      <c r="G83" s="52"/>
      <c r="H83" s="52"/>
    </row>
    <row r="84" spans="2:8" x14ac:dyDescent="0.3">
      <c r="B84" s="45"/>
      <c r="C84" s="45"/>
      <c r="D84" s="45"/>
      <c r="F84" s="52"/>
      <c r="G84" s="52"/>
      <c r="H84" s="52"/>
    </row>
    <row r="85" spans="2:8" x14ac:dyDescent="0.3">
      <c r="B85" s="45"/>
      <c r="C85" s="45"/>
      <c r="D85" s="45"/>
      <c r="F85" s="52"/>
      <c r="G85" s="52"/>
      <c r="H85" s="52"/>
    </row>
    <row r="86" spans="2:8" x14ac:dyDescent="0.3">
      <c r="B86" s="45"/>
      <c r="C86" s="45"/>
      <c r="D86" s="45"/>
      <c r="F86" s="52"/>
      <c r="G86" s="52"/>
      <c r="H86" s="52"/>
    </row>
    <row r="87" spans="2:8" x14ac:dyDescent="0.3">
      <c r="B87" s="45"/>
      <c r="C87" s="45"/>
      <c r="D87" s="45"/>
      <c r="F87" s="52"/>
      <c r="G87" s="52"/>
      <c r="H87" s="52"/>
    </row>
    <row r="88" spans="2:8" x14ac:dyDescent="0.3">
      <c r="B88" s="45"/>
      <c r="C88" s="45"/>
      <c r="D88" s="45"/>
      <c r="F88" s="52"/>
      <c r="G88" s="52"/>
      <c r="H88" s="52"/>
    </row>
    <row r="89" spans="2:8" x14ac:dyDescent="0.3">
      <c r="B89" s="45"/>
      <c r="C89" s="45"/>
      <c r="D89" s="45"/>
      <c r="F89" s="52"/>
      <c r="G89" s="52"/>
      <c r="H89" s="52"/>
    </row>
    <row r="90" spans="2:8" x14ac:dyDescent="0.3">
      <c r="B90" s="45"/>
      <c r="C90" s="45"/>
      <c r="D90" s="45"/>
      <c r="F90" s="52"/>
      <c r="G90" s="52"/>
      <c r="H90" s="52"/>
    </row>
    <row r="91" spans="2:8" x14ac:dyDescent="0.3">
      <c r="B91" s="45"/>
      <c r="C91" s="45"/>
      <c r="D91" s="45"/>
      <c r="F91" s="52"/>
      <c r="G91" s="52"/>
      <c r="H91" s="52"/>
    </row>
    <row r="92" spans="2:8" x14ac:dyDescent="0.3">
      <c r="B92" s="45"/>
      <c r="C92" s="45"/>
      <c r="D92" s="45"/>
      <c r="F92" s="52"/>
      <c r="G92" s="52"/>
      <c r="H92" s="52"/>
    </row>
    <row r="93" spans="2:8" x14ac:dyDescent="0.3">
      <c r="B93" s="45"/>
      <c r="C93" s="45"/>
      <c r="D93" s="45"/>
      <c r="F93" s="52"/>
      <c r="G93" s="52"/>
      <c r="H93" s="52"/>
    </row>
    <row r="94" spans="2:8" x14ac:dyDescent="0.3">
      <c r="B94" s="45"/>
      <c r="C94" s="45"/>
      <c r="D94" s="45"/>
      <c r="F94" s="52"/>
      <c r="G94" s="52"/>
      <c r="H94" s="52"/>
    </row>
    <row r="95" spans="2:8" x14ac:dyDescent="0.3">
      <c r="B95" s="111" t="s">
        <v>134</v>
      </c>
      <c r="C95" s="111"/>
      <c r="D95" s="45"/>
      <c r="F95" s="52"/>
      <c r="G95" s="52"/>
      <c r="H95" s="52"/>
    </row>
    <row r="96" spans="2:8" x14ac:dyDescent="0.3">
      <c r="B96" s="45"/>
      <c r="C96" s="45"/>
      <c r="D96" s="45"/>
      <c r="F96" s="52"/>
      <c r="G96" s="52"/>
      <c r="H96" s="52"/>
    </row>
    <row r="97" spans="2:29" x14ac:dyDescent="0.3">
      <c r="D97" s="45"/>
      <c r="F97" s="52"/>
      <c r="G97" s="52"/>
      <c r="H97" s="52"/>
    </row>
    <row r="98" spans="2:29" x14ac:dyDescent="0.3">
      <c r="B98" s="45"/>
      <c r="C98" s="45"/>
      <c r="D98" s="45"/>
    </row>
    <row r="99" spans="2:29" x14ac:dyDescent="0.3">
      <c r="B99" s="45" t="s">
        <v>0</v>
      </c>
      <c r="C99" s="45" t="s">
        <v>165</v>
      </c>
      <c r="D99" s="45" t="s">
        <v>166</v>
      </c>
    </row>
    <row r="100" spans="2:29" x14ac:dyDescent="0.3">
      <c r="B100" s="46" t="s">
        <v>9</v>
      </c>
      <c r="C100" s="47">
        <v>0.5272045028142589</v>
      </c>
      <c r="D100" s="83">
        <v>281</v>
      </c>
    </row>
    <row r="101" spans="2:29" ht="23.4" x14ac:dyDescent="0.45">
      <c r="B101" s="46" t="s">
        <v>14</v>
      </c>
      <c r="C101" s="47">
        <v>0.4727954971857411</v>
      </c>
      <c r="D101" s="83">
        <v>252</v>
      </c>
      <c r="M101" s="108" t="s">
        <v>152</v>
      </c>
      <c r="N101" s="108"/>
      <c r="O101" s="108"/>
    </row>
    <row r="103" spans="2:29" x14ac:dyDescent="0.3">
      <c r="B103" s="45"/>
      <c r="C103" s="45"/>
      <c r="D103" s="45"/>
    </row>
    <row r="104" spans="2:29" x14ac:dyDescent="0.3">
      <c r="B104" s="45"/>
      <c r="C104" s="45"/>
      <c r="D104" s="45"/>
    </row>
    <row r="105" spans="2:29" x14ac:dyDescent="0.3">
      <c r="B105" s="45"/>
      <c r="C105" s="45"/>
      <c r="D105" s="45"/>
      <c r="F105" s="48"/>
      <c r="G105" s="48"/>
      <c r="H105" s="48"/>
      <c r="I105" s="48"/>
      <c r="J105" s="48"/>
      <c r="K105" s="48"/>
      <c r="L105" s="48"/>
      <c r="M105" s="48"/>
      <c r="N105" s="48"/>
      <c r="O105" s="48"/>
      <c r="P105" s="48"/>
      <c r="Q105" s="48"/>
      <c r="R105" s="48"/>
      <c r="S105" s="48"/>
      <c r="T105" s="48"/>
      <c r="U105" s="48"/>
      <c r="V105" s="48"/>
      <c r="W105" s="48"/>
      <c r="X105" s="48"/>
      <c r="Y105" s="48"/>
      <c r="Z105" s="48"/>
      <c r="AA105" s="48"/>
      <c r="AB105" s="48"/>
      <c r="AC105" s="48"/>
    </row>
    <row r="106" spans="2:29" x14ac:dyDescent="0.3">
      <c r="B106" s="45"/>
      <c r="C106" s="45"/>
      <c r="D106" s="45"/>
      <c r="H106" s="48"/>
      <c r="I106" s="48"/>
      <c r="J106" s="48"/>
      <c r="K106" s="48"/>
      <c r="L106" s="48"/>
      <c r="M106" s="48"/>
      <c r="N106" s="48"/>
      <c r="O106" s="48"/>
      <c r="P106" s="48"/>
      <c r="Q106" s="48"/>
      <c r="R106" s="48"/>
      <c r="S106" s="48"/>
      <c r="T106" s="48"/>
      <c r="U106" s="48"/>
      <c r="V106" s="48"/>
      <c r="W106" s="48"/>
      <c r="X106" s="48"/>
      <c r="Y106" s="48"/>
      <c r="Z106" s="48"/>
      <c r="AA106" s="48"/>
      <c r="AB106" s="48"/>
      <c r="AC106" s="48"/>
    </row>
    <row r="107" spans="2:29" x14ac:dyDescent="0.3">
      <c r="B107" s="45"/>
      <c r="C107" s="45"/>
      <c r="D107" s="45"/>
      <c r="F107" s="48"/>
      <c r="G107" s="48"/>
      <c r="H107" s="48"/>
      <c r="I107" s="48"/>
      <c r="L107" s="48"/>
      <c r="M107" s="48"/>
      <c r="N107" s="48"/>
      <c r="O107" s="48"/>
      <c r="P107" s="48"/>
      <c r="Q107" s="48"/>
      <c r="R107" s="48"/>
      <c r="S107" s="48"/>
      <c r="T107" s="48"/>
      <c r="U107" s="48"/>
      <c r="V107" s="48"/>
      <c r="W107" s="48"/>
      <c r="X107" s="48"/>
      <c r="Y107" s="48" t="s">
        <v>105</v>
      </c>
      <c r="Z107" s="48" t="s" vm="1">
        <v>115</v>
      </c>
      <c r="AA107" s="48"/>
      <c r="AB107" s="48"/>
      <c r="AC107" s="48"/>
    </row>
    <row r="108" spans="2:29" x14ac:dyDescent="0.3">
      <c r="B108" s="45"/>
      <c r="C108" s="45"/>
      <c r="D108" s="45"/>
      <c r="F108" s="48"/>
      <c r="G108" s="48" t="s">
        <v>162</v>
      </c>
      <c r="H108" s="48" t="s">
        <v>161</v>
      </c>
      <c r="I108" s="48"/>
      <c r="J108" s="48"/>
      <c r="K108" s="48"/>
      <c r="L108" s="48"/>
      <c r="M108" s="48"/>
      <c r="N108" s="48"/>
      <c r="Q108" s="48"/>
      <c r="R108" s="48"/>
      <c r="S108" s="48" t="s">
        <v>105</v>
      </c>
      <c r="T108" s="48" t="s" vm="1">
        <v>115</v>
      </c>
      <c r="U108" s="48"/>
      <c r="V108" s="48"/>
      <c r="W108" s="48"/>
      <c r="X108" s="48"/>
      <c r="Y108" s="48"/>
      <c r="Z108" s="48"/>
      <c r="AA108" s="48"/>
      <c r="AB108" s="48"/>
      <c r="AC108" s="48"/>
    </row>
    <row r="109" spans="2:29" x14ac:dyDescent="0.3">
      <c r="B109" s="45"/>
      <c r="C109" s="45"/>
      <c r="D109" s="45"/>
      <c r="F109" s="49" t="s">
        <v>114</v>
      </c>
      <c r="G109" s="48"/>
      <c r="H109" s="50"/>
      <c r="I109" s="48"/>
      <c r="J109" s="48" t="s">
        <v>123</v>
      </c>
      <c r="K109" s="48" t="s">
        <v>125</v>
      </c>
      <c r="L109" s="48" t="s">
        <v>146</v>
      </c>
      <c r="M109" s="48"/>
      <c r="N109" s="48"/>
      <c r="O109" s="48"/>
      <c r="P109" s="48"/>
      <c r="Q109" s="48"/>
      <c r="R109" s="48"/>
      <c r="S109" s="48"/>
      <c r="T109" s="48"/>
      <c r="U109" s="48"/>
      <c r="V109" s="48"/>
      <c r="W109" s="48"/>
      <c r="X109" s="48"/>
      <c r="Y109" s="48" t="s">
        <v>123</v>
      </c>
      <c r="Z109" s="48" t="s">
        <v>125</v>
      </c>
      <c r="AA109" s="48"/>
      <c r="AB109" s="48"/>
      <c r="AC109" s="48"/>
    </row>
    <row r="110" spans="2:29" x14ac:dyDescent="0.3">
      <c r="B110" s="45"/>
      <c r="C110" s="45"/>
      <c r="D110" s="45"/>
      <c r="F110" s="51" t="s">
        <v>111</v>
      </c>
      <c r="G110" s="48">
        <v>185</v>
      </c>
      <c r="H110" s="50">
        <v>0.26928675400291119</v>
      </c>
      <c r="I110" s="48"/>
      <c r="J110" s="49" t="s">
        <v>114</v>
      </c>
      <c r="K110" s="48"/>
      <c r="L110" s="50"/>
      <c r="M110" s="48"/>
      <c r="N110" s="48"/>
      <c r="O110" s="48" t="s">
        <v>123</v>
      </c>
      <c r="P110" s="48" t="s">
        <v>125</v>
      </c>
      <c r="Q110" s="48"/>
      <c r="R110" s="48"/>
      <c r="S110" s="48" t="s">
        <v>123</v>
      </c>
      <c r="T110" s="48" t="s">
        <v>125</v>
      </c>
      <c r="U110" s="48"/>
      <c r="V110" s="48"/>
      <c r="W110" s="48"/>
      <c r="X110" s="48"/>
      <c r="Y110" s="49" t="s">
        <v>114</v>
      </c>
      <c r="Z110" s="48"/>
      <c r="AA110" s="48"/>
      <c r="AB110" s="48"/>
      <c r="AC110" s="48"/>
    </row>
    <row r="111" spans="2:29" x14ac:dyDescent="0.3">
      <c r="B111" s="45"/>
      <c r="C111" s="45"/>
      <c r="D111" s="45"/>
      <c r="F111" s="51" t="s">
        <v>94</v>
      </c>
      <c r="G111" s="48">
        <v>167</v>
      </c>
      <c r="H111" s="50">
        <v>0.2430858806404658</v>
      </c>
      <c r="I111" s="48"/>
      <c r="J111" s="51" t="s">
        <v>116</v>
      </c>
      <c r="K111" s="48">
        <v>183</v>
      </c>
      <c r="L111" s="50">
        <v>0.26637554585152839</v>
      </c>
      <c r="M111" s="48"/>
      <c r="N111" s="48"/>
      <c r="O111" s="49" t="s">
        <v>114</v>
      </c>
      <c r="P111" s="48"/>
      <c r="Q111" s="48"/>
      <c r="R111" s="48"/>
      <c r="S111" s="49" t="s">
        <v>114</v>
      </c>
      <c r="T111" s="48"/>
      <c r="U111" s="48"/>
      <c r="V111" s="48"/>
      <c r="W111" s="48"/>
      <c r="X111" s="48"/>
      <c r="Y111" s="51" t="s">
        <v>12</v>
      </c>
      <c r="Z111" s="48">
        <v>72</v>
      </c>
      <c r="AA111" s="48"/>
      <c r="AB111" s="48"/>
      <c r="AC111" s="48"/>
    </row>
    <row r="112" spans="2:29" x14ac:dyDescent="0.3">
      <c r="B112" s="45"/>
      <c r="C112" s="45"/>
      <c r="D112" s="45"/>
      <c r="F112" s="49" t="s">
        <v>108</v>
      </c>
      <c r="G112" s="48"/>
      <c r="H112" s="50"/>
      <c r="I112" s="48"/>
      <c r="J112" s="51" t="s">
        <v>112</v>
      </c>
      <c r="K112" s="48">
        <v>169</v>
      </c>
      <c r="L112" s="50">
        <v>0.24599708879184862</v>
      </c>
      <c r="M112" s="48"/>
      <c r="N112" s="48"/>
      <c r="O112" s="51" t="s">
        <v>9</v>
      </c>
      <c r="P112" s="48">
        <v>185</v>
      </c>
      <c r="Q112" s="48"/>
      <c r="R112" s="48"/>
      <c r="S112" s="51" t="s">
        <v>16</v>
      </c>
      <c r="T112" s="48">
        <v>92</v>
      </c>
      <c r="U112" s="48"/>
      <c r="V112" s="48"/>
      <c r="W112" s="48"/>
      <c r="X112" s="48"/>
      <c r="Y112" s="51" t="s">
        <v>18</v>
      </c>
      <c r="Z112" s="48">
        <v>60</v>
      </c>
      <c r="AA112" s="48"/>
      <c r="AB112" s="48"/>
      <c r="AC112" s="48"/>
    </row>
    <row r="113" spans="2:29" x14ac:dyDescent="0.3">
      <c r="B113" s="45"/>
      <c r="C113" s="45"/>
      <c r="D113" s="45"/>
      <c r="F113" s="51" t="s">
        <v>111</v>
      </c>
      <c r="G113" s="48">
        <v>162</v>
      </c>
      <c r="H113" s="50">
        <v>0.23580786026200873</v>
      </c>
      <c r="I113" s="48"/>
      <c r="J113" s="49" t="s">
        <v>108</v>
      </c>
      <c r="K113" s="48"/>
      <c r="L113" s="50"/>
      <c r="M113" s="48"/>
      <c r="N113" s="48"/>
      <c r="O113" s="51" t="s">
        <v>14</v>
      </c>
      <c r="P113" s="48">
        <v>167</v>
      </c>
      <c r="Q113" s="48"/>
      <c r="R113" s="48"/>
      <c r="S113" s="51" t="s">
        <v>11</v>
      </c>
      <c r="T113" s="48">
        <v>97</v>
      </c>
      <c r="U113" s="48"/>
      <c r="V113" s="48"/>
      <c r="W113" s="48"/>
      <c r="X113" s="48"/>
      <c r="Y113" s="51" t="s">
        <v>23</v>
      </c>
      <c r="Z113" s="48">
        <v>57</v>
      </c>
      <c r="AA113" s="48"/>
      <c r="AB113" s="48"/>
      <c r="AC113" s="48"/>
    </row>
    <row r="114" spans="2:29" x14ac:dyDescent="0.3">
      <c r="B114" s="45"/>
      <c r="C114" s="45"/>
      <c r="D114" s="45"/>
      <c r="F114" s="51" t="s">
        <v>94</v>
      </c>
      <c r="G114" s="48">
        <v>173</v>
      </c>
      <c r="H114" s="50">
        <v>0.25181950509461426</v>
      </c>
      <c r="I114" s="48"/>
      <c r="J114" s="51" t="s">
        <v>116</v>
      </c>
      <c r="K114" s="48">
        <v>171</v>
      </c>
      <c r="L114" s="50">
        <v>0.24890829694323144</v>
      </c>
      <c r="M114" s="48"/>
      <c r="N114" s="48"/>
      <c r="O114" s="49" t="s">
        <v>108</v>
      </c>
      <c r="P114" s="48"/>
      <c r="Q114" s="48"/>
      <c r="R114" s="48"/>
      <c r="S114" s="49" t="s">
        <v>108</v>
      </c>
      <c r="T114" s="48"/>
      <c r="U114" s="48"/>
      <c r="V114" s="48"/>
      <c r="W114" s="48"/>
      <c r="X114" s="48"/>
      <c r="Y114" s="49" t="s">
        <v>108</v>
      </c>
      <c r="Z114" s="48"/>
      <c r="AA114" s="48"/>
      <c r="AB114" s="48"/>
      <c r="AC114" s="48"/>
    </row>
    <row r="115" spans="2:29" x14ac:dyDescent="0.3">
      <c r="B115" s="45"/>
      <c r="C115" s="45"/>
      <c r="D115" s="45"/>
      <c r="I115" s="48"/>
      <c r="J115" s="51" t="s">
        <v>112</v>
      </c>
      <c r="K115" s="48">
        <v>164</v>
      </c>
      <c r="L115" s="50">
        <v>0.23871906841339155</v>
      </c>
      <c r="M115" s="48"/>
      <c r="N115" s="48"/>
      <c r="O115" s="51" t="s">
        <v>9</v>
      </c>
      <c r="P115" s="48">
        <v>165</v>
      </c>
      <c r="Q115" s="48"/>
      <c r="R115" s="48"/>
      <c r="S115" s="51" t="s">
        <v>16</v>
      </c>
      <c r="T115" s="48">
        <v>81</v>
      </c>
      <c r="U115" s="48"/>
      <c r="V115" s="48"/>
      <c r="W115" s="48"/>
      <c r="X115" s="48"/>
      <c r="Y115" s="51" t="s">
        <v>12</v>
      </c>
      <c r="Z115" s="48">
        <v>59</v>
      </c>
      <c r="AA115" s="48"/>
      <c r="AB115" s="48"/>
      <c r="AC115" s="48"/>
    </row>
    <row r="116" spans="2:29" x14ac:dyDescent="0.3">
      <c r="B116" s="45"/>
      <c r="C116" s="45"/>
      <c r="D116" s="45"/>
      <c r="F116" s="48"/>
      <c r="G116" s="48"/>
      <c r="H116" s="48"/>
      <c r="I116" s="48"/>
      <c r="M116" s="48"/>
      <c r="N116" s="48"/>
      <c r="O116" s="51" t="s">
        <v>14</v>
      </c>
      <c r="P116" s="48">
        <v>170</v>
      </c>
      <c r="Q116" s="48"/>
      <c r="R116" s="48"/>
      <c r="S116" s="51" t="s">
        <v>11</v>
      </c>
      <c r="T116" s="48">
        <v>94</v>
      </c>
      <c r="U116" s="48"/>
      <c r="V116" s="48"/>
      <c r="W116" s="48"/>
      <c r="X116" s="48"/>
      <c r="Y116" s="51" t="s">
        <v>18</v>
      </c>
      <c r="Z116" s="48">
        <v>58</v>
      </c>
      <c r="AA116" s="48"/>
      <c r="AB116" s="48"/>
      <c r="AC116" s="48"/>
    </row>
    <row r="117" spans="2:29" x14ac:dyDescent="0.3">
      <c r="B117" s="45"/>
      <c r="C117" s="45"/>
      <c r="D117" s="45"/>
      <c r="F117" s="48"/>
      <c r="G117" s="48"/>
      <c r="H117" s="48"/>
      <c r="I117" s="48"/>
      <c r="J117" s="48"/>
      <c r="K117" s="48"/>
      <c r="L117" s="48"/>
      <c r="M117" s="48"/>
      <c r="N117" s="48"/>
      <c r="O117" s="49" t="s">
        <v>122</v>
      </c>
      <c r="P117" s="48">
        <v>687</v>
      </c>
      <c r="Q117" s="48"/>
      <c r="R117" s="48"/>
      <c r="S117" s="49" t="s">
        <v>122</v>
      </c>
      <c r="T117" s="48">
        <v>364</v>
      </c>
      <c r="U117" s="48"/>
      <c r="V117" s="48"/>
      <c r="W117" s="48"/>
      <c r="X117" s="48"/>
      <c r="Y117" s="51" t="s">
        <v>23</v>
      </c>
      <c r="Z117" s="48">
        <v>58</v>
      </c>
      <c r="AA117" s="48"/>
      <c r="AB117" s="48"/>
      <c r="AC117" s="48"/>
    </row>
    <row r="118" spans="2:29" x14ac:dyDescent="0.3">
      <c r="B118" s="45"/>
      <c r="C118" s="45"/>
      <c r="D118" s="45"/>
      <c r="F118" s="48"/>
      <c r="G118" s="48"/>
      <c r="H118" s="48"/>
      <c r="I118" s="48"/>
      <c r="J118" s="48"/>
      <c r="K118" s="48"/>
      <c r="L118" s="48"/>
      <c r="M118" s="48"/>
      <c r="N118" s="48"/>
      <c r="O118" s="48"/>
      <c r="P118" s="48"/>
      <c r="Q118" s="48"/>
      <c r="R118" s="48"/>
      <c r="S118" s="48"/>
      <c r="T118" s="48"/>
      <c r="U118" s="48"/>
      <c r="V118" s="48"/>
      <c r="W118" s="48"/>
      <c r="X118" s="48"/>
      <c r="Y118" s="49" t="s">
        <v>122</v>
      </c>
      <c r="Z118" s="48">
        <v>364</v>
      </c>
      <c r="AA118" s="48"/>
      <c r="AB118" s="48"/>
      <c r="AC118" s="48"/>
    </row>
    <row r="119" spans="2:29" x14ac:dyDescent="0.3">
      <c r="B119" s="45"/>
      <c r="C119" s="45"/>
      <c r="D119" s="45"/>
      <c r="F119" s="48"/>
      <c r="G119" s="48"/>
      <c r="H119" s="48"/>
      <c r="I119" s="48"/>
      <c r="J119" s="48"/>
      <c r="K119" s="48"/>
      <c r="L119" s="48"/>
      <c r="M119" s="48"/>
      <c r="N119" s="48"/>
      <c r="O119" s="48"/>
      <c r="P119" s="48"/>
      <c r="Q119" s="48"/>
      <c r="R119" s="48"/>
      <c r="S119" s="48"/>
      <c r="T119" s="48"/>
      <c r="U119" s="48"/>
      <c r="V119" s="48"/>
      <c r="W119" s="48"/>
      <c r="X119" s="48"/>
      <c r="Y119" s="48"/>
      <c r="Z119" s="48"/>
      <c r="AA119" s="48"/>
      <c r="AB119" s="48"/>
      <c r="AC119" s="48"/>
    </row>
    <row r="120" spans="2:29" x14ac:dyDescent="0.3">
      <c r="B120" s="45"/>
      <c r="C120" s="45"/>
      <c r="D120" s="45"/>
    </row>
    <row r="121" spans="2:29" x14ac:dyDescent="0.3">
      <c r="B121" s="45"/>
      <c r="C121" s="45"/>
      <c r="D121" s="45"/>
    </row>
    <row r="122" spans="2:29" x14ac:dyDescent="0.3">
      <c r="B122" s="45"/>
      <c r="C122" s="45"/>
      <c r="D122" s="45"/>
    </row>
    <row r="123" spans="2:29" x14ac:dyDescent="0.3">
      <c r="B123" s="45"/>
      <c r="C123" s="45"/>
      <c r="D123" s="45"/>
    </row>
    <row r="124" spans="2:29" x14ac:dyDescent="0.3">
      <c r="B124" s="45"/>
      <c r="C124" s="45"/>
      <c r="D124" s="45"/>
    </row>
    <row r="125" spans="2:29" x14ac:dyDescent="0.3">
      <c r="B125" s="45"/>
      <c r="C125" s="45"/>
      <c r="D125" s="45"/>
    </row>
    <row r="126" spans="2:29" x14ac:dyDescent="0.3">
      <c r="B126" s="45"/>
      <c r="C126" s="45"/>
      <c r="D126" s="45"/>
    </row>
    <row r="127" spans="2:29" x14ac:dyDescent="0.3">
      <c r="B127" s="45"/>
      <c r="C127" s="45"/>
      <c r="D127" s="45"/>
    </row>
    <row r="128" spans="2:29" x14ac:dyDescent="0.3">
      <c r="B128" s="45"/>
      <c r="C128" s="45"/>
      <c r="D128" s="45"/>
    </row>
    <row r="129" spans="2:4" x14ac:dyDescent="0.3">
      <c r="B129" s="45"/>
      <c r="C129" s="45"/>
      <c r="D129" s="45"/>
    </row>
    <row r="130" spans="2:4" x14ac:dyDescent="0.3">
      <c r="B130" s="45"/>
      <c r="C130" s="45"/>
      <c r="D130" s="45"/>
    </row>
    <row r="131" spans="2:4" x14ac:dyDescent="0.3">
      <c r="B131" s="111" t="s">
        <v>158</v>
      </c>
      <c r="C131" s="111"/>
      <c r="D131" s="45"/>
    </row>
    <row r="132" spans="2:4" x14ac:dyDescent="0.3">
      <c r="B132" s="45"/>
      <c r="C132" s="45"/>
      <c r="D132" s="45"/>
    </row>
    <row r="133" spans="2:4" x14ac:dyDescent="0.3">
      <c r="B133" s="45"/>
      <c r="C133" s="45"/>
      <c r="D133" s="45"/>
    </row>
    <row r="134" spans="2:4" x14ac:dyDescent="0.3">
      <c r="B134" s="45"/>
      <c r="C134" s="45"/>
      <c r="D134" s="45"/>
    </row>
    <row r="135" spans="2:4" x14ac:dyDescent="0.3">
      <c r="B135" s="45" t="s">
        <v>123</v>
      </c>
      <c r="C135" s="45" t="s">
        <v>132</v>
      </c>
      <c r="D135" s="45" t="s">
        <v>131</v>
      </c>
    </row>
    <row r="136" spans="2:4" x14ac:dyDescent="0.3">
      <c r="B136" s="46" t="s">
        <v>12</v>
      </c>
      <c r="C136" s="47">
        <v>0.35834896810506567</v>
      </c>
      <c r="D136" s="83">
        <v>191</v>
      </c>
    </row>
    <row r="137" spans="2:4" x14ac:dyDescent="0.3">
      <c r="B137" s="46" t="s">
        <v>18</v>
      </c>
      <c r="C137" s="47">
        <v>0.31707317073170732</v>
      </c>
      <c r="D137" s="83">
        <v>169</v>
      </c>
    </row>
    <row r="138" spans="2:4" x14ac:dyDescent="0.3">
      <c r="B138" s="46" t="s">
        <v>23</v>
      </c>
      <c r="C138" s="47">
        <v>0.32457786116322701</v>
      </c>
      <c r="D138" s="83">
        <v>173</v>
      </c>
    </row>
    <row r="139" spans="2:4" x14ac:dyDescent="0.3">
      <c r="B139" s="45"/>
      <c r="C139" s="45"/>
      <c r="D139" s="45"/>
    </row>
    <row r="140" spans="2:4" x14ac:dyDescent="0.3">
      <c r="B140" s="45"/>
      <c r="C140" s="45"/>
      <c r="D140" s="45"/>
    </row>
    <row r="141" spans="2:4" x14ac:dyDescent="0.3">
      <c r="B141" s="45"/>
      <c r="C141" s="45"/>
      <c r="D141" s="45"/>
    </row>
    <row r="142" spans="2:4" x14ac:dyDescent="0.3">
      <c r="B142" s="45"/>
      <c r="C142" s="45"/>
      <c r="D142" s="45"/>
    </row>
    <row r="143" spans="2:4" x14ac:dyDescent="0.3">
      <c r="B143" s="45"/>
      <c r="C143" s="45"/>
      <c r="D143" s="45"/>
    </row>
    <row r="144" spans="2:4" x14ac:dyDescent="0.3">
      <c r="B144" s="45"/>
      <c r="C144" s="45"/>
      <c r="D144" s="45"/>
    </row>
    <row r="145" spans="2:8" x14ac:dyDescent="0.3">
      <c r="B145" s="45"/>
      <c r="C145" s="45"/>
      <c r="D145" s="45"/>
    </row>
    <row r="146" spans="2:8" x14ac:dyDescent="0.3">
      <c r="B146" s="45"/>
      <c r="C146" s="45"/>
      <c r="D146" s="45"/>
    </row>
    <row r="147" spans="2:8" x14ac:dyDescent="0.3">
      <c r="B147" s="45"/>
      <c r="C147" s="45"/>
      <c r="D147" s="45"/>
    </row>
    <row r="148" spans="2:8" x14ac:dyDescent="0.3">
      <c r="B148" s="45"/>
      <c r="C148" s="45"/>
      <c r="D148" s="45"/>
    </row>
    <row r="149" spans="2:8" x14ac:dyDescent="0.3">
      <c r="B149" s="45"/>
      <c r="C149" s="45"/>
      <c r="D149" s="45"/>
    </row>
    <row r="150" spans="2:8" x14ac:dyDescent="0.3">
      <c r="B150" s="45"/>
      <c r="C150" s="45"/>
      <c r="D150" s="45"/>
    </row>
    <row r="151" spans="2:8" x14ac:dyDescent="0.3">
      <c r="B151" s="45"/>
      <c r="C151" s="45"/>
      <c r="D151" s="45"/>
    </row>
    <row r="152" spans="2:8" x14ac:dyDescent="0.3">
      <c r="B152" s="45"/>
      <c r="C152" s="45"/>
      <c r="D152" s="45"/>
      <c r="H152" s="99"/>
    </row>
    <row r="153" spans="2:8" x14ac:dyDescent="0.3">
      <c r="B153" s="45"/>
      <c r="C153" s="45"/>
      <c r="D153" s="45"/>
    </row>
    <row r="154" spans="2:8" x14ac:dyDescent="0.3">
      <c r="B154" s="45"/>
      <c r="C154" s="45"/>
      <c r="D154" s="45"/>
    </row>
    <row r="155" spans="2:8" x14ac:dyDescent="0.3">
      <c r="B155" s="45"/>
      <c r="C155" s="45"/>
      <c r="D155" s="45"/>
    </row>
    <row r="156" spans="2:8" x14ac:dyDescent="0.3">
      <c r="B156" s="45"/>
      <c r="C156" s="45"/>
      <c r="D156" s="45"/>
    </row>
    <row r="157" spans="2:8" x14ac:dyDescent="0.3">
      <c r="B157" s="45"/>
      <c r="C157" s="45"/>
      <c r="D157" s="45"/>
    </row>
    <row r="158" spans="2:8" x14ac:dyDescent="0.3">
      <c r="B158" s="45"/>
      <c r="C158" s="45"/>
      <c r="D158" s="45"/>
    </row>
    <row r="159" spans="2:8" x14ac:dyDescent="0.3">
      <c r="B159" s="45"/>
      <c r="C159" s="45"/>
      <c r="D159" s="45"/>
    </row>
    <row r="160" spans="2:8" x14ac:dyDescent="0.3">
      <c r="B160" s="45"/>
      <c r="C160" s="45"/>
      <c r="D160" s="45"/>
    </row>
    <row r="161" spans="2:11" x14ac:dyDescent="0.3">
      <c r="B161" s="111" t="s">
        <v>185</v>
      </c>
      <c r="C161" s="111"/>
      <c r="D161" s="45"/>
    </row>
    <row r="162" spans="2:11" x14ac:dyDescent="0.3">
      <c r="B162" s="45"/>
      <c r="C162" s="45"/>
      <c r="D162" s="45"/>
      <c r="J162" s="48"/>
      <c r="K162" s="48" t="s">
        <v>162</v>
      </c>
    </row>
    <row r="163" spans="2:11" x14ac:dyDescent="0.3">
      <c r="B163" s="45" t="s">
        <v>137</v>
      </c>
      <c r="C163" s="45" t="s">
        <v>138</v>
      </c>
      <c r="D163" s="45"/>
      <c r="J163" s="49" t="s">
        <v>16</v>
      </c>
      <c r="K163" s="91"/>
    </row>
    <row r="164" spans="2:11" x14ac:dyDescent="0.3">
      <c r="B164" s="46" t="s">
        <v>33</v>
      </c>
      <c r="C164" s="83">
        <v>14</v>
      </c>
      <c r="D164" s="45"/>
      <c r="J164" s="51" t="s">
        <v>12</v>
      </c>
      <c r="K164" s="91">
        <v>95</v>
      </c>
    </row>
    <row r="165" spans="2:11" x14ac:dyDescent="0.3">
      <c r="B165" s="46" t="s">
        <v>37</v>
      </c>
      <c r="C165" s="83">
        <v>17</v>
      </c>
      <c r="D165" s="45"/>
      <c r="J165" s="51" t="s">
        <v>18</v>
      </c>
      <c r="K165" s="91">
        <v>80</v>
      </c>
    </row>
    <row r="166" spans="2:11" x14ac:dyDescent="0.3">
      <c r="B166" s="46" t="s">
        <v>44</v>
      </c>
      <c r="C166" s="83">
        <v>10</v>
      </c>
      <c r="D166" s="45"/>
      <c r="J166" s="51" t="s">
        <v>23</v>
      </c>
      <c r="K166" s="91">
        <v>82</v>
      </c>
    </row>
    <row r="167" spans="2:11" x14ac:dyDescent="0.3">
      <c r="B167" s="46" t="s">
        <v>38</v>
      </c>
      <c r="C167" s="83">
        <v>24</v>
      </c>
      <c r="D167" s="45"/>
      <c r="J167" s="49" t="s">
        <v>11</v>
      </c>
      <c r="K167" s="91"/>
    </row>
    <row r="168" spans="2:11" x14ac:dyDescent="0.3">
      <c r="B168" s="46" t="s">
        <v>35</v>
      </c>
      <c r="C168" s="83">
        <v>12</v>
      </c>
      <c r="D168" s="45"/>
      <c r="J168" s="51" t="s">
        <v>12</v>
      </c>
      <c r="K168" s="91">
        <v>96</v>
      </c>
    </row>
    <row r="169" spans="2:11" x14ac:dyDescent="0.3">
      <c r="B169" s="46" t="s">
        <v>31</v>
      </c>
      <c r="C169" s="83">
        <v>11</v>
      </c>
      <c r="D169" s="45"/>
      <c r="G169" s="102"/>
      <c r="J169" s="51" t="s">
        <v>18</v>
      </c>
      <c r="K169" s="91">
        <v>89</v>
      </c>
    </row>
    <row r="170" spans="2:11" x14ac:dyDescent="0.3">
      <c r="B170" s="46" t="s">
        <v>45</v>
      </c>
      <c r="C170" s="83">
        <v>12</v>
      </c>
      <c r="D170" s="45"/>
      <c r="J170" s="51" t="s">
        <v>23</v>
      </c>
      <c r="K170" s="91">
        <v>91</v>
      </c>
    </row>
    <row r="171" spans="2:11" x14ac:dyDescent="0.3">
      <c r="B171" s="46" t="s">
        <v>15</v>
      </c>
      <c r="C171" s="83">
        <v>11</v>
      </c>
      <c r="D171" s="45"/>
    </row>
    <row r="172" spans="2:11" x14ac:dyDescent="0.3">
      <c r="B172" s="46" t="s">
        <v>43</v>
      </c>
      <c r="C172" s="83">
        <v>26</v>
      </c>
      <c r="D172" s="45"/>
      <c r="G172" s="102"/>
    </row>
    <row r="173" spans="2:11" x14ac:dyDescent="0.3">
      <c r="B173" s="46" t="s">
        <v>21</v>
      </c>
      <c r="C173" s="83">
        <v>17</v>
      </c>
      <c r="D173" s="45"/>
      <c r="G173" s="102"/>
    </row>
    <row r="174" spans="2:11" x14ac:dyDescent="0.3">
      <c r="B174" s="46" t="s">
        <v>20</v>
      </c>
      <c r="C174" s="83">
        <v>9</v>
      </c>
      <c r="D174" s="45"/>
      <c r="G174" s="102"/>
    </row>
    <row r="175" spans="2:11" x14ac:dyDescent="0.3">
      <c r="B175" s="46" t="s">
        <v>50</v>
      </c>
      <c r="C175" s="83">
        <v>14</v>
      </c>
      <c r="D175" s="45"/>
      <c r="G175" s="102" t="s">
        <v>182</v>
      </c>
      <c r="J175" s="45" t="s">
        <v>124</v>
      </c>
    </row>
    <row r="176" spans="2:11" x14ac:dyDescent="0.3">
      <c r="B176" s="46" t="s">
        <v>40</v>
      </c>
      <c r="C176" s="83">
        <v>12</v>
      </c>
      <c r="D176" s="45"/>
      <c r="G176" s="103">
        <f>GETPIVOTDATA("[Measures].[Average of Age]",$J$183)</f>
        <v>35.923999999999999</v>
      </c>
      <c r="J176" s="83">
        <v>533</v>
      </c>
    </row>
    <row r="177" spans="2:12" x14ac:dyDescent="0.3">
      <c r="B177" s="46" t="s">
        <v>32</v>
      </c>
      <c r="C177" s="83">
        <v>31</v>
      </c>
      <c r="D177" s="45"/>
      <c r="G177" s="102"/>
    </row>
    <row r="178" spans="2:12" x14ac:dyDescent="0.3">
      <c r="B178" s="46" t="s">
        <v>49</v>
      </c>
      <c r="C178" s="83">
        <v>19</v>
      </c>
      <c r="D178" s="45"/>
    </row>
    <row r="179" spans="2:12" x14ac:dyDescent="0.3">
      <c r="B179" s="46" t="s">
        <v>25</v>
      </c>
      <c r="C179" s="83">
        <v>17</v>
      </c>
      <c r="D179" s="45"/>
      <c r="J179" s="45" t="s">
        <v>150</v>
      </c>
    </row>
    <row r="180" spans="2:12" x14ac:dyDescent="0.3">
      <c r="B180" s="46" t="s">
        <v>30</v>
      </c>
      <c r="C180" s="83">
        <v>15</v>
      </c>
      <c r="D180" s="45"/>
      <c r="J180" s="83">
        <v>1</v>
      </c>
    </row>
    <row r="181" spans="2:12" x14ac:dyDescent="0.3">
      <c r="B181" s="46" t="s">
        <v>34</v>
      </c>
      <c r="C181" s="83">
        <v>10</v>
      </c>
      <c r="D181" s="45"/>
    </row>
    <row r="182" spans="2:12" x14ac:dyDescent="0.3">
      <c r="B182" s="46" t="s">
        <v>46</v>
      </c>
      <c r="C182" s="83">
        <v>14</v>
      </c>
      <c r="D182" s="45"/>
    </row>
    <row r="183" spans="2:12" x14ac:dyDescent="0.3">
      <c r="B183" s="46" t="s">
        <v>52</v>
      </c>
      <c r="C183" s="83">
        <v>14</v>
      </c>
      <c r="D183" s="45"/>
      <c r="J183" s="104" t="s">
        <v>181</v>
      </c>
    </row>
    <row r="184" spans="2:12" x14ac:dyDescent="0.3">
      <c r="B184" s="46" t="s">
        <v>48</v>
      </c>
      <c r="C184" s="83">
        <v>16</v>
      </c>
      <c r="D184" s="45"/>
      <c r="J184" s="105">
        <v>35.923999999999999</v>
      </c>
    </row>
    <row r="185" spans="2:12" x14ac:dyDescent="0.3">
      <c r="B185" s="46" t="s">
        <v>42</v>
      </c>
      <c r="C185" s="83">
        <v>10</v>
      </c>
      <c r="D185" s="45"/>
    </row>
    <row r="186" spans="2:12" x14ac:dyDescent="0.3">
      <c r="B186" s="46" t="s">
        <v>10</v>
      </c>
      <c r="C186" s="83">
        <v>19</v>
      </c>
      <c r="D186" s="45"/>
      <c r="J186" t="s">
        <v>154</v>
      </c>
    </row>
    <row r="187" spans="2:12" x14ac:dyDescent="0.3">
      <c r="B187" s="46" t="s">
        <v>27</v>
      </c>
      <c r="C187" s="83">
        <v>20</v>
      </c>
      <c r="D187" s="45"/>
      <c r="J187">
        <f>GETPIVOTDATA("[Measures].[Count of Dengue_Result]",$F$5,"[Dengue].[Immunoglobulin_M_Result]","[Dengue].[Immunoglobulin_M_Result].&amp;[Previously Infected]")</f>
        <v>259</v>
      </c>
    </row>
    <row r="188" spans="2:12" x14ac:dyDescent="0.3">
      <c r="B188" s="46" t="s">
        <v>19</v>
      </c>
      <c r="C188" s="83">
        <v>15</v>
      </c>
      <c r="D188" s="45"/>
    </row>
    <row r="189" spans="2:12" x14ac:dyDescent="0.3">
      <c r="B189" s="46" t="s">
        <v>22</v>
      </c>
      <c r="C189" s="83">
        <v>14</v>
      </c>
      <c r="D189" s="45"/>
    </row>
    <row r="190" spans="2:12" x14ac:dyDescent="0.3">
      <c r="B190" s="46" t="s">
        <v>26</v>
      </c>
      <c r="C190" s="83">
        <v>14</v>
      </c>
      <c r="D190" s="45"/>
      <c r="J190" s="67" t="s">
        <v>128</v>
      </c>
      <c r="K190" s="68"/>
    </row>
    <row r="191" spans="2:12" x14ac:dyDescent="0.3">
      <c r="B191" s="46" t="s">
        <v>17</v>
      </c>
      <c r="C191" s="83">
        <v>14</v>
      </c>
      <c r="D191" s="45"/>
      <c r="J191" s="41"/>
      <c r="K191" s="42"/>
    </row>
    <row r="192" spans="2:12" x14ac:dyDescent="0.3">
      <c r="B192" s="46" t="s">
        <v>36</v>
      </c>
      <c r="C192" s="83">
        <v>10</v>
      </c>
      <c r="D192" s="45"/>
      <c r="J192" s="60" t="s">
        <v>163</v>
      </c>
      <c r="K192" s="94" t="s">
        <v>164</v>
      </c>
      <c r="L192" s="95" t="s">
        <v>125</v>
      </c>
    </row>
    <row r="193" spans="2:12" x14ac:dyDescent="0.3">
      <c r="B193" s="46" t="s">
        <v>51</v>
      </c>
      <c r="C193" s="83">
        <v>14</v>
      </c>
      <c r="D193" s="45"/>
      <c r="J193" s="61" t="s">
        <v>95</v>
      </c>
      <c r="K193" s="97">
        <v>533</v>
      </c>
      <c r="L193" s="98">
        <v>1</v>
      </c>
    </row>
    <row r="194" spans="2:12" x14ac:dyDescent="0.3">
      <c r="B194" s="46" t="s">
        <v>39</v>
      </c>
      <c r="C194" s="83">
        <v>15</v>
      </c>
      <c r="D194" s="45"/>
    </row>
    <row r="195" spans="2:12" x14ac:dyDescent="0.3">
      <c r="B195" s="46" t="s">
        <v>28</v>
      </c>
      <c r="C195" s="83">
        <v>11</v>
      </c>
      <c r="D195" s="45"/>
    </row>
    <row r="196" spans="2:12" x14ac:dyDescent="0.3">
      <c r="B196" s="46" t="s">
        <v>24</v>
      </c>
      <c r="C196" s="83">
        <v>9</v>
      </c>
      <c r="D196" s="45"/>
    </row>
    <row r="197" spans="2:12" x14ac:dyDescent="0.3">
      <c r="B197" s="46" t="s">
        <v>29</v>
      </c>
      <c r="C197" s="83">
        <v>9</v>
      </c>
      <c r="D197" s="45"/>
    </row>
    <row r="198" spans="2:12" x14ac:dyDescent="0.3">
      <c r="B198" s="46" t="s">
        <v>41</v>
      </c>
      <c r="C198" s="83">
        <v>10</v>
      </c>
      <c r="D198" s="45"/>
    </row>
    <row r="199" spans="2:12" x14ac:dyDescent="0.3">
      <c r="B199" s="46" t="s">
        <v>47</v>
      </c>
      <c r="C199" s="83">
        <v>24</v>
      </c>
      <c r="D199" s="45"/>
    </row>
    <row r="200" spans="2:12" x14ac:dyDescent="0.3">
      <c r="B200" s="45"/>
      <c r="C200" s="45"/>
      <c r="D200" s="45"/>
    </row>
    <row r="201" spans="2:12" x14ac:dyDescent="0.3">
      <c r="B201" s="45"/>
      <c r="C201" s="45"/>
      <c r="D201" s="45"/>
    </row>
    <row r="202" spans="2:12" x14ac:dyDescent="0.3">
      <c r="B202" s="45"/>
      <c r="C202" s="45"/>
      <c r="D202" s="45"/>
    </row>
    <row r="203" spans="2:12" x14ac:dyDescent="0.3">
      <c r="B203" s="45"/>
      <c r="C203" s="45"/>
      <c r="D203" s="45"/>
    </row>
    <row r="204" spans="2:12" x14ac:dyDescent="0.3">
      <c r="B204" s="45"/>
      <c r="C204" s="45"/>
      <c r="D204" s="45"/>
    </row>
    <row r="205" spans="2:12" x14ac:dyDescent="0.3">
      <c r="B205" s="45"/>
      <c r="C205" s="45"/>
      <c r="D205" s="45"/>
    </row>
    <row r="206" spans="2:12" x14ac:dyDescent="0.3">
      <c r="B206" s="45"/>
      <c r="C206" s="45"/>
      <c r="D206" s="45"/>
    </row>
    <row r="207" spans="2:12" x14ac:dyDescent="0.3">
      <c r="B207" s="45"/>
      <c r="C207" s="45"/>
      <c r="D207" s="45"/>
    </row>
    <row r="208" spans="2:12" x14ac:dyDescent="0.3">
      <c r="B208" s="45"/>
      <c r="C208" s="45"/>
      <c r="D208" s="45"/>
    </row>
    <row r="209" spans="2:4" x14ac:dyDescent="0.3">
      <c r="B209" s="45"/>
      <c r="C209" s="45"/>
      <c r="D209" s="45"/>
    </row>
    <row r="210" spans="2:4" x14ac:dyDescent="0.3">
      <c r="B210" s="45"/>
      <c r="C210" s="45"/>
      <c r="D210" s="45"/>
    </row>
    <row r="211" spans="2:4" x14ac:dyDescent="0.3">
      <c r="B211" s="45"/>
      <c r="C211" s="45"/>
      <c r="D211" s="45"/>
    </row>
    <row r="212" spans="2:4" x14ac:dyDescent="0.3">
      <c r="B212" s="45"/>
      <c r="C212" s="45"/>
      <c r="D212" s="45"/>
    </row>
    <row r="213" spans="2:4" x14ac:dyDescent="0.3">
      <c r="B213" s="45"/>
      <c r="C213" s="45"/>
      <c r="D213" s="45"/>
    </row>
    <row r="214" spans="2:4" x14ac:dyDescent="0.3">
      <c r="B214" s="45"/>
      <c r="C214" s="45"/>
      <c r="D214" s="45"/>
    </row>
    <row r="215" spans="2:4" x14ac:dyDescent="0.3">
      <c r="B215" s="45"/>
      <c r="C215" s="45"/>
      <c r="D215" s="45"/>
    </row>
    <row r="216" spans="2:4" x14ac:dyDescent="0.3">
      <c r="B216" s="45"/>
      <c r="C216" s="45"/>
      <c r="D216" s="45"/>
    </row>
    <row r="217" spans="2:4" x14ac:dyDescent="0.3">
      <c r="B217" s="45"/>
      <c r="C217" s="45"/>
      <c r="D217" s="45"/>
    </row>
    <row r="218" spans="2:4" x14ac:dyDescent="0.3">
      <c r="B218" s="45"/>
      <c r="C218" s="45"/>
      <c r="D218" s="45"/>
    </row>
    <row r="219" spans="2:4" x14ac:dyDescent="0.3">
      <c r="B219" s="45"/>
      <c r="C219" s="45"/>
      <c r="D219" s="45"/>
    </row>
    <row r="220" spans="2:4" x14ac:dyDescent="0.3">
      <c r="B220" s="45"/>
      <c r="C220" s="45"/>
      <c r="D220" s="45"/>
    </row>
    <row r="221" spans="2:4" x14ac:dyDescent="0.3">
      <c r="B221" s="45"/>
      <c r="C221" s="45"/>
      <c r="D221" s="45"/>
    </row>
    <row r="222" spans="2:4" x14ac:dyDescent="0.3">
      <c r="B222" s="45"/>
      <c r="C222" s="45"/>
      <c r="D222" s="45"/>
    </row>
    <row r="223" spans="2:4" x14ac:dyDescent="0.3">
      <c r="B223" s="45"/>
      <c r="C223" s="45"/>
      <c r="D223" s="45"/>
    </row>
    <row r="224" spans="2:4" x14ac:dyDescent="0.3">
      <c r="B224" s="45"/>
      <c r="C224" s="45"/>
      <c r="D224" s="45"/>
    </row>
    <row r="225" spans="2:4" x14ac:dyDescent="0.3">
      <c r="B225" s="45"/>
      <c r="C225" s="45"/>
      <c r="D225" s="45"/>
    </row>
    <row r="226" spans="2:4" x14ac:dyDescent="0.3">
      <c r="B226" s="45"/>
      <c r="C226" s="45"/>
      <c r="D226" s="45"/>
    </row>
    <row r="227" spans="2:4" x14ac:dyDescent="0.3">
      <c r="B227" s="45"/>
      <c r="C227" s="45"/>
      <c r="D227" s="45"/>
    </row>
    <row r="228" spans="2:4" x14ac:dyDescent="0.3">
      <c r="B228" s="45"/>
      <c r="C228" s="45"/>
      <c r="D228" s="45"/>
    </row>
  </sheetData>
  <mergeCells count="15">
    <mergeCell ref="J190:K190"/>
    <mergeCell ref="F62:G62"/>
    <mergeCell ref="F3:G3"/>
    <mergeCell ref="B60:C60"/>
    <mergeCell ref="B95:C95"/>
    <mergeCell ref="B161:C161"/>
    <mergeCell ref="S3:T3"/>
    <mergeCell ref="B5:C5"/>
    <mergeCell ref="M54:N54"/>
    <mergeCell ref="M101:O101"/>
    <mergeCell ref="B25:C25"/>
    <mergeCell ref="B131:C131"/>
    <mergeCell ref="J3:K3"/>
    <mergeCell ref="M3:N3"/>
    <mergeCell ref="P3:Q3"/>
  </mergeCells>
  <conditionalFormatting pivot="1" sqref="D28:D33">
    <cfRule type="colorScale" priority="21">
      <colorScale>
        <cfvo type="min"/>
        <cfvo type="max"/>
        <color rgb="FFFCFCFF"/>
        <color rgb="FFF8696B"/>
      </colorScale>
    </cfRule>
  </conditionalFormatting>
  <conditionalFormatting pivot="1" sqref="N9:N14 N16:N21">
    <cfRule type="colorScale" priority="20">
      <colorScale>
        <cfvo type="min"/>
        <cfvo type="percentile" val="50"/>
        <cfvo type="max"/>
        <color rgb="FF63BE7B"/>
        <color rgb="FFFFEB84"/>
        <color rgb="FFF8696B"/>
      </colorScale>
    </cfRule>
  </conditionalFormatting>
  <conditionalFormatting pivot="1" sqref="H110:H111 H113:H114">
    <cfRule type="colorScale" priority="18">
      <colorScale>
        <cfvo type="min"/>
        <cfvo type="percentile" val="50"/>
        <cfvo type="max"/>
        <color rgb="FF63BE7B"/>
        <color rgb="FFFFEB84"/>
        <color rgb="FFF8696B"/>
      </colorScale>
    </cfRule>
  </conditionalFormatting>
  <conditionalFormatting pivot="1" sqref="K65:K66 K68:K69">
    <cfRule type="colorScale" priority="15">
      <colorScale>
        <cfvo type="min"/>
        <cfvo type="percentile" val="50"/>
        <cfvo type="max"/>
        <color rgb="FF63BE7B"/>
        <color rgb="FFFFEB84"/>
        <color rgb="FFF8696B"/>
      </colorScale>
    </cfRule>
  </conditionalFormatting>
  <conditionalFormatting pivot="1" sqref="G67:G68">
    <cfRule type="colorScale" priority="14">
      <colorScale>
        <cfvo type="min"/>
        <cfvo type="percentile" val="50"/>
        <cfvo type="max"/>
        <color rgb="FF63BE7B"/>
        <color rgb="FFFFEB84"/>
        <color rgb="FFF8696B"/>
      </colorScale>
    </cfRule>
  </conditionalFormatting>
  <conditionalFormatting pivot="1" sqref="N64:N69 N71:N73 N75:N76">
    <cfRule type="colorScale" priority="13">
      <colorScale>
        <cfvo type="min"/>
        <cfvo type="percentile" val="50"/>
        <cfvo type="max"/>
        <color rgb="FF5A8AC6"/>
        <color rgb="FFFCFCFF"/>
        <color rgb="FFF8696B"/>
      </colorScale>
    </cfRule>
  </conditionalFormatting>
  <conditionalFormatting pivot="1" sqref="R66:R68 R70:R72">
    <cfRule type="colorScale" priority="12">
      <colorScale>
        <cfvo type="min"/>
        <cfvo type="percentile" val="50"/>
        <cfvo type="max"/>
        <color rgb="FF63BE7B"/>
        <color rgb="FFFFEB84"/>
        <color rgb="FFF8696B"/>
      </colorScale>
    </cfRule>
  </conditionalFormatting>
  <conditionalFormatting pivot="1" sqref="W66:W67 W69:W70">
    <cfRule type="colorScale" priority="11">
      <colorScale>
        <cfvo type="min"/>
        <cfvo type="percentile" val="50"/>
        <cfvo type="max"/>
        <color rgb="FF63BE7B"/>
        <color rgb="FFFFEB84"/>
        <color rgb="FFF8696B"/>
      </colorScale>
    </cfRule>
  </conditionalFormatting>
  <conditionalFormatting pivot="1" sqref="K9:K10 K12:K13">
    <cfRule type="colorScale" priority="10">
      <colorScale>
        <cfvo type="min"/>
        <cfvo type="percentile" val="50"/>
        <cfvo type="max"/>
        <color rgb="FF63BE7B"/>
        <color rgb="FFFFEB84"/>
        <color rgb="FFF8696B"/>
      </colorScale>
    </cfRule>
  </conditionalFormatting>
  <conditionalFormatting pivot="1" sqref="Q9:Q11 Q13:Q15">
    <cfRule type="colorScale" priority="9">
      <colorScale>
        <cfvo type="min"/>
        <cfvo type="percentile" val="50"/>
        <cfvo type="max"/>
        <color rgb="FF63BE7B"/>
        <color rgb="FFFFEB84"/>
        <color rgb="FFF8696B"/>
      </colorScale>
    </cfRule>
  </conditionalFormatting>
  <conditionalFormatting pivot="1" sqref="T9:T10 T12:T13">
    <cfRule type="colorScale" priority="8">
      <colorScale>
        <cfvo type="min"/>
        <cfvo type="percentile" val="50"/>
        <cfvo type="max"/>
        <color rgb="FF63BE7B"/>
        <color rgb="FFFFEB84"/>
        <color rgb="FFF8696B"/>
      </colorScale>
    </cfRule>
  </conditionalFormatting>
  <conditionalFormatting pivot="1" sqref="K111:K112 K114:K115">
    <cfRule type="colorScale" priority="6">
      <colorScale>
        <cfvo type="min"/>
        <cfvo type="percentile" val="50"/>
        <cfvo type="max"/>
        <color rgb="FF63BE7B"/>
        <color rgb="FFFFEB84"/>
        <color rgb="FFF8696B"/>
      </colorScale>
    </cfRule>
  </conditionalFormatting>
  <conditionalFormatting pivot="1" sqref="L111:L112 L114:L115">
    <cfRule type="colorScale" priority="5">
      <colorScale>
        <cfvo type="min"/>
        <cfvo type="percentile" val="50"/>
        <cfvo type="max"/>
        <color rgb="FF63BE7B"/>
        <color rgb="FFFFEB84"/>
        <color rgb="FFF8696B"/>
      </colorScale>
    </cfRule>
  </conditionalFormatting>
  <conditionalFormatting pivot="1" sqref="P112:P113 P115:P116">
    <cfRule type="colorScale" priority="4">
      <colorScale>
        <cfvo type="min"/>
        <cfvo type="percentile" val="50"/>
        <cfvo type="max"/>
        <color rgb="FF63BE7B"/>
        <color rgb="FFFFEB84"/>
        <color rgb="FFF8696B"/>
      </colorScale>
    </cfRule>
  </conditionalFormatting>
  <conditionalFormatting pivot="1" sqref="K164:K166 K168:K170">
    <cfRule type="colorScale" priority="1">
      <colorScale>
        <cfvo type="min"/>
        <cfvo type="percentile" val="50"/>
        <cfvo type="max"/>
        <color rgb="FF5A8AC6"/>
        <color rgb="FFFCFCFF"/>
        <color rgb="FFF8696B"/>
      </colorScale>
    </cfRule>
  </conditionalFormatting>
  <pageMargins left="0.7" right="0.7" top="0.75" bottom="0.75" header="0.3" footer="0.3"/>
  <drawing r:id="rId3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24877-7A2D-4374-BCB1-AE47F95FCB74}">
  <sheetPr>
    <tabColor theme="7"/>
  </sheetPr>
  <dimension ref="A1"/>
  <sheetViews>
    <sheetView showGridLines="0" tabSelected="1" zoomScale="55" workbookViewId="0">
      <selection activeCell="AE22" sqref="AE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BE666AAB-9321-403E-969A-AF5EE79CF745}">
  <ds:schemaRefs/>
</ds:datastoreItem>
</file>

<file path=customXml/itemProps2.xml><?xml version="1.0" encoding="utf-8"?>
<ds:datastoreItem xmlns:ds="http://schemas.openxmlformats.org/officeDocument/2006/customXml" ds:itemID="{B80CE40C-E574-40BA-9854-2659AAC039DD}">
  <ds:schemaRefs/>
</ds:datastoreItem>
</file>

<file path=customXml/itemProps3.xml><?xml version="1.0" encoding="utf-8"?>
<ds:datastoreItem xmlns:ds="http://schemas.openxmlformats.org/officeDocument/2006/customXml" ds:itemID="{21186239-9325-442E-A255-3B1A3A0873B2}">
  <ds:schemaRefs/>
</ds:datastoreItem>
</file>

<file path=customXml/itemProps4.xml><?xml version="1.0" encoding="utf-8"?>
<ds:datastoreItem xmlns:ds="http://schemas.openxmlformats.org/officeDocument/2006/customXml" ds:itemID="{0A528174-CA91-4844-9CE9-16EA763CE9AB}">
  <ds:schemaRefs/>
</ds:datastoreItem>
</file>

<file path=customXml/itemProps5.xml><?xml version="1.0" encoding="utf-8"?>
<ds:datastoreItem xmlns:ds="http://schemas.openxmlformats.org/officeDocument/2006/customXml" ds:itemID="{C170488D-9B56-45E3-A458-C6A93B63D010}">
  <ds:schemaRefs/>
</ds:datastoreItem>
</file>

<file path=customXml/itemProps6.xml><?xml version="1.0" encoding="utf-8"?>
<ds:datastoreItem xmlns:ds="http://schemas.openxmlformats.org/officeDocument/2006/customXml" ds:itemID="{491F5751-DBE9-4B63-B3BB-17CC6168A427}">
  <ds:schemaRefs/>
</ds:datastoreItem>
</file>

<file path=customXml/itemProps7.xml><?xml version="1.0" encoding="utf-8"?>
<ds:datastoreItem xmlns:ds="http://schemas.openxmlformats.org/officeDocument/2006/customXml" ds:itemID="{EC8A57D7-85F5-4376-B36A-9616EC6F2D2A}">
  <ds:schemaRefs/>
</ds:datastoreItem>
</file>

<file path=customXml/itemProps8.xml><?xml version="1.0" encoding="utf-8"?>
<ds:datastoreItem xmlns:ds="http://schemas.openxmlformats.org/officeDocument/2006/customXml" ds:itemID="{75058633-5465-4B64-8C1B-9F8E3315EA8A}">
  <ds:schemaRefs/>
</ds:datastoreItem>
</file>

<file path=customXml/itemProps9.xml><?xml version="1.0" encoding="utf-8"?>
<ds:datastoreItem xmlns:ds="http://schemas.openxmlformats.org/officeDocument/2006/customXml" ds:itemID="{785BE659-50A3-4EBB-9479-EF198E7C3423}">
  <ds:schemaRefs/>
</ds:datastoreItem>
</file>

<file path=customXml/itemProps10.xml><?xml version="1.0" encoding="utf-8"?>
<ds:datastoreItem xmlns:ds="http://schemas.openxmlformats.org/officeDocument/2006/customXml" ds:itemID="{519A138D-CC2D-4B3E-8417-3B5175772CCB}">
  <ds:schemaRefs/>
</ds:datastoreItem>
</file>

<file path=customXml/itemProps11.xml><?xml version="1.0" encoding="utf-8"?>
<ds:datastoreItem xmlns:ds="http://schemas.openxmlformats.org/officeDocument/2006/customXml" ds:itemID="{6B8984DC-82B7-4E7C-959F-F9DC05A70E4A}">
  <ds:schemaRefs/>
</ds:datastoreItem>
</file>

<file path=customXml/itemProps12.xml><?xml version="1.0" encoding="utf-8"?>
<ds:datastoreItem xmlns:ds="http://schemas.openxmlformats.org/officeDocument/2006/customXml" ds:itemID="{19923544-D3E8-4324-8328-4956D22B5D3B}">
  <ds:schemaRefs/>
</ds:datastoreItem>
</file>

<file path=customXml/itemProps13.xml><?xml version="1.0" encoding="utf-8"?>
<ds:datastoreItem xmlns:ds="http://schemas.openxmlformats.org/officeDocument/2006/customXml" ds:itemID="{AA4A3A7F-035C-410B-B41A-0B2967EB25C5}">
  <ds:schemaRefs/>
</ds:datastoreItem>
</file>

<file path=customXml/itemProps14.xml><?xml version="1.0" encoding="utf-8"?>
<ds:datastoreItem xmlns:ds="http://schemas.openxmlformats.org/officeDocument/2006/customXml" ds:itemID="{0E022C11-C666-4AC9-B7BA-0C0EDDAA64D1}">
  <ds:schemaRefs>
    <ds:schemaRef ds:uri="http://schemas.microsoft.com/DataMashup"/>
  </ds:schemaRefs>
</ds:datastoreItem>
</file>

<file path=customXml/itemProps15.xml><?xml version="1.0" encoding="utf-8"?>
<ds:datastoreItem xmlns:ds="http://schemas.openxmlformats.org/officeDocument/2006/customXml" ds:itemID="{A52AA1FA-4B40-47AF-B5B0-4B69B5C4CB14}">
  <ds:schemaRefs/>
</ds:datastoreItem>
</file>

<file path=customXml/itemProps16.xml><?xml version="1.0" encoding="utf-8"?>
<ds:datastoreItem xmlns:ds="http://schemas.openxmlformats.org/officeDocument/2006/customXml" ds:itemID="{85DD021C-458C-4255-B415-B21A9FE1E948}">
  <ds:schemaRefs/>
</ds:datastoreItem>
</file>

<file path=customXml/itemProps17.xml><?xml version="1.0" encoding="utf-8"?>
<ds:datastoreItem xmlns:ds="http://schemas.openxmlformats.org/officeDocument/2006/customXml" ds:itemID="{BA1D8324-B80A-4DEB-8BB4-C192AF458522}">
  <ds:schemaRefs/>
</ds:datastoreItem>
</file>

<file path=customXml/itemProps18.xml><?xml version="1.0" encoding="utf-8"?>
<ds:datastoreItem xmlns:ds="http://schemas.openxmlformats.org/officeDocument/2006/customXml" ds:itemID="{234461AB-11EE-4FE7-AE3E-D3569F37468A}">
  <ds:schemaRefs/>
</ds:datastoreItem>
</file>

<file path=customXml/itemProps19.xml><?xml version="1.0" encoding="utf-8"?>
<ds:datastoreItem xmlns:ds="http://schemas.openxmlformats.org/officeDocument/2006/customXml" ds:itemID="{773BCF67-97A3-42B0-9889-84D1242C3687}">
  <ds:schemaRefs/>
</ds:datastoreItem>
</file>

<file path=customXml/itemProps20.xml><?xml version="1.0" encoding="utf-8"?>
<ds:datastoreItem xmlns:ds="http://schemas.openxmlformats.org/officeDocument/2006/customXml" ds:itemID="{370B7EBE-FFBA-4390-A5C2-358A51AE5F8A}">
  <ds:schemaRefs/>
</ds:datastoreItem>
</file>

<file path=customXml/itemProps21.xml><?xml version="1.0" encoding="utf-8"?>
<ds:datastoreItem xmlns:ds="http://schemas.openxmlformats.org/officeDocument/2006/customXml" ds:itemID="{42C6CE48-B40F-49B3-87BA-C65760F131DF}">
  <ds:schemaRefs/>
</ds:datastoreItem>
</file>

<file path=customXml/itemProps22.xml><?xml version="1.0" encoding="utf-8"?>
<ds:datastoreItem xmlns:ds="http://schemas.openxmlformats.org/officeDocument/2006/customXml" ds:itemID="{6DCD2C42-90D7-4813-A6B3-59FC2485E239}">
  <ds:schemaRefs/>
</ds:datastoreItem>
</file>

<file path=customXml/itemProps23.xml><?xml version="1.0" encoding="utf-8"?>
<ds:datastoreItem xmlns:ds="http://schemas.openxmlformats.org/officeDocument/2006/customXml" ds:itemID="{A9D98F49-125E-4E53-84FB-AE5D99816D2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1-Original_Data  </vt:lpstr>
      <vt:lpstr>2-Data_Dictonary</vt:lpstr>
      <vt:lpstr>3-Data_Profiling</vt:lpstr>
      <vt:lpstr>4-Duplicate_Data </vt:lpstr>
      <vt:lpstr>5-PowerQ_data</vt:lpstr>
      <vt:lpstr>6-Analysis</vt:lpstr>
      <vt:lpstr>7-Dashboard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Morshed Bin Islam</dc:creator>
  <cp:lastModifiedBy>Morshed Bin Islam</cp:lastModifiedBy>
  <dcterms:created xsi:type="dcterms:W3CDTF">2025-06-01T07:27:37Z</dcterms:created>
  <dcterms:modified xsi:type="dcterms:W3CDTF">2025-06-10T12:11:20Z</dcterms:modified>
</cp:coreProperties>
</file>